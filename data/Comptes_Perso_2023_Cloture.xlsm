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esbj386-my.sharepoint.com/personal/bruno_jouzier_esbj_fr/Documents/ESBJ/Production/ESBJ - Projets Internes/TI0004 - BI wtih Python/bi_with_python/data/"/>
    </mc:Choice>
  </mc:AlternateContent>
  <xr:revisionPtr revIDLastSave="55744" documentId="11_FDE7AB636ECEBAD731AAB3AC9468848442ADE459" xr6:coauthVersionLast="47" xr6:coauthVersionMax="47" xr10:uidLastSave="{11D84E57-1DA6-4CBC-8A1B-6DBFE33CE5BE}"/>
  <bookViews>
    <workbookView xWindow="-110" yWindow="-110" windowWidth="19420" windowHeight="10420" activeTab="2" xr2:uid="{00000000-000D-0000-FFFF-FFFF00000000}"/>
  </bookViews>
  <sheets>
    <sheet name="HELP" sheetId="12" r:id="rId1"/>
    <sheet name="Budget" sheetId="13" r:id="rId2"/>
    <sheet name="Journal" sheetId="1" r:id="rId3"/>
    <sheet name="Modeles" sheetId="10" r:id="rId4"/>
    <sheet name="Rapp" sheetId="9" r:id="rId5"/>
    <sheet name="aVenir" sheetId="11" r:id="rId6"/>
    <sheet name="Set-Up" sheetId="83" r:id="rId7"/>
  </sheets>
  <functionGroups builtInGroupCount="19"/>
  <externalReferences>
    <externalReference r:id="rId8"/>
    <externalReference r:id="rId9"/>
    <externalReference r:id="rId10"/>
  </externalReferences>
  <definedNames>
    <definedName name="_xlnm._FilterDatabase" localSheetId="1" hidden="1">Budget!$A$1:$E$308</definedName>
    <definedName name="_xlnm._FilterDatabase" localSheetId="2" hidden="1">Journal!$A$1:$O$2864</definedName>
    <definedName name="BIL98MC">Budget!$E$265</definedName>
    <definedName name="Budget.Cpte">Budget!$A:$A</definedName>
    <definedName name="Budget.Description">Budget!$D:$D</definedName>
    <definedName name="Budget.Dest">Budget!$C:$C</definedName>
    <definedName name="Budget.SsCpte">Budget!$B:$B</definedName>
    <definedName name="CesuPU">#REF!</definedName>
    <definedName name="Comptes_Compacte">Budget!#REF!</definedName>
    <definedName name="Comptes_Raccourcis">'Set-Up'!$D$1:$D$35</definedName>
    <definedName name="Cpte" localSheetId="2">Journal!$E:$E</definedName>
    <definedName name="CpteClaire">Budget!$E$261</definedName>
    <definedName name="Date" localSheetId="2">Journal!$A:$A</definedName>
    <definedName name="Dest" localSheetId="2">Journal!$G:$G</definedName>
    <definedName name="Doc" localSheetId="2">Journal!$B:$B</definedName>
    <definedName name="Doc" localSheetId="3">Journal!$B:$B</definedName>
    <definedName name="Echeance">#REF!</definedName>
    <definedName name="Journal.Cpte">Journal!$E:$E</definedName>
    <definedName name="Journal.Dest">Journal!$G:$G</definedName>
    <definedName name="Journal.Doc">Journal!$B:$B</definedName>
    <definedName name="Journal.Montant">Journal!$D:$D</definedName>
    <definedName name="Journal.Rapp">Journal!$I:$I</definedName>
    <definedName name="Journal.SsCpte">Journal!$F:$F</definedName>
    <definedName name="Journal_Montants">ROUND(SUM(Journal.Montant),2)</definedName>
    <definedName name="Journal_Total">'Set-Up'!$B$1</definedName>
    <definedName name="Monnaie">Budget!$E$250</definedName>
    <definedName name="Montant" localSheetId="2">Journal!$D:$D</definedName>
    <definedName name="Rapp" localSheetId="2">Journal!$I:$I</definedName>
    <definedName name="Rapp" localSheetId="3">Journal!$I:$I</definedName>
    <definedName name="Rapp_CodeCredit">Rapp!$E$16</definedName>
    <definedName name="Rapp_CodeCreditt">[1]Rapp!$E$16</definedName>
    <definedName name="Rapp_CodeDebit">Rapp!$E$14</definedName>
    <definedName name="Rapp_Cpte">Rapp!$B$2</definedName>
    <definedName name="Rapp_DateFin">Rapp!$E$4</definedName>
    <definedName name="Rapp_Dest">Rapp!$D$2</definedName>
    <definedName name="Rapp_Open">Rapp!$A$4</definedName>
    <definedName name="Rapp_SoldeDeb">Rapp!$D$6</definedName>
    <definedName name="Rapp_SoldeFin">Rapp!$D$10</definedName>
    <definedName name="Rapp_SsCpte">Rapp!$C$2</definedName>
    <definedName name="Rapp_TotalCredit">Rapp!$C$8</definedName>
    <definedName name="Rapp_TotalDebit">Rapp!$B$8</definedName>
    <definedName name="ReleveMutuelle1" localSheetId="2">[2]Dossiers!$Q:$Q</definedName>
    <definedName name="ReleveMutuelle2" localSheetId="2">[2]Dossiers!$T:$T</definedName>
    <definedName name="SetUp.ControleEquilibre">'Set-Up'!$B$4</definedName>
    <definedName name="SsCpte" localSheetId="2">Journal!$F:$F</definedName>
    <definedName name="Taux">#REF!</definedName>
    <definedName name="Travo_Claire">Budget!$E$98</definedName>
    <definedName name="Type" localSheetId="2">Journal!$H:$H</definedName>
    <definedName name="xxxxxxxxxxxx">[3]Rapp!$E$16</definedName>
    <definedName name="Z_2B94AA83_46E9_4E24_8EE1_844AF720AE16_.wvu.FilterData" localSheetId="2" hidden="1">Journal!$A$1:$K$1</definedName>
    <definedName name="_xlnm.Print_Area" localSheetId="2">Journal!$B:$D</definedName>
  </definedNames>
  <calcPr calcId="191029" fullPrecision="0"/>
  <customWorkbookViews>
    <customWorkbookView name="JOUZIER Bruno - Affichage personnalisé" guid="{2B94AA83-46E9-4E24-8EE1-844AF720AE16}" mergeInterval="0" personalView="1" maximized="1" windowWidth="796" windowHeight="428" tabRatio="727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864" i="1" l="1"/>
  <c r="J2807" i="1"/>
  <c r="J2863" i="1"/>
  <c r="J2862" i="1"/>
  <c r="J2861" i="1"/>
  <c r="J2860" i="1"/>
  <c r="J2859" i="1"/>
  <c r="J2858" i="1"/>
  <c r="J2857" i="1"/>
  <c r="J2856" i="1"/>
  <c r="J2855" i="1"/>
  <c r="J2854" i="1"/>
  <c r="J2853" i="1"/>
  <c r="J2852" i="1"/>
  <c r="J2851" i="1"/>
  <c r="J2850" i="1"/>
  <c r="J2849" i="1"/>
  <c r="J2848" i="1"/>
  <c r="J2847" i="1"/>
  <c r="J2846" i="1"/>
  <c r="J2845" i="1"/>
  <c r="J2844" i="1"/>
  <c r="J2843" i="1"/>
  <c r="J2842" i="1"/>
  <c r="J2841" i="1"/>
  <c r="J2840" i="1"/>
  <c r="J2839" i="1"/>
  <c r="J2838" i="1"/>
  <c r="J2837" i="1"/>
  <c r="J2836" i="1"/>
  <c r="J2835" i="1"/>
  <c r="J2834" i="1"/>
  <c r="J2833" i="1"/>
  <c r="J2832" i="1"/>
  <c r="J2831" i="1"/>
  <c r="J2830" i="1"/>
  <c r="J2829" i="1"/>
  <c r="J2828" i="1"/>
  <c r="J2827" i="1"/>
  <c r="J2826" i="1"/>
  <c r="J2825" i="1"/>
  <c r="J2824" i="1"/>
  <c r="J2823" i="1"/>
  <c r="J2822" i="1"/>
  <c r="J2821" i="1"/>
  <c r="J2820" i="1"/>
  <c r="J2819" i="1"/>
  <c r="J2818" i="1"/>
  <c r="J2817" i="1"/>
  <c r="J2816" i="1"/>
  <c r="J2815" i="1"/>
  <c r="J2814" i="1"/>
  <c r="J2813" i="1"/>
  <c r="J2812" i="1"/>
  <c r="J2811" i="1"/>
  <c r="J2810" i="1"/>
  <c r="J2809" i="1"/>
  <c r="J2808" i="1"/>
  <c r="J2806" i="1"/>
  <c r="J2805" i="1"/>
  <c r="J2804" i="1"/>
  <c r="J2803" i="1"/>
  <c r="J2802" i="1"/>
  <c r="J2801" i="1"/>
  <c r="J2800" i="1"/>
  <c r="J2799" i="1"/>
  <c r="J2798" i="1"/>
  <c r="J2797" i="1"/>
  <c r="J2796" i="1"/>
  <c r="J2795" i="1"/>
  <c r="J2794" i="1"/>
  <c r="J2793" i="1"/>
  <c r="J2792" i="1"/>
  <c r="J2791" i="1"/>
  <c r="J2790" i="1"/>
  <c r="J2789" i="1"/>
  <c r="J2788" i="1"/>
  <c r="J2787" i="1"/>
  <c r="J2786" i="1"/>
  <c r="J2785" i="1"/>
  <c r="J2784" i="1"/>
  <c r="J2783" i="1"/>
  <c r="J2782" i="1"/>
  <c r="J2781" i="1"/>
  <c r="J2780" i="1"/>
  <c r="J2779" i="1"/>
  <c r="J2778" i="1"/>
  <c r="J2777" i="1"/>
  <c r="J2776" i="1"/>
  <c r="J2775" i="1"/>
  <c r="J2774" i="1"/>
  <c r="J2773" i="1"/>
  <c r="J2772" i="1"/>
  <c r="J2771" i="1"/>
  <c r="J2770" i="1"/>
  <c r="J2769" i="1"/>
  <c r="J2768" i="1"/>
  <c r="J2767" i="1"/>
  <c r="J2766" i="1"/>
  <c r="J2765" i="1"/>
  <c r="J2764" i="1"/>
  <c r="J2763" i="1"/>
  <c r="J2762" i="1"/>
  <c r="J2761" i="1"/>
  <c r="J2760" i="1"/>
  <c r="J2759" i="1"/>
  <c r="J2758" i="1"/>
  <c r="J2757" i="1"/>
  <c r="J2756" i="1"/>
  <c r="J2755" i="1"/>
  <c r="J2754" i="1"/>
  <c r="J2753" i="1"/>
  <c r="J2752" i="1"/>
  <c r="J2751" i="1"/>
  <c r="J2750" i="1"/>
  <c r="J2749" i="1"/>
  <c r="J2748" i="1"/>
  <c r="J2747" i="1"/>
  <c r="J2746" i="1"/>
  <c r="J2745" i="1"/>
  <c r="J2744" i="1"/>
  <c r="J2743" i="1"/>
  <c r="J2742" i="1"/>
  <c r="J2741" i="1"/>
  <c r="J2740" i="1"/>
  <c r="J2739" i="1"/>
  <c r="J2738" i="1"/>
  <c r="J2737" i="1"/>
  <c r="J2736" i="1"/>
  <c r="J2735" i="1"/>
  <c r="J2734" i="1"/>
  <c r="J2733" i="1"/>
  <c r="J2732" i="1"/>
  <c r="J2731" i="1"/>
  <c r="J2730" i="1"/>
  <c r="J2729" i="1"/>
  <c r="J2728" i="1"/>
  <c r="J2727" i="1"/>
  <c r="J2726" i="1"/>
  <c r="J2725" i="1"/>
  <c r="J2724" i="1"/>
  <c r="J2723" i="1"/>
  <c r="J2722" i="1"/>
  <c r="J2721" i="1"/>
  <c r="J2720" i="1"/>
  <c r="J2719" i="1"/>
  <c r="J2718" i="1"/>
  <c r="J2717" i="1"/>
  <c r="J2716" i="1"/>
  <c r="J2715" i="1"/>
  <c r="J2714" i="1"/>
  <c r="J2713" i="1"/>
  <c r="J2712" i="1"/>
  <c r="J2711" i="1"/>
  <c r="J2710" i="1"/>
  <c r="J2709" i="1"/>
  <c r="J2708" i="1"/>
  <c r="J2707" i="1"/>
  <c r="J2706" i="1"/>
  <c r="J2705" i="1"/>
  <c r="J2704" i="1"/>
  <c r="J2703" i="1"/>
  <c r="J2702" i="1"/>
  <c r="J2701" i="1"/>
  <c r="J2700" i="1"/>
  <c r="J2699" i="1"/>
  <c r="J2698" i="1"/>
  <c r="J2697" i="1"/>
  <c r="J2696" i="1"/>
  <c r="J2695" i="1"/>
  <c r="J2694" i="1"/>
  <c r="J2693" i="1"/>
  <c r="J2692" i="1"/>
  <c r="J2691" i="1"/>
  <c r="J2690" i="1"/>
  <c r="J2689" i="1"/>
  <c r="J2688" i="1"/>
  <c r="J2687" i="1"/>
  <c r="J2686" i="1"/>
  <c r="J2685" i="1"/>
  <c r="J2684" i="1"/>
  <c r="J2683" i="1"/>
  <c r="J2682" i="1"/>
  <c r="J2681" i="1"/>
  <c r="J2680" i="1"/>
  <c r="J2679" i="1"/>
  <c r="J2678" i="1"/>
  <c r="J2677" i="1"/>
  <c r="J2676" i="1"/>
  <c r="J2675" i="1"/>
  <c r="J2674" i="1"/>
  <c r="J2673" i="1"/>
  <c r="J2672" i="1"/>
  <c r="J2671" i="1"/>
  <c r="J2670" i="1"/>
  <c r="J2669" i="1"/>
  <c r="J2668" i="1"/>
  <c r="J2667" i="1"/>
  <c r="J2666" i="1"/>
  <c r="J2665" i="1"/>
  <c r="J2664" i="1"/>
  <c r="J2663" i="1"/>
  <c r="J2662" i="1"/>
  <c r="J2661" i="1"/>
  <c r="J2660" i="1"/>
  <c r="J2659" i="1"/>
  <c r="J2658" i="1"/>
  <c r="J2657" i="1"/>
  <c r="J2656" i="1"/>
  <c r="J2655" i="1"/>
  <c r="J2654" i="1"/>
  <c r="J2653" i="1"/>
  <c r="J2652" i="1"/>
  <c r="J2651" i="1"/>
  <c r="J2650" i="1"/>
  <c r="J2649" i="1"/>
  <c r="J2648" i="1"/>
  <c r="J2647" i="1"/>
  <c r="J2646" i="1"/>
  <c r="J2645" i="1"/>
  <c r="J2644" i="1"/>
  <c r="J2643" i="1"/>
  <c r="J2642" i="1"/>
  <c r="J2641" i="1"/>
  <c r="J2640" i="1"/>
  <c r="J2639" i="1"/>
  <c r="J2638" i="1"/>
  <c r="J2637" i="1"/>
  <c r="J2636" i="1"/>
  <c r="J2635" i="1"/>
  <c r="J2634" i="1"/>
  <c r="J2633" i="1"/>
  <c r="J2632" i="1"/>
  <c r="J2631" i="1"/>
  <c r="J2630" i="1"/>
  <c r="J2629" i="1"/>
  <c r="J2628" i="1"/>
  <c r="J2627" i="1"/>
  <c r="J2626" i="1"/>
  <c r="J2625" i="1"/>
  <c r="J2624" i="1"/>
  <c r="J2623" i="1"/>
  <c r="J2622" i="1"/>
  <c r="J2621" i="1"/>
  <c r="J2620" i="1"/>
  <c r="J2619" i="1"/>
  <c r="J2618" i="1"/>
  <c r="J2617" i="1"/>
  <c r="J2616" i="1"/>
  <c r="J2615" i="1"/>
  <c r="J2614" i="1"/>
  <c r="J2613" i="1"/>
  <c r="J2612" i="1"/>
  <c r="J2611" i="1"/>
  <c r="J2610" i="1"/>
  <c r="J2609" i="1"/>
  <c r="J2608" i="1"/>
  <c r="J2607" i="1"/>
  <c r="J2606" i="1"/>
  <c r="J2605" i="1"/>
  <c r="J2604" i="1"/>
  <c r="J2603" i="1"/>
  <c r="J2602" i="1"/>
  <c r="J2601" i="1"/>
  <c r="J2600" i="1"/>
  <c r="J2599" i="1"/>
  <c r="J2598" i="1"/>
  <c r="J2597" i="1"/>
  <c r="J2596" i="1"/>
  <c r="J2595" i="1"/>
  <c r="J2594" i="1"/>
  <c r="J2593" i="1"/>
  <c r="J2592" i="1"/>
  <c r="J2591" i="1"/>
  <c r="J2590" i="1"/>
  <c r="J2589" i="1"/>
  <c r="J2588" i="1"/>
  <c r="J2587" i="1"/>
  <c r="J2586" i="1"/>
  <c r="J2585" i="1"/>
  <c r="J2584" i="1"/>
  <c r="J2583" i="1"/>
  <c r="J2582" i="1"/>
  <c r="J2581" i="1"/>
  <c r="J2580" i="1"/>
  <c r="J2579" i="1"/>
  <c r="J2578" i="1"/>
  <c r="J2577" i="1"/>
  <c r="J2576" i="1"/>
  <c r="J2575" i="1"/>
  <c r="J2574" i="1"/>
  <c r="J2573" i="1"/>
  <c r="J2572" i="1"/>
  <c r="J2571" i="1"/>
  <c r="J2570" i="1"/>
  <c r="J2569" i="1"/>
  <c r="J2568" i="1"/>
  <c r="J2567" i="1"/>
  <c r="J2566" i="1"/>
  <c r="J2565" i="1"/>
  <c r="J2564" i="1"/>
  <c r="J2563" i="1"/>
  <c r="J2562" i="1"/>
  <c r="J2561" i="1"/>
  <c r="J2560" i="1"/>
  <c r="J2559" i="1"/>
  <c r="J2558" i="1"/>
  <c r="J2557" i="1"/>
  <c r="J2556" i="1"/>
  <c r="J2555" i="1"/>
  <c r="J2554" i="1"/>
  <c r="J2553" i="1"/>
  <c r="J2552" i="1"/>
  <c r="J2551" i="1"/>
  <c r="J2550" i="1"/>
  <c r="J2549" i="1"/>
  <c r="J2548" i="1"/>
  <c r="J2547" i="1"/>
  <c r="J2546" i="1"/>
  <c r="J2545" i="1"/>
  <c r="J2544" i="1"/>
  <c r="J2543" i="1"/>
  <c r="J2542" i="1"/>
  <c r="J2541" i="1"/>
  <c r="J2540" i="1"/>
  <c r="J2539" i="1"/>
  <c r="J2538" i="1"/>
  <c r="J2537" i="1"/>
  <c r="J2536" i="1"/>
  <c r="J2535" i="1"/>
  <c r="J2534" i="1"/>
  <c r="J2533" i="1"/>
  <c r="J2532" i="1"/>
  <c r="J2531" i="1"/>
  <c r="J2530" i="1"/>
  <c r="J2529" i="1"/>
  <c r="J2528" i="1"/>
  <c r="J2527" i="1"/>
  <c r="J2526" i="1"/>
  <c r="J2525" i="1"/>
  <c r="J2524" i="1"/>
  <c r="J2523" i="1"/>
  <c r="J2522" i="1"/>
  <c r="J2521" i="1"/>
  <c r="J2520" i="1"/>
  <c r="J2519" i="1"/>
  <c r="J2518" i="1"/>
  <c r="J2517" i="1"/>
  <c r="J2516" i="1"/>
  <c r="J2515" i="1"/>
  <c r="J2514" i="1"/>
  <c r="J2513" i="1"/>
  <c r="J2512" i="1"/>
  <c r="J2511" i="1"/>
  <c r="J2510" i="1"/>
  <c r="J2509" i="1"/>
  <c r="J2508" i="1"/>
  <c r="J2507" i="1"/>
  <c r="J2506" i="1"/>
  <c r="J2505" i="1"/>
  <c r="J2504" i="1"/>
  <c r="J2503" i="1"/>
  <c r="J2502" i="1"/>
  <c r="J2501" i="1"/>
  <c r="J2500" i="1"/>
  <c r="J2499" i="1"/>
  <c r="J2498" i="1"/>
  <c r="J2497" i="1"/>
  <c r="J2496" i="1"/>
  <c r="J2495" i="1"/>
  <c r="J2494" i="1"/>
  <c r="J2493" i="1"/>
  <c r="J2492" i="1"/>
  <c r="J2491" i="1"/>
  <c r="J2490" i="1"/>
  <c r="J2489" i="1"/>
  <c r="J2488" i="1"/>
  <c r="J2487" i="1"/>
  <c r="J2486" i="1"/>
  <c r="J2485" i="1"/>
  <c r="J2484" i="1"/>
  <c r="J2483" i="1"/>
  <c r="J2482" i="1"/>
  <c r="J2481" i="1"/>
  <c r="J2480" i="1"/>
  <c r="J2479" i="1"/>
  <c r="J2478" i="1"/>
  <c r="J2477" i="1"/>
  <c r="J2476" i="1"/>
  <c r="J2475" i="1"/>
  <c r="J2474" i="1"/>
  <c r="J2473" i="1"/>
  <c r="J2472" i="1"/>
  <c r="J2471" i="1"/>
  <c r="J2470" i="1"/>
  <c r="J2469" i="1"/>
  <c r="J2468" i="1"/>
  <c r="J2467" i="1"/>
  <c r="J2466" i="1"/>
  <c r="J2465" i="1"/>
  <c r="J2464" i="1"/>
  <c r="J2463" i="1"/>
  <c r="J2462" i="1"/>
  <c r="J2461" i="1"/>
  <c r="J2460" i="1"/>
  <c r="J2459" i="1"/>
  <c r="J2458" i="1"/>
  <c r="J2457" i="1"/>
  <c r="J2456" i="1"/>
  <c r="J2455" i="1"/>
  <c r="J2454" i="1"/>
  <c r="J2453" i="1"/>
  <c r="J2452" i="1"/>
  <c r="J2451" i="1"/>
  <c r="J2450" i="1"/>
  <c r="J2449" i="1"/>
  <c r="J2448" i="1"/>
  <c r="J2447" i="1"/>
  <c r="J2446" i="1"/>
  <c r="J2445" i="1"/>
  <c r="J2444" i="1"/>
  <c r="J2443" i="1"/>
  <c r="J2442" i="1"/>
  <c r="J2441" i="1"/>
  <c r="J2440" i="1"/>
  <c r="J2439" i="1"/>
  <c r="J2438" i="1"/>
  <c r="J2437" i="1"/>
  <c r="J2436" i="1"/>
  <c r="J2435" i="1"/>
  <c r="J2434" i="1"/>
  <c r="J2433" i="1"/>
  <c r="J2432" i="1"/>
  <c r="J2431" i="1"/>
  <c r="J2430" i="1"/>
  <c r="J2429" i="1"/>
  <c r="J2428" i="1"/>
  <c r="J2427" i="1"/>
  <c r="J2426" i="1"/>
  <c r="J2425" i="1"/>
  <c r="J2424" i="1"/>
  <c r="J2423" i="1"/>
  <c r="J2422" i="1"/>
  <c r="J2421" i="1"/>
  <c r="J2420" i="1"/>
  <c r="J2419" i="1"/>
  <c r="J2418" i="1"/>
  <c r="J2417" i="1"/>
  <c r="J2416" i="1"/>
  <c r="J2415" i="1"/>
  <c r="J2414" i="1"/>
  <c r="J2413" i="1"/>
  <c r="J2412" i="1"/>
  <c r="J2411" i="1"/>
  <c r="J2410" i="1"/>
  <c r="J2409" i="1"/>
  <c r="J2408" i="1"/>
  <c r="J2407" i="1"/>
  <c r="J2406" i="1"/>
  <c r="J2405" i="1"/>
  <c r="J2404" i="1"/>
  <c r="J2403" i="1"/>
  <c r="J2402" i="1"/>
  <c r="J2401" i="1"/>
  <c r="J2400" i="1"/>
  <c r="J2399" i="1"/>
  <c r="J2398" i="1"/>
  <c r="J2397" i="1"/>
  <c r="J2396" i="1"/>
  <c r="J2395" i="1"/>
  <c r="J2394" i="1"/>
  <c r="J2393" i="1"/>
  <c r="J2392" i="1"/>
  <c r="J2391" i="1"/>
  <c r="J2390" i="1"/>
  <c r="J2389" i="1"/>
  <c r="J2388" i="1"/>
  <c r="J2387" i="1"/>
  <c r="J2386" i="1"/>
  <c r="J2385" i="1"/>
  <c r="J2384" i="1"/>
  <c r="J2383" i="1"/>
  <c r="J2382" i="1"/>
  <c r="J2381" i="1"/>
  <c r="J2380" i="1"/>
  <c r="J2379" i="1"/>
  <c r="J2378" i="1"/>
  <c r="J2377" i="1"/>
  <c r="J2376" i="1"/>
  <c r="J2375" i="1"/>
  <c r="J2374" i="1"/>
  <c r="J2373" i="1"/>
  <c r="J2372" i="1"/>
  <c r="J2371" i="1"/>
  <c r="J2370" i="1"/>
  <c r="J2369" i="1"/>
  <c r="J2368" i="1"/>
  <c r="J2367" i="1"/>
  <c r="J2366" i="1"/>
  <c r="J2365" i="1"/>
  <c r="J2364" i="1"/>
  <c r="J2363" i="1"/>
  <c r="J2362" i="1"/>
  <c r="J2361" i="1"/>
  <c r="J2360" i="1"/>
  <c r="J2359" i="1"/>
  <c r="J2358" i="1"/>
  <c r="J2357" i="1"/>
  <c r="J2356" i="1"/>
  <c r="J2355" i="1"/>
  <c r="J2354" i="1"/>
  <c r="J2353" i="1"/>
  <c r="J2352" i="1"/>
  <c r="J2351" i="1"/>
  <c r="J2350" i="1"/>
  <c r="J2349" i="1"/>
  <c r="J2348" i="1"/>
  <c r="J2347" i="1"/>
  <c r="J2346" i="1"/>
  <c r="J2345" i="1"/>
  <c r="J2344" i="1"/>
  <c r="J2343" i="1"/>
  <c r="J2342" i="1"/>
  <c r="J2341" i="1"/>
  <c r="J2340" i="1"/>
  <c r="J2339" i="1"/>
  <c r="J2338" i="1"/>
  <c r="J2337" i="1"/>
  <c r="J2336" i="1"/>
  <c r="J2335" i="1"/>
  <c r="J2334" i="1"/>
  <c r="J2333" i="1"/>
  <c r="J2332" i="1"/>
  <c r="J2331" i="1"/>
  <c r="J2330" i="1"/>
  <c r="J2329" i="1"/>
  <c r="J2328" i="1"/>
  <c r="J2327" i="1"/>
  <c r="J2326" i="1"/>
  <c r="J2325" i="1"/>
  <c r="J2324" i="1"/>
  <c r="J2323" i="1"/>
  <c r="J2322" i="1"/>
  <c r="J2321" i="1"/>
  <c r="J2320" i="1"/>
  <c r="J2319" i="1"/>
  <c r="J2318" i="1"/>
  <c r="J2317" i="1"/>
  <c r="J2316" i="1"/>
  <c r="J2315" i="1"/>
  <c r="J2314" i="1"/>
  <c r="J2313" i="1"/>
  <c r="J2312" i="1"/>
  <c r="J2311" i="1"/>
  <c r="J2310" i="1"/>
  <c r="J2309" i="1"/>
  <c r="J2308" i="1"/>
  <c r="J2307" i="1"/>
  <c r="J2306" i="1"/>
  <c r="J2305" i="1"/>
  <c r="J2304" i="1"/>
  <c r="J2303" i="1"/>
  <c r="J2302" i="1"/>
  <c r="J2301" i="1"/>
  <c r="J2300" i="1"/>
  <c r="J2299" i="1"/>
  <c r="J2298" i="1"/>
  <c r="J2297" i="1"/>
  <c r="J2296" i="1"/>
  <c r="J2295" i="1"/>
  <c r="J2294" i="1"/>
  <c r="J2293" i="1"/>
  <c r="J2292" i="1"/>
  <c r="J2291" i="1"/>
  <c r="J2290" i="1"/>
  <c r="J2289" i="1"/>
  <c r="J2288" i="1"/>
  <c r="J2287" i="1"/>
  <c r="J2286" i="1"/>
  <c r="J2285" i="1"/>
  <c r="J2284" i="1"/>
  <c r="J2283" i="1"/>
  <c r="J2282" i="1"/>
  <c r="J2281" i="1"/>
  <c r="J2280" i="1"/>
  <c r="J2279" i="1"/>
  <c r="J2278" i="1"/>
  <c r="J2277" i="1"/>
  <c r="J2276" i="1"/>
  <c r="J2275" i="1"/>
  <c r="J2274" i="1"/>
  <c r="J2273" i="1"/>
  <c r="J2272" i="1"/>
  <c r="J2271" i="1"/>
  <c r="J2270" i="1"/>
  <c r="J2269" i="1"/>
  <c r="J2268" i="1"/>
  <c r="J2267" i="1"/>
  <c r="J2266" i="1"/>
  <c r="J2265" i="1"/>
  <c r="J2264" i="1"/>
  <c r="J2263" i="1"/>
  <c r="J2262" i="1"/>
  <c r="J2261" i="1"/>
  <c r="J2260" i="1"/>
  <c r="J2259" i="1"/>
  <c r="J2258" i="1"/>
  <c r="J2257" i="1"/>
  <c r="J2256" i="1"/>
  <c r="J2255" i="1"/>
  <c r="J2254" i="1"/>
  <c r="J2253" i="1"/>
  <c r="J2252" i="1"/>
  <c r="J2251" i="1"/>
  <c r="J2250" i="1"/>
  <c r="J2249" i="1"/>
  <c r="J2248" i="1"/>
  <c r="J2247" i="1"/>
  <c r="J2246" i="1"/>
  <c r="J2245" i="1"/>
  <c r="J2244" i="1"/>
  <c r="J2243" i="1"/>
  <c r="J2242" i="1"/>
  <c r="J2241" i="1"/>
  <c r="J2240" i="1"/>
  <c r="J2239" i="1"/>
  <c r="J2238" i="1"/>
  <c r="J2237" i="1"/>
  <c r="J2236" i="1"/>
  <c r="J2235" i="1"/>
  <c r="J2234" i="1"/>
  <c r="J2233" i="1"/>
  <c r="J2232" i="1"/>
  <c r="J2231" i="1"/>
  <c r="J2230" i="1"/>
  <c r="J2229" i="1"/>
  <c r="J2228" i="1"/>
  <c r="J2227" i="1"/>
  <c r="J2226" i="1"/>
  <c r="J2225" i="1"/>
  <c r="J2224" i="1"/>
  <c r="J2223" i="1"/>
  <c r="J2222" i="1"/>
  <c r="J2221" i="1"/>
  <c r="J2220" i="1"/>
  <c r="J2219" i="1"/>
  <c r="J2218" i="1"/>
  <c r="J2217" i="1"/>
  <c r="J2216" i="1"/>
  <c r="J2215" i="1"/>
  <c r="J2214" i="1"/>
  <c r="J2213" i="1"/>
  <c r="J2212" i="1"/>
  <c r="J2211" i="1"/>
  <c r="J2210" i="1"/>
  <c r="J2209" i="1"/>
  <c r="J2208" i="1"/>
  <c r="J2207" i="1"/>
  <c r="J2206" i="1"/>
  <c r="J2205" i="1"/>
  <c r="J2204" i="1"/>
  <c r="J2203" i="1"/>
  <c r="J2202" i="1"/>
  <c r="J2201" i="1"/>
  <c r="J2200" i="1"/>
  <c r="J2199" i="1"/>
  <c r="J2198" i="1"/>
  <c r="J2197" i="1"/>
  <c r="J2196" i="1"/>
  <c r="J2195" i="1"/>
  <c r="J2194" i="1"/>
  <c r="J2193" i="1"/>
  <c r="J2192" i="1"/>
  <c r="J2191" i="1"/>
  <c r="J2190" i="1"/>
  <c r="J2189" i="1"/>
  <c r="J2188" i="1"/>
  <c r="J2187" i="1"/>
  <c r="J2186" i="1"/>
  <c r="J2185" i="1"/>
  <c r="J2184" i="1"/>
  <c r="J2183" i="1"/>
  <c r="J2182" i="1"/>
  <c r="J2181" i="1"/>
  <c r="J2180" i="1"/>
  <c r="J2179" i="1"/>
  <c r="J2178" i="1"/>
  <c r="J2177" i="1"/>
  <c r="J2176" i="1"/>
  <c r="J2175" i="1"/>
  <c r="J2174" i="1"/>
  <c r="J2173" i="1"/>
  <c r="J2172" i="1"/>
  <c r="J2171" i="1"/>
  <c r="J2170" i="1"/>
  <c r="J2169" i="1"/>
  <c r="J2168" i="1"/>
  <c r="J2167" i="1"/>
  <c r="J2166" i="1"/>
  <c r="J2165" i="1"/>
  <c r="J2164" i="1"/>
  <c r="J2163" i="1"/>
  <c r="J2162" i="1"/>
  <c r="J2161" i="1"/>
  <c r="J2160" i="1"/>
  <c r="J2159" i="1"/>
  <c r="J2158" i="1"/>
  <c r="J2157" i="1"/>
  <c r="J2156" i="1"/>
  <c r="J2155" i="1"/>
  <c r="J2154" i="1"/>
  <c r="J2153" i="1"/>
  <c r="J2152" i="1"/>
  <c r="J2151" i="1"/>
  <c r="J2150" i="1"/>
  <c r="J2149" i="1"/>
  <c r="J2148" i="1"/>
  <c r="J2147" i="1"/>
  <c r="J2146" i="1"/>
  <c r="J2145" i="1"/>
  <c r="J2144" i="1"/>
  <c r="J2143" i="1"/>
  <c r="J2142" i="1"/>
  <c r="J2141" i="1"/>
  <c r="J2140" i="1"/>
  <c r="J2139" i="1"/>
  <c r="J2138" i="1"/>
  <c r="J2137" i="1"/>
  <c r="J2136" i="1"/>
  <c r="J2135" i="1"/>
  <c r="J2134" i="1"/>
  <c r="J2133" i="1"/>
  <c r="J2132" i="1"/>
  <c r="J2131" i="1"/>
  <c r="J2130" i="1"/>
  <c r="J2129" i="1"/>
  <c r="J2128" i="1"/>
  <c r="J2127" i="1"/>
  <c r="J2126" i="1"/>
  <c r="J2125" i="1"/>
  <c r="J2124" i="1"/>
  <c r="J2123" i="1"/>
  <c r="J2122" i="1"/>
  <c r="J2121" i="1"/>
  <c r="J2120" i="1"/>
  <c r="J2119" i="1"/>
  <c r="J2118" i="1"/>
  <c r="J2117" i="1"/>
  <c r="J2116" i="1"/>
  <c r="J2115" i="1"/>
  <c r="J2114" i="1"/>
  <c r="J2113" i="1"/>
  <c r="J2112" i="1"/>
  <c r="J2111" i="1"/>
  <c r="J2110" i="1"/>
  <c r="J2109" i="1"/>
  <c r="J2108" i="1"/>
  <c r="J2107" i="1"/>
  <c r="J2106" i="1"/>
  <c r="J2105" i="1"/>
  <c r="J2104" i="1"/>
  <c r="J2103" i="1"/>
  <c r="J2102" i="1"/>
  <c r="J2101" i="1"/>
  <c r="J2100" i="1"/>
  <c r="J2099" i="1"/>
  <c r="J2098" i="1"/>
  <c r="J2097" i="1"/>
  <c r="J2096" i="1"/>
  <c r="J2095" i="1"/>
  <c r="J2094" i="1"/>
  <c r="J2093" i="1"/>
  <c r="J2092" i="1"/>
  <c r="J2091" i="1"/>
  <c r="J2090" i="1"/>
  <c r="J2089" i="1"/>
  <c r="J2088" i="1"/>
  <c r="J2087" i="1"/>
  <c r="J2086" i="1"/>
  <c r="J2085" i="1"/>
  <c r="J2084" i="1"/>
  <c r="J2083" i="1"/>
  <c r="J2082" i="1"/>
  <c r="J2081" i="1"/>
  <c r="J2080" i="1"/>
  <c r="J2079" i="1"/>
  <c r="J2078" i="1"/>
  <c r="J2077" i="1"/>
  <c r="J2076" i="1"/>
  <c r="J2075" i="1"/>
  <c r="J2074" i="1"/>
  <c r="J2073" i="1"/>
  <c r="J2072" i="1"/>
  <c r="J2071" i="1"/>
  <c r="J2070" i="1"/>
  <c r="J2069" i="1"/>
  <c r="J2068" i="1"/>
  <c r="J2067" i="1"/>
  <c r="J2066" i="1"/>
  <c r="J2065" i="1"/>
  <c r="J2064" i="1"/>
  <c r="J2063" i="1"/>
  <c r="J2062" i="1"/>
  <c r="J2061" i="1"/>
  <c r="J2060" i="1"/>
  <c r="J2059" i="1"/>
  <c r="J2058" i="1"/>
  <c r="J2057" i="1"/>
  <c r="J2056" i="1"/>
  <c r="J2055" i="1"/>
  <c r="J2054" i="1"/>
  <c r="J2053" i="1"/>
  <c r="J2052" i="1"/>
  <c r="J2051" i="1"/>
  <c r="J2050" i="1"/>
  <c r="J2049" i="1"/>
  <c r="J2048" i="1"/>
  <c r="J2047" i="1"/>
  <c r="J2046" i="1"/>
  <c r="J2045" i="1"/>
  <c r="J2044" i="1"/>
  <c r="J2043" i="1"/>
  <c r="J2042" i="1"/>
  <c r="J2041" i="1"/>
  <c r="J2040" i="1"/>
  <c r="J2039" i="1"/>
  <c r="J2038" i="1"/>
  <c r="J2037" i="1"/>
  <c r="J2036" i="1"/>
  <c r="J2035" i="1"/>
  <c r="J2034" i="1"/>
  <c r="J2033" i="1"/>
  <c r="J2032" i="1"/>
  <c r="J2031" i="1"/>
  <c r="J2030" i="1"/>
  <c r="J2029" i="1"/>
  <c r="J2028" i="1"/>
  <c r="J2027" i="1"/>
  <c r="J2026" i="1"/>
  <c r="J2025" i="1"/>
  <c r="J2024" i="1"/>
  <c r="J2023" i="1"/>
  <c r="J2022" i="1"/>
  <c r="J2021" i="1"/>
  <c r="J2020" i="1"/>
  <c r="J2019" i="1"/>
  <c r="J2018" i="1"/>
  <c r="J2017" i="1"/>
  <c r="J2016" i="1"/>
  <c r="J2015" i="1"/>
  <c r="J2014" i="1"/>
  <c r="J2013" i="1"/>
  <c r="J2012" i="1"/>
  <c r="J2011" i="1"/>
  <c r="J2010" i="1"/>
  <c r="J2009" i="1"/>
  <c r="J2008" i="1"/>
  <c r="J2007" i="1"/>
  <c r="J2006" i="1"/>
  <c r="J2005" i="1"/>
  <c r="J2004" i="1"/>
  <c r="J2003" i="1"/>
  <c r="J2002" i="1"/>
  <c r="J2001" i="1"/>
  <c r="J2000" i="1"/>
  <c r="J1999" i="1"/>
  <c r="J1998" i="1"/>
  <c r="J1997" i="1"/>
  <c r="J1996" i="1"/>
  <c r="J1995" i="1"/>
  <c r="J1994" i="1"/>
  <c r="J1993" i="1"/>
  <c r="J1992" i="1"/>
  <c r="J1991" i="1"/>
  <c r="J1990" i="1"/>
  <c r="J1989" i="1"/>
  <c r="J1988" i="1"/>
  <c r="J1987" i="1"/>
  <c r="J1986" i="1"/>
  <c r="J1985" i="1"/>
  <c r="J1984" i="1"/>
  <c r="J1983" i="1"/>
  <c r="J1982" i="1"/>
  <c r="J1981" i="1"/>
  <c r="J1980" i="1"/>
  <c r="J1979" i="1"/>
  <c r="J1978" i="1"/>
  <c r="J1977" i="1"/>
  <c r="J1976" i="1"/>
  <c r="J1975" i="1"/>
  <c r="J1974" i="1"/>
  <c r="J1973" i="1"/>
  <c r="J1972" i="1"/>
  <c r="J1971" i="1"/>
  <c r="J1970" i="1"/>
  <c r="J1969" i="1"/>
  <c r="J1968" i="1"/>
  <c r="J1967" i="1"/>
  <c r="J1966" i="1"/>
  <c r="J1965" i="1"/>
  <c r="J1964" i="1"/>
  <c r="J1963" i="1"/>
  <c r="J1962" i="1"/>
  <c r="J1961" i="1"/>
  <c r="J1960" i="1"/>
  <c r="J1959" i="1"/>
  <c r="J1958" i="1"/>
  <c r="J1957" i="1"/>
  <c r="J1956" i="1"/>
  <c r="J1955" i="1"/>
  <c r="J1954" i="1"/>
  <c r="J1953" i="1"/>
  <c r="J1952" i="1"/>
  <c r="J1951" i="1"/>
  <c r="J1950" i="1"/>
  <c r="J1949" i="1"/>
  <c r="J1948" i="1"/>
  <c r="J1947" i="1"/>
  <c r="J1946" i="1"/>
  <c r="J1945" i="1"/>
  <c r="J1944" i="1"/>
  <c r="J1943" i="1"/>
  <c r="J1942" i="1"/>
  <c r="J1941" i="1"/>
  <c r="J1940" i="1"/>
  <c r="J1939" i="1"/>
  <c r="J1938" i="1"/>
  <c r="J1937" i="1"/>
  <c r="J1936" i="1"/>
  <c r="J1935" i="1"/>
  <c r="J1934" i="1"/>
  <c r="J1933" i="1"/>
  <c r="J1932" i="1"/>
  <c r="J1931" i="1"/>
  <c r="J1930" i="1"/>
  <c r="J1929" i="1"/>
  <c r="J1928" i="1"/>
  <c r="J1927" i="1"/>
  <c r="J1926" i="1"/>
  <c r="J1925" i="1"/>
  <c r="J1924" i="1"/>
  <c r="J1923" i="1"/>
  <c r="J1922" i="1"/>
  <c r="J1921" i="1"/>
  <c r="J1920" i="1"/>
  <c r="J1919" i="1"/>
  <c r="J1918" i="1"/>
  <c r="J1917" i="1"/>
  <c r="J1916" i="1"/>
  <c r="J1915" i="1"/>
  <c r="J1914" i="1"/>
  <c r="J1913" i="1"/>
  <c r="J1912" i="1"/>
  <c r="J1911" i="1"/>
  <c r="J1910" i="1"/>
  <c r="J1909" i="1"/>
  <c r="J1908" i="1"/>
  <c r="J1907" i="1"/>
  <c r="J1906" i="1"/>
  <c r="J1905" i="1"/>
  <c r="J1904" i="1"/>
  <c r="J1903" i="1"/>
  <c r="J1902" i="1"/>
  <c r="J1901" i="1"/>
  <c r="J1900" i="1"/>
  <c r="J1899" i="1"/>
  <c r="J1898" i="1"/>
  <c r="J1897" i="1"/>
  <c r="J1896" i="1"/>
  <c r="J1895" i="1"/>
  <c r="J1894" i="1"/>
  <c r="J1893" i="1"/>
  <c r="J1892" i="1"/>
  <c r="J1891" i="1"/>
  <c r="J1890" i="1"/>
  <c r="J1889" i="1"/>
  <c r="J1888" i="1"/>
  <c r="J1887" i="1"/>
  <c r="J1886" i="1"/>
  <c r="J1885" i="1"/>
  <c r="J1884" i="1"/>
  <c r="J1883" i="1"/>
  <c r="J1882" i="1"/>
  <c r="J1881" i="1"/>
  <c r="J1880" i="1"/>
  <c r="J1879" i="1"/>
  <c r="J1878" i="1"/>
  <c r="J1877" i="1"/>
  <c r="J1876" i="1"/>
  <c r="J1875" i="1"/>
  <c r="J1874" i="1"/>
  <c r="J1873" i="1"/>
  <c r="J1872" i="1"/>
  <c r="J1871" i="1"/>
  <c r="J1870" i="1"/>
  <c r="J1869" i="1"/>
  <c r="J1868" i="1"/>
  <c r="J1867" i="1"/>
  <c r="J1866" i="1"/>
  <c r="J1865" i="1"/>
  <c r="J1864" i="1"/>
  <c r="J1863" i="1"/>
  <c r="J1862" i="1"/>
  <c r="J1861" i="1"/>
  <c r="J1860" i="1"/>
  <c r="J1859" i="1"/>
  <c r="J1858" i="1"/>
  <c r="J1857" i="1"/>
  <c r="J1856" i="1"/>
  <c r="J1855" i="1"/>
  <c r="J1854" i="1"/>
  <c r="J1853" i="1"/>
  <c r="J1852" i="1"/>
  <c r="J1851" i="1"/>
  <c r="J1850" i="1"/>
  <c r="J1849" i="1"/>
  <c r="J1848" i="1"/>
  <c r="J1847" i="1"/>
  <c r="J1846" i="1"/>
  <c r="J1845" i="1"/>
  <c r="J1844" i="1"/>
  <c r="J1843" i="1"/>
  <c r="J1842" i="1"/>
  <c r="J1841" i="1"/>
  <c r="J1840" i="1"/>
  <c r="J1839" i="1"/>
  <c r="J1838" i="1"/>
  <c r="J1837" i="1"/>
  <c r="J1836" i="1"/>
  <c r="J1835" i="1"/>
  <c r="J1834" i="1"/>
  <c r="J1833" i="1"/>
  <c r="J1832" i="1"/>
  <c r="J1831" i="1"/>
  <c r="J1830" i="1"/>
  <c r="J1829" i="1"/>
  <c r="J1828" i="1"/>
  <c r="J1827" i="1"/>
  <c r="J1826" i="1"/>
  <c r="J1825" i="1"/>
  <c r="J1824" i="1"/>
  <c r="J1823" i="1"/>
  <c r="J1822" i="1"/>
  <c r="J1821" i="1"/>
  <c r="J1820" i="1"/>
  <c r="J1819" i="1"/>
  <c r="J1818" i="1"/>
  <c r="J1817" i="1"/>
  <c r="J1816" i="1"/>
  <c r="J1815" i="1"/>
  <c r="J1814" i="1"/>
  <c r="J1813" i="1"/>
  <c r="J1812" i="1"/>
  <c r="J1811" i="1"/>
  <c r="J1810" i="1"/>
  <c r="J1809" i="1"/>
  <c r="J1808" i="1"/>
  <c r="J1807" i="1"/>
  <c r="J1806" i="1"/>
  <c r="J1805" i="1"/>
  <c r="J1804" i="1"/>
  <c r="J1803" i="1"/>
  <c r="J1802" i="1"/>
  <c r="J1801" i="1"/>
  <c r="J1800" i="1"/>
  <c r="J1799" i="1"/>
  <c r="J1798" i="1"/>
  <c r="J1797" i="1"/>
  <c r="J1796" i="1"/>
  <c r="J1795" i="1"/>
  <c r="J1794" i="1"/>
  <c r="J1793" i="1"/>
  <c r="J1792" i="1"/>
  <c r="J1791" i="1"/>
  <c r="J1790" i="1"/>
  <c r="J1789" i="1"/>
  <c r="J1788" i="1"/>
  <c r="J1787" i="1"/>
  <c r="J1786" i="1"/>
  <c r="J1785" i="1"/>
  <c r="J1784" i="1"/>
  <c r="J1783" i="1"/>
  <c r="J1782" i="1"/>
  <c r="J1781" i="1"/>
  <c r="J1780" i="1"/>
  <c r="J1779" i="1"/>
  <c r="J1778" i="1"/>
  <c r="J1777" i="1"/>
  <c r="J1776" i="1"/>
  <c r="J1775" i="1"/>
  <c r="J1774" i="1"/>
  <c r="J1773" i="1"/>
  <c r="J1772" i="1"/>
  <c r="J1771" i="1"/>
  <c r="J1770" i="1"/>
  <c r="J1769" i="1"/>
  <c r="J1768" i="1"/>
  <c r="J1767" i="1"/>
  <c r="J1766" i="1"/>
  <c r="J1765" i="1"/>
  <c r="J1764" i="1"/>
  <c r="J1763" i="1"/>
  <c r="J1762" i="1"/>
  <c r="J1761" i="1"/>
  <c r="J1760" i="1"/>
  <c r="J1759" i="1"/>
  <c r="J1758" i="1"/>
  <c r="J1757" i="1"/>
  <c r="J1756" i="1"/>
  <c r="J1755" i="1"/>
  <c r="J1754" i="1"/>
  <c r="J1753" i="1"/>
  <c r="J1752" i="1"/>
  <c r="J1751" i="1"/>
  <c r="J1750" i="1"/>
  <c r="J1749" i="1"/>
  <c r="J1748" i="1"/>
  <c r="J1747" i="1"/>
  <c r="J1746" i="1"/>
  <c r="J1745" i="1"/>
  <c r="J1744" i="1"/>
  <c r="J1743" i="1"/>
  <c r="J1742" i="1"/>
  <c r="J1741" i="1"/>
  <c r="J1740" i="1"/>
  <c r="J1739" i="1"/>
  <c r="J1738" i="1"/>
  <c r="J1737" i="1"/>
  <c r="J1736" i="1"/>
  <c r="J1735" i="1"/>
  <c r="J1734" i="1"/>
  <c r="J1733" i="1"/>
  <c r="J1732" i="1"/>
  <c r="J1731" i="1"/>
  <c r="J1730" i="1"/>
  <c r="J1729" i="1"/>
  <c r="J1728" i="1"/>
  <c r="J1727" i="1"/>
  <c r="J1726" i="1"/>
  <c r="J1725" i="1"/>
  <c r="J1724" i="1"/>
  <c r="J1723" i="1"/>
  <c r="J1722" i="1"/>
  <c r="J1721" i="1"/>
  <c r="J1720" i="1"/>
  <c r="J1719" i="1"/>
  <c r="J1718" i="1"/>
  <c r="J1717" i="1"/>
  <c r="J1716" i="1"/>
  <c r="J1715" i="1"/>
  <c r="J1714" i="1"/>
  <c r="J1713" i="1"/>
  <c r="J1712" i="1"/>
  <c r="J1711" i="1"/>
  <c r="J1710" i="1"/>
  <c r="J1709" i="1"/>
  <c r="J1708" i="1"/>
  <c r="J1707" i="1"/>
  <c r="J1706" i="1"/>
  <c r="J1705" i="1"/>
  <c r="J1704" i="1"/>
  <c r="J1703" i="1"/>
  <c r="J1702" i="1"/>
  <c r="J1701" i="1"/>
  <c r="J1700" i="1"/>
  <c r="J1699" i="1"/>
  <c r="J1698" i="1"/>
  <c r="J1697" i="1"/>
  <c r="J1696" i="1"/>
  <c r="J1695" i="1"/>
  <c r="J1694" i="1"/>
  <c r="J1693" i="1"/>
  <c r="J1692" i="1"/>
  <c r="J1691" i="1"/>
  <c r="J1690" i="1"/>
  <c r="J1689" i="1"/>
  <c r="J1688" i="1"/>
  <c r="J1687" i="1"/>
  <c r="J1686" i="1"/>
  <c r="J1685" i="1"/>
  <c r="J1684" i="1"/>
  <c r="J1683" i="1"/>
  <c r="J1682" i="1"/>
  <c r="J1681" i="1"/>
  <c r="J1680" i="1"/>
  <c r="J1679" i="1"/>
  <c r="J1678" i="1"/>
  <c r="J1677" i="1"/>
  <c r="J1676" i="1"/>
  <c r="J1675" i="1"/>
  <c r="J1674" i="1"/>
  <c r="J1673" i="1"/>
  <c r="J1672" i="1"/>
  <c r="J1671" i="1"/>
  <c r="J1670" i="1"/>
  <c r="J1669" i="1"/>
  <c r="J1668" i="1"/>
  <c r="J1667" i="1"/>
  <c r="J1666" i="1"/>
  <c r="J1665" i="1"/>
  <c r="J1664" i="1"/>
  <c r="J1663" i="1"/>
  <c r="J1662" i="1"/>
  <c r="J1661" i="1"/>
  <c r="J1660" i="1"/>
  <c r="J1659" i="1"/>
  <c r="J1658" i="1"/>
  <c r="J1657" i="1"/>
  <c r="J1656" i="1"/>
  <c r="J1655" i="1"/>
  <c r="J1654" i="1"/>
  <c r="J1653" i="1"/>
  <c r="J1652" i="1"/>
  <c r="J1651" i="1"/>
  <c r="J1650" i="1"/>
  <c r="J1649" i="1"/>
  <c r="J1648" i="1"/>
  <c r="J1647" i="1"/>
  <c r="J1646" i="1"/>
  <c r="J1645" i="1"/>
  <c r="J1644" i="1"/>
  <c r="J1643" i="1"/>
  <c r="J1642" i="1"/>
  <c r="J1641" i="1"/>
  <c r="J1640" i="1"/>
  <c r="J1639" i="1"/>
  <c r="J1638" i="1"/>
  <c r="J1637" i="1"/>
  <c r="J1636" i="1"/>
  <c r="J1635" i="1"/>
  <c r="J1634" i="1"/>
  <c r="J1633" i="1"/>
  <c r="J1632" i="1"/>
  <c r="J1631" i="1"/>
  <c r="J1630" i="1"/>
  <c r="J1629" i="1"/>
  <c r="J1628" i="1"/>
  <c r="J1627" i="1"/>
  <c r="J1626" i="1"/>
  <c r="J1625" i="1"/>
  <c r="J1624" i="1"/>
  <c r="J1623" i="1"/>
  <c r="J1622" i="1"/>
  <c r="J1621" i="1"/>
  <c r="J1620" i="1"/>
  <c r="J1619" i="1"/>
  <c r="J1618" i="1"/>
  <c r="J1617" i="1"/>
  <c r="J1616" i="1"/>
  <c r="J1615" i="1"/>
  <c r="J1614" i="1"/>
  <c r="J1613" i="1"/>
  <c r="J1612" i="1"/>
  <c r="J1611" i="1"/>
  <c r="J1610" i="1"/>
  <c r="J1609" i="1"/>
  <c r="J1608" i="1"/>
  <c r="J1607" i="1"/>
  <c r="J1606" i="1"/>
  <c r="J1605" i="1"/>
  <c r="J1604" i="1"/>
  <c r="J1603" i="1"/>
  <c r="J1602" i="1"/>
  <c r="J1601" i="1"/>
  <c r="J1600" i="1"/>
  <c r="J1599" i="1"/>
  <c r="J1598" i="1"/>
  <c r="J1597" i="1"/>
  <c r="J1596" i="1"/>
  <c r="J1595" i="1"/>
  <c r="J1594" i="1"/>
  <c r="J1593" i="1"/>
  <c r="J1592" i="1"/>
  <c r="J1591" i="1"/>
  <c r="J1590" i="1"/>
  <c r="J1589" i="1"/>
  <c r="J1588" i="1"/>
  <c r="J1587" i="1"/>
  <c r="J1586" i="1"/>
  <c r="J1585" i="1"/>
  <c r="J1584" i="1"/>
  <c r="J1583" i="1"/>
  <c r="J1582" i="1"/>
  <c r="J1581" i="1"/>
  <c r="J1580" i="1"/>
  <c r="J1579" i="1"/>
  <c r="J1578" i="1"/>
  <c r="J1577" i="1"/>
  <c r="J1576" i="1"/>
  <c r="J1575" i="1"/>
  <c r="J1574" i="1"/>
  <c r="J1573" i="1"/>
  <c r="J1572" i="1"/>
  <c r="J1571" i="1"/>
  <c r="J1570" i="1"/>
  <c r="J1569" i="1"/>
  <c r="J1568" i="1"/>
  <c r="J1567" i="1"/>
  <c r="J1566" i="1"/>
  <c r="J1565" i="1"/>
  <c r="J1564" i="1"/>
  <c r="J1563" i="1"/>
  <c r="J1562" i="1"/>
  <c r="J1561" i="1"/>
  <c r="J1560" i="1"/>
  <c r="J1559" i="1"/>
  <c r="J1558" i="1"/>
  <c r="J1557" i="1"/>
  <c r="J1556" i="1"/>
  <c r="J1555" i="1"/>
  <c r="J1554" i="1"/>
  <c r="J1553" i="1"/>
  <c r="J1552" i="1"/>
  <c r="J1551" i="1"/>
  <c r="J1550" i="1"/>
  <c r="J1549" i="1"/>
  <c r="J1548" i="1"/>
  <c r="J1547" i="1"/>
  <c r="J1546" i="1"/>
  <c r="J1545" i="1"/>
  <c r="J1544" i="1"/>
  <c r="J1543" i="1"/>
  <c r="J1542" i="1"/>
  <c r="J1541" i="1"/>
  <c r="J1540" i="1"/>
  <c r="J1539" i="1"/>
  <c r="J1538" i="1"/>
  <c r="J1537" i="1"/>
  <c r="J1536" i="1"/>
  <c r="J1535" i="1"/>
  <c r="J1534" i="1"/>
  <c r="J1533" i="1"/>
  <c r="J1532" i="1"/>
  <c r="J1531" i="1"/>
  <c r="J1530" i="1"/>
  <c r="J1529" i="1"/>
  <c r="J1528" i="1"/>
  <c r="J1527" i="1"/>
  <c r="J1526" i="1"/>
  <c r="J1525" i="1"/>
  <c r="J1524" i="1"/>
  <c r="J1523" i="1"/>
  <c r="J1522" i="1"/>
  <c r="J1521" i="1"/>
  <c r="J1520" i="1"/>
  <c r="J1519" i="1"/>
  <c r="J1518" i="1"/>
  <c r="J1517" i="1"/>
  <c r="J1516" i="1"/>
  <c r="J1515" i="1"/>
  <c r="J1514" i="1"/>
  <c r="J1513" i="1"/>
  <c r="J1512" i="1"/>
  <c r="J1511" i="1"/>
  <c r="J1510" i="1"/>
  <c r="J1509" i="1"/>
  <c r="J1508" i="1"/>
  <c r="J1507" i="1"/>
  <c r="J1506" i="1"/>
  <c r="J1505" i="1"/>
  <c r="J1504" i="1"/>
  <c r="J1503" i="1"/>
  <c r="J1502" i="1"/>
  <c r="J1501" i="1"/>
  <c r="J1500" i="1"/>
  <c r="J1499" i="1"/>
  <c r="J1498" i="1"/>
  <c r="J1497" i="1"/>
  <c r="J1496" i="1"/>
  <c r="J1495" i="1"/>
  <c r="J1494" i="1"/>
  <c r="J1493" i="1"/>
  <c r="J1492" i="1"/>
  <c r="J1491" i="1"/>
  <c r="J1490" i="1"/>
  <c r="J1489" i="1"/>
  <c r="J1488" i="1"/>
  <c r="J1487" i="1"/>
  <c r="J1486" i="1"/>
  <c r="J1485" i="1"/>
  <c r="J1484" i="1"/>
  <c r="J1483" i="1"/>
  <c r="J1482" i="1"/>
  <c r="J1481" i="1"/>
  <c r="J1480" i="1"/>
  <c r="J1479" i="1"/>
  <c r="J1478" i="1"/>
  <c r="J1477" i="1"/>
  <c r="J1476" i="1"/>
  <c r="J1475" i="1"/>
  <c r="J1474" i="1"/>
  <c r="J1473" i="1"/>
  <c r="J1472" i="1"/>
  <c r="J1471" i="1"/>
  <c r="J1470" i="1"/>
  <c r="J1469" i="1"/>
  <c r="J1468" i="1"/>
  <c r="J1467" i="1"/>
  <c r="J1466" i="1"/>
  <c r="J1465" i="1"/>
  <c r="J1464" i="1"/>
  <c r="J1463" i="1"/>
  <c r="J1462" i="1"/>
  <c r="J1461" i="1"/>
  <c r="J1460" i="1"/>
  <c r="J1459" i="1"/>
  <c r="J1458" i="1"/>
  <c r="J1457" i="1"/>
  <c r="J1456" i="1"/>
  <c r="J1455" i="1"/>
  <c r="J1454" i="1"/>
  <c r="J1453" i="1"/>
  <c r="J1452" i="1"/>
  <c r="J1451" i="1"/>
  <c r="J1450" i="1"/>
  <c r="J1449" i="1"/>
  <c r="J1448" i="1"/>
  <c r="J1447" i="1"/>
  <c r="J1446" i="1"/>
  <c r="J1445" i="1"/>
  <c r="J1444" i="1"/>
  <c r="J1443" i="1"/>
  <c r="J1442" i="1"/>
  <c r="J1441" i="1"/>
  <c r="J1440" i="1"/>
  <c r="J1439" i="1"/>
  <c r="J1438" i="1"/>
  <c r="J1437" i="1"/>
  <c r="J1436" i="1"/>
  <c r="J1435" i="1"/>
  <c r="J1434" i="1"/>
  <c r="J1433" i="1"/>
  <c r="J1432" i="1"/>
  <c r="J1431" i="1"/>
  <c r="J1430" i="1"/>
  <c r="J1429" i="1"/>
  <c r="J1428" i="1"/>
  <c r="J1427" i="1"/>
  <c r="J1426" i="1"/>
  <c r="J1425" i="1"/>
  <c r="J1424" i="1"/>
  <c r="J1423" i="1"/>
  <c r="J1422" i="1"/>
  <c r="J1421" i="1"/>
  <c r="J1420" i="1"/>
  <c r="J1419" i="1"/>
  <c r="J1418" i="1"/>
  <c r="J1417" i="1"/>
  <c r="J1416" i="1"/>
  <c r="J1415" i="1"/>
  <c r="J1414" i="1"/>
  <c r="J1413" i="1"/>
  <c r="J1412" i="1"/>
  <c r="J1411" i="1"/>
  <c r="J1410" i="1"/>
  <c r="J1409" i="1"/>
  <c r="J1408" i="1"/>
  <c r="J1407" i="1"/>
  <c r="J1406" i="1"/>
  <c r="J1405" i="1"/>
  <c r="J1404" i="1"/>
  <c r="J1403" i="1"/>
  <c r="J1402" i="1"/>
  <c r="J1401" i="1"/>
  <c r="J1400" i="1"/>
  <c r="J1399" i="1"/>
  <c r="J1398" i="1"/>
  <c r="J1397" i="1"/>
  <c r="J1396" i="1"/>
  <c r="J1395" i="1"/>
  <c r="J1394" i="1"/>
  <c r="J1393" i="1"/>
  <c r="J1392" i="1"/>
  <c r="J1391" i="1"/>
  <c r="J1390" i="1"/>
  <c r="J1389" i="1"/>
  <c r="J1388" i="1"/>
  <c r="J1387" i="1"/>
  <c r="J1386" i="1"/>
  <c r="J1385" i="1"/>
  <c r="J1384" i="1"/>
  <c r="J1383" i="1"/>
  <c r="J1382" i="1"/>
  <c r="J1381" i="1"/>
  <c r="J1380" i="1"/>
  <c r="J1379" i="1"/>
  <c r="J1378" i="1"/>
  <c r="J1377" i="1"/>
  <c r="J1376" i="1"/>
  <c r="J1375" i="1"/>
  <c r="J1374" i="1"/>
  <c r="J1373" i="1"/>
  <c r="J1372" i="1"/>
  <c r="J1371" i="1"/>
  <c r="J1370" i="1"/>
  <c r="J1369" i="1"/>
  <c r="J1368" i="1"/>
  <c r="J1367" i="1"/>
  <c r="J1366" i="1"/>
  <c r="J1365" i="1"/>
  <c r="J1364" i="1"/>
  <c r="J1363" i="1"/>
  <c r="J1362" i="1"/>
  <c r="J1361" i="1"/>
  <c r="J1360" i="1"/>
  <c r="J1359" i="1"/>
  <c r="J1358" i="1"/>
  <c r="J1357" i="1"/>
  <c r="J1356" i="1"/>
  <c r="J1355" i="1"/>
  <c r="J1354" i="1"/>
  <c r="J1353" i="1"/>
  <c r="J1352" i="1"/>
  <c r="J1351" i="1"/>
  <c r="J1350" i="1"/>
  <c r="J1349" i="1"/>
  <c r="J1348" i="1"/>
  <c r="J1347" i="1"/>
  <c r="J1346" i="1"/>
  <c r="J1345" i="1"/>
  <c r="J1344" i="1"/>
  <c r="J1343" i="1"/>
  <c r="J1342" i="1"/>
  <c r="J1341" i="1"/>
  <c r="J1340" i="1"/>
  <c r="J1339" i="1"/>
  <c r="J1338" i="1"/>
  <c r="J1337" i="1"/>
  <c r="J1336" i="1"/>
  <c r="J1335" i="1"/>
  <c r="J1334" i="1"/>
  <c r="J1333" i="1"/>
  <c r="J1332" i="1"/>
  <c r="J1331" i="1"/>
  <c r="J1330" i="1"/>
  <c r="J1329" i="1"/>
  <c r="J1328" i="1"/>
  <c r="J1327" i="1"/>
  <c r="J1326" i="1"/>
  <c r="J1325" i="1"/>
  <c r="J1324" i="1"/>
  <c r="J1323" i="1"/>
  <c r="J1322" i="1"/>
  <c r="J1321" i="1"/>
  <c r="J1320" i="1"/>
  <c r="J1319" i="1"/>
  <c r="J1318" i="1"/>
  <c r="J1317" i="1"/>
  <c r="J1316" i="1"/>
  <c r="J1315" i="1"/>
  <c r="J1314" i="1"/>
  <c r="J1313" i="1"/>
  <c r="J1312" i="1"/>
  <c r="J1311" i="1"/>
  <c r="J1310" i="1"/>
  <c r="J1309" i="1"/>
  <c r="J1308" i="1"/>
  <c r="J1307" i="1"/>
  <c r="J1306" i="1"/>
  <c r="J1305" i="1"/>
  <c r="J1304" i="1"/>
  <c r="J1303" i="1"/>
  <c r="J1302" i="1"/>
  <c r="J1301" i="1"/>
  <c r="J1300" i="1"/>
  <c r="J1299" i="1"/>
  <c r="J1298" i="1"/>
  <c r="J1297" i="1"/>
  <c r="J1296" i="1"/>
  <c r="J1295" i="1"/>
  <c r="J1294" i="1"/>
  <c r="J1293" i="1"/>
  <c r="J1292" i="1"/>
  <c r="J1291" i="1"/>
  <c r="J1290" i="1"/>
  <c r="J1289" i="1"/>
  <c r="J1288" i="1"/>
  <c r="J1287" i="1"/>
  <c r="J1286" i="1"/>
  <c r="J1285" i="1"/>
  <c r="J1284" i="1"/>
  <c r="J1283" i="1"/>
  <c r="J1282" i="1"/>
  <c r="J1281" i="1"/>
  <c r="J1280" i="1"/>
  <c r="J1279" i="1"/>
  <c r="J1278" i="1"/>
  <c r="J1277" i="1"/>
  <c r="J1276" i="1"/>
  <c r="J1275" i="1"/>
  <c r="J1274" i="1"/>
  <c r="J1273" i="1"/>
  <c r="J1272" i="1"/>
  <c r="J1271" i="1"/>
  <c r="J1270" i="1"/>
  <c r="J1269" i="1"/>
  <c r="J1268" i="1"/>
  <c r="J1267" i="1"/>
  <c r="J1266" i="1"/>
  <c r="J1265" i="1"/>
  <c r="J1264" i="1"/>
  <c r="J1263" i="1"/>
  <c r="J1262" i="1"/>
  <c r="J1261" i="1"/>
  <c r="J1260" i="1"/>
  <c r="J1259" i="1"/>
  <c r="J1258" i="1"/>
  <c r="J1257" i="1"/>
  <c r="J1256" i="1"/>
  <c r="J1255" i="1"/>
  <c r="J1254" i="1"/>
  <c r="J1253" i="1"/>
  <c r="J1252" i="1"/>
  <c r="J1251" i="1"/>
  <c r="J1250" i="1"/>
  <c r="J1249" i="1"/>
  <c r="J1248" i="1"/>
  <c r="J1247" i="1"/>
  <c r="J1246" i="1"/>
  <c r="J1245" i="1"/>
  <c r="J1244" i="1"/>
  <c r="J1243" i="1"/>
  <c r="J1242" i="1"/>
  <c r="J1241" i="1"/>
  <c r="J1240" i="1"/>
  <c r="J1239" i="1"/>
  <c r="J1238" i="1"/>
  <c r="J1237" i="1"/>
  <c r="J1236" i="1"/>
  <c r="J1235" i="1"/>
  <c r="J1234" i="1"/>
  <c r="J1233" i="1"/>
  <c r="J1232" i="1"/>
  <c r="J1231" i="1"/>
  <c r="J1230" i="1"/>
  <c r="J1229" i="1"/>
  <c r="J1228" i="1"/>
  <c r="J1227" i="1"/>
  <c r="J1226" i="1"/>
  <c r="J1225" i="1"/>
  <c r="J1224" i="1"/>
  <c r="J1223" i="1"/>
  <c r="J1222" i="1"/>
  <c r="J1221" i="1"/>
  <c r="J1220" i="1"/>
  <c r="J1219" i="1"/>
  <c r="J1218" i="1"/>
  <c r="J1217" i="1"/>
  <c r="J1216" i="1"/>
  <c r="J1215" i="1"/>
  <c r="J1214" i="1"/>
  <c r="J1213" i="1"/>
  <c r="J1212" i="1"/>
  <c r="J1211" i="1"/>
  <c r="J1210" i="1"/>
  <c r="J1209" i="1"/>
  <c r="J1208" i="1"/>
  <c r="J1207" i="1"/>
  <c r="J1206" i="1"/>
  <c r="J1205" i="1"/>
  <c r="J1204" i="1"/>
  <c r="J1203" i="1"/>
  <c r="J1202" i="1"/>
  <c r="J1201" i="1"/>
  <c r="J1200" i="1"/>
  <c r="J1199" i="1"/>
  <c r="J1198" i="1"/>
  <c r="J1197" i="1"/>
  <c r="J1196" i="1"/>
  <c r="J1195" i="1"/>
  <c r="J1194" i="1"/>
  <c r="J1193" i="1"/>
  <c r="J1192" i="1"/>
  <c r="J1191" i="1"/>
  <c r="J1190" i="1"/>
  <c r="J1189" i="1"/>
  <c r="J1188" i="1"/>
  <c r="J1187" i="1"/>
  <c r="J1186" i="1"/>
  <c r="J1185" i="1"/>
  <c r="J1184" i="1"/>
  <c r="J1183" i="1"/>
  <c r="J1182" i="1"/>
  <c r="J1181" i="1"/>
  <c r="J1180" i="1"/>
  <c r="J1179" i="1"/>
  <c r="J1178" i="1"/>
  <c r="J1177" i="1"/>
  <c r="J1176" i="1"/>
  <c r="J1175" i="1"/>
  <c r="J1174" i="1"/>
  <c r="J1173" i="1"/>
  <c r="J1172" i="1"/>
  <c r="J1171" i="1"/>
  <c r="J1170" i="1"/>
  <c r="J1169" i="1"/>
  <c r="J1168" i="1"/>
  <c r="J1167" i="1"/>
  <c r="J1166" i="1"/>
  <c r="J1165" i="1"/>
  <c r="J1164" i="1"/>
  <c r="J1163" i="1"/>
  <c r="J1162" i="1"/>
  <c r="J1161" i="1"/>
  <c r="J1160" i="1"/>
  <c r="J1159" i="1"/>
  <c r="J1158" i="1"/>
  <c r="J1157" i="1"/>
  <c r="J1156" i="1"/>
  <c r="J1155" i="1"/>
  <c r="J1154" i="1"/>
  <c r="J1153" i="1"/>
  <c r="J1152" i="1"/>
  <c r="J1151" i="1"/>
  <c r="J1150" i="1"/>
  <c r="J1149" i="1"/>
  <c r="J1148" i="1"/>
  <c r="J1147" i="1"/>
  <c r="J1146" i="1"/>
  <c r="J1145" i="1"/>
  <c r="J1144" i="1"/>
  <c r="J1143" i="1"/>
  <c r="J1142" i="1"/>
  <c r="J1141" i="1"/>
  <c r="J1140" i="1"/>
  <c r="J1139" i="1"/>
  <c r="J1138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4" i="1"/>
  <c r="J1123" i="1"/>
  <c r="J1122" i="1"/>
  <c r="J1121" i="1"/>
  <c r="J1120" i="1"/>
  <c r="J1119" i="1"/>
  <c r="J1118" i="1"/>
  <c r="J1117" i="1"/>
  <c r="J1116" i="1"/>
  <c r="J1115" i="1"/>
  <c r="J1114" i="1"/>
  <c r="J1113" i="1"/>
  <c r="J1112" i="1"/>
  <c r="J1111" i="1"/>
  <c r="J1110" i="1"/>
  <c r="J1109" i="1"/>
  <c r="J1108" i="1"/>
  <c r="J1107" i="1"/>
  <c r="J1106" i="1"/>
  <c r="J1105" i="1"/>
  <c r="J1104" i="1"/>
  <c r="J1103" i="1"/>
  <c r="J1102" i="1"/>
  <c r="J1101" i="1"/>
  <c r="J1100" i="1"/>
  <c r="J1099" i="1"/>
  <c r="J1098" i="1"/>
  <c r="J1097" i="1"/>
  <c r="J1096" i="1"/>
  <c r="J1095" i="1"/>
  <c r="J1094" i="1"/>
  <c r="J1093" i="1"/>
  <c r="J1092" i="1"/>
  <c r="J1091" i="1"/>
  <c r="J1090" i="1"/>
  <c r="J1089" i="1"/>
  <c r="J1088" i="1"/>
  <c r="J1087" i="1"/>
  <c r="J1086" i="1"/>
  <c r="J1085" i="1"/>
  <c r="J1084" i="1"/>
  <c r="J1083" i="1"/>
  <c r="J1082" i="1"/>
  <c r="J1081" i="1"/>
  <c r="J1080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J1063" i="1"/>
  <c r="J1062" i="1"/>
  <c r="J1061" i="1"/>
  <c r="J1060" i="1"/>
  <c r="J1059" i="1"/>
  <c r="J1058" i="1"/>
  <c r="J1057" i="1"/>
  <c r="J1056" i="1"/>
  <c r="J1055" i="1"/>
  <c r="J1054" i="1"/>
  <c r="J1053" i="1"/>
  <c r="J1052" i="1"/>
  <c r="J1051" i="1"/>
  <c r="J1050" i="1"/>
  <c r="J1049" i="1"/>
  <c r="J1048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E110" i="13"/>
  <c r="J51" i="10"/>
  <c r="J50" i="10"/>
  <c r="E86" i="13"/>
  <c r="E107" i="13"/>
  <c r="E112" i="13"/>
  <c r="E108" i="13"/>
  <c r="E100" i="13"/>
  <c r="L4" i="83" l="1"/>
  <c r="E290" i="13"/>
  <c r="S22" i="10"/>
  <c r="J22" i="10"/>
  <c r="J21" i="10"/>
  <c r="D2126" i="1"/>
  <c r="D2059" i="1"/>
  <c r="D2057" i="1"/>
  <c r="D1401" i="1" l="1"/>
  <c r="D1376" i="1"/>
  <c r="D1290" i="1" l="1"/>
  <c r="E250" i="13"/>
  <c r="D803" i="1" l="1"/>
  <c r="D796" i="1"/>
  <c r="S64" i="10"/>
  <c r="S63" i="10"/>
  <c r="D41" i="1" l="1"/>
  <c r="D43" i="1"/>
  <c r="E230" i="13"/>
  <c r="E265" i="13"/>
  <c r="E261" i="13"/>
  <c r="E288" i="13"/>
  <c r="E289" i="13"/>
  <c r="E150" i="13"/>
  <c r="E21" i="13"/>
  <c r="E67" i="13"/>
  <c r="E280" i="13"/>
  <c r="E279" i="13"/>
  <c r="E198" i="13"/>
  <c r="E95" i="13"/>
  <c r="F212" i="13"/>
  <c r="S62" i="10"/>
  <c r="S61" i="10"/>
  <c r="S60" i="10"/>
  <c r="E91" i="13"/>
  <c r="E92" i="13"/>
  <c r="E134" i="13"/>
  <c r="E129" i="13"/>
  <c r="E243" i="13"/>
  <c r="J28" i="10"/>
  <c r="J27" i="10"/>
  <c r="E105" i="13"/>
  <c r="E96" i="13"/>
  <c r="E27" i="13"/>
  <c r="E26" i="13"/>
  <c r="E25" i="13"/>
  <c r="J49" i="10"/>
  <c r="J48" i="10"/>
  <c r="J43" i="10"/>
  <c r="J42" i="10"/>
  <c r="J47" i="10"/>
  <c r="J46" i="10"/>
  <c r="J45" i="10"/>
  <c r="J44" i="10"/>
  <c r="E64" i="13"/>
  <c r="E109" i="13"/>
  <c r="E205" i="13"/>
  <c r="E104" i="13"/>
  <c r="E120" i="13"/>
  <c r="J24" i="10"/>
  <c r="J23" i="10"/>
  <c r="E253" i="13"/>
  <c r="E196" i="13"/>
  <c r="L6" i="9"/>
  <c r="J31" i="10"/>
  <c r="J34" i="10"/>
  <c r="E98" i="13"/>
  <c r="E87" i="13"/>
  <c r="D10" i="9"/>
  <c r="E269" i="13"/>
  <c r="E244" i="13"/>
  <c r="E226" i="13"/>
  <c r="E136" i="13"/>
  <c r="E131" i="13"/>
  <c r="E5" i="13"/>
  <c r="E257" i="13"/>
  <c r="E29" i="13"/>
  <c r="E50" i="13"/>
  <c r="E267" i="13"/>
  <c r="E182" i="13"/>
  <c r="E181" i="13"/>
  <c r="E183" i="13"/>
  <c r="E184" i="13"/>
  <c r="E118" i="13"/>
  <c r="J35" i="10"/>
  <c r="J33" i="10"/>
  <c r="S20" i="10"/>
  <c r="E16" i="13"/>
  <c r="E90" i="13"/>
  <c r="E99" i="13"/>
  <c r="J32" i="10"/>
  <c r="J30" i="10"/>
  <c r="E191" i="13"/>
  <c r="E12" i="13"/>
  <c r="E208" i="13"/>
  <c r="E207" i="13"/>
  <c r="E42" i="13"/>
  <c r="E124" i="13"/>
  <c r="E162" i="13"/>
  <c r="E174" i="13"/>
  <c r="E262" i="13"/>
  <c r="J20" i="10"/>
  <c r="J19" i="10"/>
  <c r="J18" i="10"/>
  <c r="J17" i="10"/>
  <c r="E123" i="13"/>
  <c r="E158" i="13"/>
  <c r="E252" i="13"/>
  <c r="E166" i="13"/>
  <c r="E233" i="13"/>
  <c r="E223" i="13"/>
  <c r="E219" i="13"/>
  <c r="E213" i="13"/>
  <c r="E82" i="13"/>
  <c r="E251" i="13"/>
  <c r="E97" i="13"/>
  <c r="E305" i="13"/>
  <c r="E302" i="13"/>
  <c r="E301" i="13"/>
  <c r="E300" i="13"/>
  <c r="E299" i="13"/>
  <c r="E298" i="13"/>
  <c r="E296" i="13"/>
  <c r="E295" i="13"/>
  <c r="E294" i="13"/>
  <c r="E293" i="13"/>
  <c r="E286" i="13"/>
  <c r="E285" i="13"/>
  <c r="E282" i="13"/>
  <c r="E278" i="13"/>
  <c r="E277" i="13"/>
  <c r="E276" i="13"/>
  <c r="E275" i="13"/>
  <c r="E274" i="13"/>
  <c r="E273" i="13"/>
  <c r="E272" i="13"/>
  <c r="E270" i="13"/>
  <c r="E268" i="13"/>
  <c r="E266" i="13"/>
  <c r="E264" i="13"/>
  <c r="E263" i="13"/>
  <c r="E260" i="13"/>
  <c r="E259" i="13"/>
  <c r="E258" i="13"/>
  <c r="E256" i="13"/>
  <c r="E255" i="13"/>
  <c r="E254" i="13"/>
  <c r="E245" i="13"/>
  <c r="E242" i="13"/>
  <c r="E239" i="13"/>
  <c r="E238" i="13"/>
  <c r="E237" i="13"/>
  <c r="E236" i="13"/>
  <c r="E235" i="13"/>
  <c r="E234" i="13"/>
  <c r="E232" i="13"/>
  <c r="E231" i="13"/>
  <c r="E228" i="13"/>
  <c r="E227" i="13"/>
  <c r="E225" i="13"/>
  <c r="E224" i="13"/>
  <c r="E222" i="13"/>
  <c r="E221" i="13"/>
  <c r="E220" i="13"/>
  <c r="E218" i="13"/>
  <c r="E217" i="13"/>
  <c r="E215" i="13"/>
  <c r="E214" i="13"/>
  <c r="E212" i="13"/>
  <c r="E211" i="13"/>
  <c r="E210" i="13"/>
  <c r="E209" i="13"/>
  <c r="E204" i="13"/>
  <c r="E202" i="13"/>
  <c r="E201" i="13"/>
  <c r="E200" i="13"/>
  <c r="E197" i="13"/>
  <c r="E195" i="13"/>
  <c r="E194" i="13"/>
  <c r="E193" i="13"/>
  <c r="E192" i="13"/>
  <c r="E190" i="13"/>
  <c r="E189" i="13"/>
  <c r="E188" i="13"/>
  <c r="E187" i="13"/>
  <c r="E186" i="13"/>
  <c r="E185" i="13"/>
  <c r="E180" i="13"/>
  <c r="E179" i="13"/>
  <c r="E178" i="13"/>
  <c r="E177" i="13"/>
  <c r="E176" i="13"/>
  <c r="E175" i="13"/>
  <c r="E173" i="13"/>
  <c r="E172" i="13"/>
  <c r="E171" i="13"/>
  <c r="E170" i="13"/>
  <c r="E169" i="13"/>
  <c r="E168" i="13"/>
  <c r="E167" i="13"/>
  <c r="E165" i="13"/>
  <c r="E163" i="13"/>
  <c r="E160" i="13"/>
  <c r="E157" i="13"/>
  <c r="E156" i="13"/>
  <c r="E155" i="13"/>
  <c r="E154" i="13"/>
  <c r="E153" i="13"/>
  <c r="E152" i="13"/>
  <c r="E149" i="13"/>
  <c r="E148" i="13"/>
  <c r="E147" i="13"/>
  <c r="E146" i="13"/>
  <c r="E145" i="13"/>
  <c r="E144" i="13"/>
  <c r="E143" i="13"/>
  <c r="E141" i="13"/>
  <c r="E139" i="13"/>
  <c r="E138" i="13"/>
  <c r="E137" i="13"/>
  <c r="E135" i="13"/>
  <c r="E132" i="13"/>
  <c r="E130" i="13"/>
  <c r="E128" i="13"/>
  <c r="E127" i="13"/>
  <c r="E125" i="13"/>
  <c r="E122" i="13"/>
  <c r="E121" i="13"/>
  <c r="E119" i="13"/>
  <c r="E117" i="13"/>
  <c r="E116" i="13"/>
  <c r="E115" i="13"/>
  <c r="E114" i="13"/>
  <c r="E113" i="13"/>
  <c r="E111" i="13"/>
  <c r="E106" i="13"/>
  <c r="E103" i="13"/>
  <c r="E102" i="13"/>
  <c r="E101" i="13"/>
  <c r="E94" i="13"/>
  <c r="E93" i="13"/>
  <c r="E89" i="13"/>
  <c r="E85" i="13"/>
  <c r="E83" i="13"/>
  <c r="E80" i="13"/>
  <c r="E78" i="13"/>
  <c r="E77" i="13"/>
  <c r="E76" i="13"/>
  <c r="E75" i="13"/>
  <c r="E74" i="13"/>
  <c r="E73" i="13"/>
  <c r="E72" i="13"/>
  <c r="E71" i="13"/>
  <c r="E69" i="13"/>
  <c r="E68" i="13"/>
  <c r="E66" i="13"/>
  <c r="E65" i="13"/>
  <c r="E63" i="13"/>
  <c r="E62" i="13"/>
  <c r="E61" i="13"/>
  <c r="E60" i="13"/>
  <c r="E59" i="13"/>
  <c r="E58" i="13"/>
  <c r="E57" i="13"/>
  <c r="E56" i="13"/>
  <c r="E55" i="13"/>
  <c r="E54" i="13"/>
  <c r="E53" i="13"/>
  <c r="E52" i="13"/>
  <c r="E51" i="13"/>
  <c r="E49" i="13"/>
  <c r="E48" i="13"/>
  <c r="E47" i="13"/>
  <c r="E46" i="13"/>
  <c r="E45" i="13"/>
  <c r="E41" i="13"/>
  <c r="E40" i="13"/>
  <c r="E39" i="13"/>
  <c r="E38" i="13"/>
  <c r="E37" i="13"/>
  <c r="E36" i="13"/>
  <c r="E35" i="13"/>
  <c r="E34" i="13"/>
  <c r="E33" i="13"/>
  <c r="E32" i="13"/>
  <c r="E31" i="13"/>
  <c r="E30" i="13"/>
  <c r="E28" i="13"/>
  <c r="E24" i="13"/>
  <c r="E23" i="13"/>
  <c r="E20" i="13"/>
  <c r="E19" i="13"/>
  <c r="E17" i="13"/>
  <c r="E14" i="13"/>
  <c r="E11" i="13"/>
  <c r="E10" i="13"/>
  <c r="E9" i="13"/>
  <c r="E8" i="13"/>
  <c r="E4" i="13"/>
  <c r="E3" i="13"/>
  <c r="E84" i="13"/>
  <c r="E7" i="13"/>
  <c r="E142" i="13"/>
  <c r="E140" i="13"/>
  <c r="L14" i="83"/>
  <c r="L13" i="83"/>
  <c r="L12" i="83"/>
  <c r="L11" i="83"/>
  <c r="L10" i="83"/>
  <c r="L9" i="83"/>
  <c r="L8" i="83"/>
  <c r="L7" i="83"/>
  <c r="L6" i="83"/>
  <c r="L5" i="83"/>
  <c r="L3" i="83"/>
  <c r="L2" i="83"/>
  <c r="L1" i="83"/>
  <c r="E43" i="13"/>
  <c r="E79" i="13"/>
  <c r="E151" i="13"/>
  <c r="E161" i="13"/>
  <c r="E15" i="13"/>
  <c r="E44" i="13"/>
  <c r="E164" i="13"/>
  <c r="E133" i="13"/>
  <c r="J12" i="10"/>
  <c r="J11" i="10"/>
  <c r="J10" i="10"/>
  <c r="J9" i="10"/>
  <c r="F54" i="9"/>
  <c r="E16" i="9"/>
  <c r="B16" i="9" s="1"/>
  <c r="D16" i="9" s="1"/>
  <c r="E14" i="9"/>
  <c r="B14" i="9" s="1"/>
  <c r="D14" i="9" s="1"/>
  <c r="J41" i="10"/>
  <c r="J40" i="10"/>
  <c r="J39" i="10"/>
  <c r="J38" i="10"/>
  <c r="J37" i="10"/>
  <c r="J36" i="10"/>
  <c r="J4" i="10"/>
  <c r="J3" i="10"/>
  <c r="J5" i="10"/>
  <c r="J6" i="10"/>
  <c r="J7" i="10"/>
  <c r="J8" i="10"/>
  <c r="J13" i="10"/>
  <c r="J14" i="10"/>
  <c r="J25" i="10"/>
  <c r="J26" i="10"/>
  <c r="J15" i="10"/>
  <c r="J16" i="10"/>
  <c r="G34" i="12"/>
  <c r="G35" i="12"/>
  <c r="E35" i="12"/>
  <c r="F35" i="12"/>
  <c r="E18" i="13"/>
  <c r="E22" i="13"/>
  <c r="E6" i="13"/>
  <c r="E284" i="13"/>
  <c r="E283" i="13"/>
  <c r="E126" i="13"/>
  <c r="E70" i="13"/>
  <c r="E81" i="13"/>
  <c r="E291" i="13" l="1"/>
  <c r="E2" i="13"/>
  <c r="B18" i="9"/>
  <c r="D18" i="9" s="1"/>
  <c r="E13" i="13"/>
  <c r="E309" i="13"/>
  <c r="E88" i="13"/>
  <c r="E159" i="13"/>
  <c r="B1" i="83"/>
  <c r="G252" i="13"/>
  <c r="E303" i="13"/>
  <c r="E287" i="13"/>
  <c r="E246" i="13"/>
  <c r="E247" i="13" s="1"/>
  <c r="E297" i="13"/>
  <c r="E271" i="13"/>
  <c r="E241" i="13"/>
  <c r="E281" i="13"/>
  <c r="E199" i="13" l="1"/>
  <c r="E248" i="13" s="1"/>
  <c r="E306" i="13" s="1"/>
  <c r="E307" i="13" s="1"/>
  <c r="E292" i="13"/>
  <c r="E310" i="13" s="1"/>
  <c r="E304" i="13"/>
  <c r="E308" i="1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Bruno JOUZIER</author>
    <author>JOUZIER Bruno</author>
  </authors>
  <commentList>
    <comment ref="D57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Bruno JOUZIER:</t>
        </r>
        <r>
          <rPr>
            <sz val="8"/>
            <color indexed="81"/>
            <rFont val="Tahoma"/>
            <family val="2"/>
          </rPr>
          <t xml:space="preserve">
dont auto-école</t>
        </r>
      </text>
    </comment>
    <comment ref="D67" authorId="1" shapeId="0" xr:uid="{00000000-0006-0000-0100-000002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68" authorId="1" shapeId="0" xr:uid="{00000000-0006-0000-0100-000003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69" authorId="1" shapeId="0" xr:uid="{00000000-0006-0000-0100-000004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0" authorId="1" shapeId="0" xr:uid="{00000000-0006-0000-0100-000005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1" authorId="1" shapeId="0" xr:uid="{00000000-0006-0000-0100-000006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2" authorId="1" shapeId="0" xr:uid="{00000000-0006-0000-0100-000007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3" authorId="1" shapeId="0" xr:uid="{00000000-0006-0000-0100-000008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4" authorId="1" shapeId="0" xr:uid="{00000000-0006-0000-0100-000009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5" authorId="1" shapeId="0" xr:uid="{00000000-0006-0000-0100-00000A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6" authorId="1" shapeId="0" xr:uid="{00000000-0006-0000-0100-00000B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7" authorId="1" shapeId="0" xr:uid="{00000000-0006-0000-0100-00000C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88" authorId="0" shapeId="0" xr:uid="{00000000-0006-0000-0100-00000D000000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poubelle…
Sac</t>
        </r>
      </text>
    </comment>
    <comment ref="D89" authorId="0" shapeId="0" xr:uid="{00000000-0006-0000-0100-00000E000000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poubelle…
Sac</t>
        </r>
      </text>
    </comment>
    <comment ref="D90" authorId="0" shapeId="0" xr:uid="{00000000-0006-0000-0100-00000F000000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poubelle…
Sac</t>
        </r>
      </text>
    </comment>
    <comment ref="D91" authorId="0" shapeId="0" xr:uid="{00000000-0006-0000-0100-000010000000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poubelle…
Sac</t>
        </r>
      </text>
    </comment>
    <comment ref="D92" authorId="0" shapeId="0" xr:uid="{A16D1D39-B0F1-4165-9B05-1CCB661BD457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poubelle…
Sac</t>
        </r>
      </text>
    </comment>
    <comment ref="D93" authorId="0" shapeId="0" xr:uid="{00000000-0006-0000-0100-000011000000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poubelle…
Sac</t>
        </r>
      </text>
    </comment>
    <comment ref="D94" authorId="0" shapeId="0" xr:uid="{00000000-0006-0000-0100-000012000000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poubelle...</t>
        </r>
      </text>
    </comment>
    <comment ref="D95" authorId="0" shapeId="0" xr:uid="{00000000-0006-0000-0100-000013000000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poubelle...</t>
        </r>
      </text>
    </comment>
    <comment ref="D268" authorId="0" shapeId="0" xr:uid="{00000000-0006-0000-0100-000014000000}">
      <text>
        <r>
          <rPr>
            <b/>
            <sz val="8"/>
            <color indexed="81"/>
            <rFont val="Tahoma"/>
            <family val="2"/>
          </rPr>
          <t>Avance Mamie sur compte grece</t>
        </r>
      </text>
    </comment>
    <comment ref="D272" authorId="0" shapeId="0" xr:uid="{00000000-0006-0000-0100-000015000000}">
      <text>
        <r>
          <rPr>
            <b/>
            <sz val="8"/>
            <color indexed="81"/>
            <rFont val="Tahoma"/>
            <family val="2"/>
          </rPr>
          <t xml:space="preserve">Plafond des versements : 6.000 €
Taux net d'impôt : 3,5% depuis 1/02/08
</t>
        </r>
      </text>
    </comment>
    <comment ref="D279" authorId="0" shapeId="0" xr:uid="{3018927D-5356-43F3-994D-94BEC86BB3F5}">
      <text>
        <r>
          <rPr>
            <b/>
            <sz val="8"/>
            <color indexed="81"/>
            <rFont val="Tahoma"/>
            <family val="2"/>
          </rPr>
          <t>Frais sur versement : 3%
Frais de gestion :
- support Securité (en Euros) : 0,08% mensuel
- support Equilibre (en U.C.) : 0,96% annuel
Rendement garanti (sur Securite) : fixé annuellement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Bruno JOUZIER</author>
    <author>Bruno Jouzier</author>
    <author>tc={0CF04385-B0C1-4A98-8473-CDDAC9E0AD73}</author>
  </authors>
  <commentList>
    <comment ref="I1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PAR1206 : Vacances à Paris Noël 2006</t>
        </r>
      </text>
    </comment>
    <comment ref="M1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 xml:space="preserve">N°Immo :
</t>
        </r>
      </text>
    </comment>
    <comment ref="N1" authorId="1" shapeId="0" xr:uid="{6D8F370D-8539-4DB5-802C-3EBC9B5B4714}">
      <text>
        <r>
          <rPr>
            <b/>
            <sz val="9"/>
            <color indexed="81"/>
            <rFont val="Tahoma"/>
            <family val="2"/>
          </rPr>
          <t>Formule 
=NB.SI.ENS(Budget!A:A;Journal!E2;Budget!B:B;Journal!F2;Budget!C:C;Journal!G2)</t>
        </r>
      </text>
    </comment>
    <comment ref="D81" authorId="2" shapeId="0" xr:uid="{0CF04385-B0C1-4A98-8473-CDDAC9E0AD7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préciser : pas encore sur le site</t>
      </text>
    </comment>
  </commentList>
</comments>
</file>

<file path=xl/sharedStrings.xml><?xml version="1.0" encoding="utf-8"?>
<sst xmlns="http://schemas.openxmlformats.org/spreadsheetml/2006/main" count="15100" uniqueCount="1088">
  <si>
    <t>MODE D'EMPLOI RAPPROCHEMENT BANCAIRE</t>
  </si>
  <si>
    <t>ETAPE</t>
  </si>
  <si>
    <t>ONGLET</t>
  </si>
  <si>
    <t>ACTION</t>
  </si>
  <si>
    <t xml:space="preserve">Budget </t>
  </si>
  <si>
    <t>Liste des catégories (comptes) : 1ères lignes de l'onglet</t>
  </si>
  <si>
    <t>MODE D'EMPLOI SAISIE D'ECRITURE</t>
  </si>
  <si>
    <t xml:space="preserve"> Journal</t>
  </si>
  <si>
    <t xml:space="preserve">Saisir les écritures </t>
  </si>
  <si>
    <t>Balance</t>
  </si>
  <si>
    <t>Rafraîchir le tableau avec le "!"</t>
  </si>
  <si>
    <t>Vérifier le solde à 0</t>
  </si>
  <si>
    <t>Document</t>
  </si>
  <si>
    <t>Sinon, rechercher le document déséquilibré</t>
  </si>
  <si>
    <t>Faire la correction sur le n° de document en déséquilibre + Repartir à l'étape 2</t>
  </si>
  <si>
    <t>Budget</t>
  </si>
  <si>
    <t>Vérifier que la dernière ligne est à 0 (Total général)</t>
  </si>
  <si>
    <t>Sinon, rechercher le compte qui n'existe pas dans Budget</t>
  </si>
  <si>
    <t>Faire la correction sur le n° de compte + Repartir à l'étape 2</t>
  </si>
  <si>
    <t>Regarder le solde du BIL-01-Général pour connaître le temps qu'il nous reste avant de devoir manger des racines</t>
  </si>
  <si>
    <t>Indifférent</t>
  </si>
  <si>
    <r>
      <t xml:space="preserve">Menu Rapprochement/Démarrer le rapprochement :
</t>
    </r>
    <r>
      <rPr>
        <i/>
        <sz val="8"/>
        <rFont val="Arial"/>
        <family val="2"/>
      </rPr>
      <t>- se positionne sur l'onglet Journal
- Sélectionne le compte BIL-01-Général et Rapprochement = 'Vides'
- tri les données par type et par date croissants</t>
    </r>
  </si>
  <si>
    <t>Le but est de remplir la colonne Rapprochement avec le mois du relevé bancaire + C pour un Crédit / D pour un Débit</t>
  </si>
  <si>
    <t>Traiter d'abord les chèques à partir du relevé + n° de chèque
Vérifier les montants (Nota : ils sont parfois mal saisis par le kakos)</t>
  </si>
  <si>
    <t>Resélectionner Rapprochement = 'Vides'
Traiter ensuite les CB à partir du relevé (FAC. CB)</t>
  </si>
  <si>
    <r>
      <t xml:space="preserve">&gt; Menu Rapprochement/Rapprocher par montant
</t>
    </r>
    <r>
      <rPr>
        <i/>
        <sz val="8"/>
        <rFont val="Arial"/>
        <family val="2"/>
      </rPr>
      <t xml:space="preserve">Cette action resélectionne les écritures non rapprochées et les trie par montant
&gt; </t>
    </r>
    <r>
      <rPr>
        <sz val="8"/>
        <rFont val="Arial"/>
        <family val="2"/>
      </rPr>
      <t xml:space="preserve">Rechercher les écritures restantes du relevé et cocher celles qui correspondent en Débit (aammD) et en Crédit (aammC) </t>
    </r>
  </si>
  <si>
    <r>
      <t xml:space="preserve">&gt; Menu Rapprochement/Ré-Initialiser affichage
</t>
    </r>
    <r>
      <rPr>
        <i/>
        <sz val="8"/>
        <rFont val="Arial"/>
        <family val="2"/>
      </rPr>
      <t>Cette action enlève toutes les sélections et retrie le journal par montant</t>
    </r>
    <r>
      <rPr>
        <sz val="8"/>
        <rFont val="Arial"/>
        <family val="2"/>
      </rPr>
      <t xml:space="preserve">
Saisir les écritures manquantes dans le journal en s'aidant si possible de l'onglet Modeles du kakos
Nota : ne pas oublier de remplir la colonne Rapprochement (ni la correction des erreurs de montants du kakos)</t>
    </r>
  </si>
  <si>
    <t>Les subtilité des prêts : réajuster la répartition capital / intérêt en fonction de l'échéancier (2nd tiroir - emprunt) + surligner l'échéance payée</t>
  </si>
  <si>
    <t>Rapp</t>
  </si>
  <si>
    <t>Vérifier que les montants aammC / aammD correspondent aux totaux en bas de relevé (après avoir rafraîchi le tableau)
Vérifier que le solde du relevé = solde du tableau rapprochement - montant non encore rapproché</t>
  </si>
  <si>
    <t>Journal</t>
  </si>
  <si>
    <t>En cas d'erreur, par ex sur le total des débits, sélectionner tous les aammD du journal, les trier par montant et refaire le rapprochement (en coloriant temporairement)</t>
  </si>
  <si>
    <t>Fonctionnement mensuel</t>
  </si>
  <si>
    <t>Fin de mois</t>
  </si>
  <si>
    <t>Virement B</t>
  </si>
  <si>
    <t>Virement MC</t>
  </si>
  <si>
    <t>Virement B+MC</t>
  </si>
  <si>
    <t>Catégorie</t>
  </si>
  <si>
    <t>Versement ESBJ</t>
  </si>
  <si>
    <t>3400 EUR versé de ESBJ sur compte joint pour salaire mensuel (3000 EUR base + 400 EUR dividende)</t>
  </si>
  <si>
    <t>Nominal</t>
  </si>
  <si>
    <t>Salaire MC</t>
  </si>
  <si>
    <t>Obole de Capgemini</t>
  </si>
  <si>
    <t>Régul mensuelle / avance (si +) cpte perso</t>
  </si>
  <si>
    <t>BIL 98  Compte Perso</t>
  </si>
  <si>
    <t>Versement cagnottes</t>
  </si>
  <si>
    <t>350 EUR par personne (B ou MC) +/- solde du BIL 98 B ou MC</t>
  </si>
  <si>
    <t>Total</t>
  </si>
  <si>
    <t>Règle : la cagnotte minimum entre B &amp; MC est plafonnée à 2000 EUR</t>
  </si>
  <si>
    <t>Versement argent de poche enfants</t>
  </si>
  <si>
    <t>Versement dans BIL 98 Enfants</t>
  </si>
  <si>
    <t>Règle : 50 cts / année d'âge au 1er du mois</t>
  </si>
  <si>
    <t xml:space="preserve">Enfant par enfant :
- si ABS (BIL 98 Enfant) &gt;= 15 EUR, virement bancaire sur son compte </t>
  </si>
  <si>
    <t>Relevé en milieu de mois</t>
  </si>
  <si>
    <t>Ecritures constatées</t>
  </si>
  <si>
    <t>Revenus
- CAF 
- Texto</t>
  </si>
  <si>
    <t>Dépenses
- Emprunts
- Prélèvements automatiques (Téléphones, JAZZ, MAE, internet, MAIF …)</t>
  </si>
  <si>
    <t>Si montant &gt; 3000 EUR, excédent reversé sur LDD (puis Livret A)</t>
  </si>
  <si>
    <t>Bascule annuelle</t>
  </si>
  <si>
    <t>Provisions renouvellement</t>
  </si>
  <si>
    <t>Faire écriture initiale de provisions PRV/20 pour l'année, sur le modèle des écritures 142 et 143</t>
  </si>
  <si>
    <t>FAQ</t>
  </si>
  <si>
    <t>Pourquoi le nouveau fichier ne commence pas au 01/09 ? C'est quoi la règle ?</t>
  </si>
  <si>
    <t>La nouvelle règle c'est qu'on bascule sur le nouveau fichier au 01/09, et si après il arrrive des écritures d'Aout, tant pis, on les met sur le nouveau fichier, pour ne pas se poser la question</t>
  </si>
  <si>
    <t>Kakoseries</t>
  </si>
  <si>
    <t>4 kakoseries !!!!</t>
  </si>
  <si>
    <t>Raccourcis clavier</t>
  </si>
  <si>
    <t>Entree</t>
  </si>
  <si>
    <t>Va a la première colonne de la ligne suivante</t>
  </si>
  <si>
    <t>Shift-Entree</t>
  </si>
  <si>
    <t>Solde l'écriture en BIL 01 Général CB</t>
  </si>
  <si>
    <t>Ctrl-Entree</t>
  </si>
  <si>
    <t>Solde l'écriture en BIL 01 Général PASS</t>
  </si>
  <si>
    <t>Ctrl-Shift-B/J/M/R</t>
  </si>
  <si>
    <t>Ouverture onglets Journal, Budget, Modeles, Rapp</t>
  </si>
  <si>
    <t>Aides à la Saisie</t>
  </si>
  <si>
    <t>Journal - Toutes colonnes</t>
  </si>
  <si>
    <t>La valeur = reprend la valeur de la même colonne dans la ligne au-dessus</t>
  </si>
  <si>
    <t>Dates</t>
  </si>
  <si>
    <t>0 : date du jour</t>
  </si>
  <si>
    <t>N° Doc</t>
  </si>
  <si>
    <t>+ : numéro suivant</t>
  </si>
  <si>
    <t>Compte</t>
  </si>
  <si>
    <r>
      <t xml:space="preserve">Raccourci
</t>
    </r>
    <r>
      <rPr>
        <sz val="8"/>
        <rFont val="Arial"/>
        <family val="2"/>
      </rPr>
      <t>Si  on saisit dans la colonne compte un raccourci existant dans la table des raccourcis de compte, les colonnes compte, sous-compte et Dest sont automatiquement renseignées. Les raccourcis de compte sont indiqués dans l'onglet Set-Up</t>
    </r>
  </si>
  <si>
    <t>Cpte</t>
  </si>
  <si>
    <t>Ss-Cpte</t>
  </si>
  <si>
    <t>Dest</t>
  </si>
  <si>
    <t>Description</t>
  </si>
  <si>
    <t>En cours</t>
  </si>
  <si>
    <t>ALI</t>
  </si>
  <si>
    <t>01</t>
  </si>
  <si>
    <t>Général</t>
  </si>
  <si>
    <t>Alimentation (achat alimentation)</t>
  </si>
  <si>
    <t>Claire</t>
  </si>
  <si>
    <t>Clément</t>
  </si>
  <si>
    <t>Baptiste</t>
  </si>
  <si>
    <t>02</t>
  </si>
  <si>
    <t>Alimentation à l'extérieur</t>
  </si>
  <si>
    <t>Arnaud</t>
  </si>
  <si>
    <t>MC</t>
  </si>
  <si>
    <t>A&amp;B</t>
  </si>
  <si>
    <t>00</t>
  </si>
  <si>
    <t>Plants et graines diverses … promesse d'alimentation ;-)</t>
  </si>
  <si>
    <t>DOC</t>
  </si>
  <si>
    <t>Documentation</t>
  </si>
  <si>
    <t>HAB</t>
  </si>
  <si>
    <t>Habillement, effets perso</t>
  </si>
  <si>
    <t>Bruno</t>
  </si>
  <si>
    <t>Habillement, effets perso, mercerie, pressing, blanc</t>
  </si>
  <si>
    <t>Mamie</t>
  </si>
  <si>
    <t>IMP</t>
  </si>
  <si>
    <t>IRPP et Prelevements sociaux</t>
  </si>
  <si>
    <t>3Lisses</t>
  </si>
  <si>
    <t>Taxe Foncière</t>
  </si>
  <si>
    <t>Texto</t>
  </si>
  <si>
    <t>Montvendre</t>
  </si>
  <si>
    <t>03</t>
  </si>
  <si>
    <t>Taxe habitation</t>
  </si>
  <si>
    <t>04</t>
  </si>
  <si>
    <t>Redevance Audiovisuelle</t>
  </si>
  <si>
    <t>051</t>
  </si>
  <si>
    <t>Contributions sociales - (CSG+RDS+PS) sur dividendes</t>
  </si>
  <si>
    <t>09</t>
  </si>
  <si>
    <t>Autres taxes, amendes, frais administratifs</t>
  </si>
  <si>
    <t>BAS</t>
  </si>
  <si>
    <t>Assurance logement</t>
  </si>
  <si>
    <t>Assurance scolaire</t>
  </si>
  <si>
    <t>Assurances diverses</t>
  </si>
  <si>
    <t>05</t>
  </si>
  <si>
    <t>Services bancaires</t>
  </si>
  <si>
    <t>PACK Jeunes Claire</t>
  </si>
  <si>
    <t>Jazz</t>
  </si>
  <si>
    <t>Cotisations Jazz</t>
  </si>
  <si>
    <t>PEA</t>
  </si>
  <si>
    <t>Droits de garde PEA</t>
  </si>
  <si>
    <t>06</t>
  </si>
  <si>
    <t>Interets payés, moins-values</t>
  </si>
  <si>
    <t>07</t>
  </si>
  <si>
    <t>Frais actes, frais notariés, administratif</t>
  </si>
  <si>
    <t>SCO</t>
  </si>
  <si>
    <t>Fournitures scolaire, papeterie</t>
  </si>
  <si>
    <t>Frais de scolarité, papiers identitié</t>
  </si>
  <si>
    <t>Déplacement scolaires</t>
  </si>
  <si>
    <t>Activités culturelles et sportives</t>
  </si>
  <si>
    <t>Formation et documentation de gestion</t>
  </si>
  <si>
    <t>LOI</t>
  </si>
  <si>
    <t>Vacances été</t>
  </si>
  <si>
    <t>Vacances Hiver</t>
  </si>
  <si>
    <t>Autres divertissements</t>
  </si>
  <si>
    <t>MC&amp;B</t>
  </si>
  <si>
    <t>Grece2011</t>
  </si>
  <si>
    <t>Réceptions - Fêtes famille</t>
  </si>
  <si>
    <t>Jardinage, outils … Meylan</t>
  </si>
  <si>
    <t>Jardinage, outils …graines oiseaux</t>
  </si>
  <si>
    <t>Cadeaux en dehors de la famille</t>
  </si>
  <si>
    <t>08</t>
  </si>
  <si>
    <t>Dons, Œuvres</t>
  </si>
  <si>
    <t>LOG</t>
  </si>
  <si>
    <t>Travaux logement et achats induits</t>
  </si>
  <si>
    <t>Consommables et petits matériel</t>
  </si>
  <si>
    <t>Vélos</t>
  </si>
  <si>
    <t>Consommables et petits matériel, dont bricolage</t>
  </si>
  <si>
    <t>Equipement (meubles, electromenager,chaudières)</t>
  </si>
  <si>
    <t>Employée de maison</t>
  </si>
  <si>
    <t>Copropriété</t>
  </si>
  <si>
    <t>Eau</t>
  </si>
  <si>
    <t>Eau - Contrat 1068516 - Compteur INCON00047</t>
  </si>
  <si>
    <t>GdPere</t>
  </si>
  <si>
    <t>Eau - Contrat 1068515 - Compteur INCON00046</t>
  </si>
  <si>
    <t>Gaz-électricité-Fioul</t>
  </si>
  <si>
    <t>Téléphone/Internet  3 Lisses</t>
  </si>
  <si>
    <t>Neuf</t>
  </si>
  <si>
    <t>Internet 9 Telecom</t>
  </si>
  <si>
    <t>Mobile Claire, Internet</t>
  </si>
  <si>
    <t>Mobile Clément</t>
  </si>
  <si>
    <t>Mobile Arnaud</t>
  </si>
  <si>
    <t>Mobile Baptiste</t>
  </si>
  <si>
    <t>Internet, Téléphone autres</t>
  </si>
  <si>
    <t>Loyers, location,Hotel</t>
  </si>
  <si>
    <t>10</t>
  </si>
  <si>
    <t>VOI</t>
  </si>
  <si>
    <t>Autoroute, Parking, cartes routières</t>
  </si>
  <si>
    <t>Essence ou gazole (pour être précis)</t>
  </si>
  <si>
    <t>ClioRouge</t>
  </si>
  <si>
    <t>Essence ou gazole (pour être précis)  - Rouge &amp; Campus</t>
  </si>
  <si>
    <t>ClioGrise</t>
  </si>
  <si>
    <t>ClioBlanche</t>
  </si>
  <si>
    <t>Dacia</t>
  </si>
  <si>
    <t>Entretien/Réparation, accessoires - Rouge &amp; Campus</t>
  </si>
  <si>
    <t>Entretien/Réparation, accessoires</t>
  </si>
  <si>
    <t>Remboursement frais km</t>
  </si>
  <si>
    <t>Autres transport : avion, train, métro, bus, taxi, etc</t>
  </si>
  <si>
    <t>Renouvellement Autos</t>
  </si>
  <si>
    <t>Location Voiture</t>
  </si>
  <si>
    <t>Assurance Automobile et frais administratifs (critair, CG…)</t>
  </si>
  <si>
    <t>Espace</t>
  </si>
  <si>
    <t>Assurance Automobile</t>
  </si>
  <si>
    <t>SAN</t>
  </si>
  <si>
    <t>Mèdecin, Médicaments, kiné, hospitalisation</t>
  </si>
  <si>
    <t>Hygiène, para-pharmacie, coiffeur</t>
  </si>
  <si>
    <t>DIV</t>
  </si>
  <si>
    <t>Espèces, argent de poche, inconnu</t>
  </si>
  <si>
    <t>Carrefour - articles courants</t>
  </si>
  <si>
    <t>Décathlon</t>
  </si>
  <si>
    <t>FNAC</t>
  </si>
  <si>
    <t>Bon achats, remises, articles à rendre</t>
  </si>
  <si>
    <t>Non identifiés</t>
  </si>
  <si>
    <t>Enfants</t>
  </si>
  <si>
    <t>Argent poche enfants</t>
  </si>
  <si>
    <t>Cagnotte Bruno</t>
  </si>
  <si>
    <t>Cagnotte MC</t>
  </si>
  <si>
    <t>Cagnotte Claire</t>
  </si>
  <si>
    <t>Cagnotte Clément</t>
  </si>
  <si>
    <t>Subventions diverses</t>
  </si>
  <si>
    <t>PRF</t>
  </si>
  <si>
    <t>Rémunération professionnelle</t>
  </si>
  <si>
    <t>Frais Professionnels</t>
  </si>
  <si>
    <t>Subventions CE Cap Gemini</t>
  </si>
  <si>
    <t>Frais Professionnels ESBJ</t>
  </si>
  <si>
    <t>Subventions EBSJ (CESU,…) - Crouzet</t>
  </si>
  <si>
    <t>Tickets restaurant MC</t>
  </si>
  <si>
    <t>Pension</t>
  </si>
  <si>
    <t>PRS</t>
  </si>
  <si>
    <t>CAF</t>
  </si>
  <si>
    <t>Allocations familiales</t>
  </si>
  <si>
    <t>CPAM</t>
  </si>
  <si>
    <t>Assurance Maladie CPAM</t>
  </si>
  <si>
    <t>LMDE</t>
  </si>
  <si>
    <t>Sécurité Sociale étudiante - LMDE</t>
  </si>
  <si>
    <t>RAM</t>
  </si>
  <si>
    <t>Assurance Maladie RAM</t>
  </si>
  <si>
    <t>Savoye</t>
  </si>
  <si>
    <t>Mutuelle Gras Savoye</t>
  </si>
  <si>
    <t>MERCER</t>
  </si>
  <si>
    <t>RESULTAT COURANT</t>
  </si>
  <si>
    <t>FEM</t>
  </si>
  <si>
    <t>60</t>
  </si>
  <si>
    <t>Emp-CFF</t>
  </si>
  <si>
    <t>Emprunt CFF - Interets</t>
  </si>
  <si>
    <t>62</t>
  </si>
  <si>
    <t>Emprunt CFF - Commission de caution</t>
  </si>
  <si>
    <t>65</t>
  </si>
  <si>
    <t>Frais de dossiers</t>
  </si>
  <si>
    <t>Emprunts</t>
  </si>
  <si>
    <t>RFN</t>
  </si>
  <si>
    <t>Local Commercial TEXTO</t>
  </si>
  <si>
    <t>Loyers Montvendre</t>
  </si>
  <si>
    <t>Résultat Texto</t>
  </si>
  <si>
    <t>40</t>
  </si>
  <si>
    <t>Revenus PEA 7676</t>
  </si>
  <si>
    <t>Revenus PEA 7833</t>
  </si>
  <si>
    <t>LA-MC</t>
  </si>
  <si>
    <t>Interets reçus</t>
  </si>
  <si>
    <t>LA-Bruno</t>
  </si>
  <si>
    <t>LivretBMC</t>
  </si>
  <si>
    <t>LDD-Bruno</t>
  </si>
  <si>
    <t>LDD-MC</t>
  </si>
  <si>
    <t>CEL-Bruno</t>
  </si>
  <si>
    <t>CEL-MC</t>
  </si>
  <si>
    <t>Résultat Epargne</t>
  </si>
  <si>
    <t>FVM</t>
  </si>
  <si>
    <t>PeaMCSgamFr</t>
  </si>
  <si>
    <t>Plus ou moins values</t>
  </si>
  <si>
    <t>PeaMCSgamEur</t>
  </si>
  <si>
    <t>Rexel</t>
  </si>
  <si>
    <t>15</t>
  </si>
  <si>
    <t>Dividendes</t>
  </si>
  <si>
    <t>Frais Entrée SICAV</t>
  </si>
  <si>
    <t>PeaMC</t>
  </si>
  <si>
    <t>Frais de garde</t>
  </si>
  <si>
    <t>PeaBruno</t>
  </si>
  <si>
    <t>YuccaSec</t>
  </si>
  <si>
    <t>Plus ou moins values Unité de comptes Assurance-vie</t>
  </si>
  <si>
    <t>SequoïaCristal5</t>
  </si>
  <si>
    <t>61</t>
  </si>
  <si>
    <t>YuccaDarw</t>
  </si>
  <si>
    <t>Frais gestion sur Assurance-vie en U.C.</t>
  </si>
  <si>
    <t>44</t>
  </si>
  <si>
    <t>Plus-Moins values actions Cap nominatives (CACEIS)</t>
  </si>
  <si>
    <t>Résultat Valeurs mobilières</t>
  </si>
  <si>
    <t>FAV</t>
  </si>
  <si>
    <t>70</t>
  </si>
  <si>
    <t>EcVieBruno</t>
  </si>
  <si>
    <t>Interets reçus sur Assurance vie en Euros</t>
  </si>
  <si>
    <t>Prélèvement sociaux preleves sur Assurance-vie</t>
  </si>
  <si>
    <t>EcVieMC</t>
  </si>
  <si>
    <t>LaPosteGmoMC</t>
  </si>
  <si>
    <t>Rémunération Assurance-vie en U.C</t>
  </si>
  <si>
    <t>Résultat Assurance-vie en Euros/Fds garantis</t>
  </si>
  <si>
    <t>RESULTAT FINANCIER</t>
  </si>
  <si>
    <t>DEX</t>
  </si>
  <si>
    <t>Ravalement 3 lisses</t>
  </si>
  <si>
    <t>Lilas</t>
  </si>
  <si>
    <t>Lotissement pré des Lilas</t>
  </si>
  <si>
    <t>REX</t>
  </si>
  <si>
    <t>Revenus exceptionnels</t>
  </si>
  <si>
    <t>RESULTAT EXCEPTIONNEL</t>
  </si>
  <si>
    <t>TOTAL COMPTE EXPLOITATION DE L'ANNEE EN COURS</t>
  </si>
  <si>
    <t>BILAN</t>
  </si>
  <si>
    <t>BIL</t>
  </si>
  <si>
    <t>Caisse</t>
  </si>
  <si>
    <t>Canada</t>
  </si>
  <si>
    <t>Caisse Mamie pour Montvendre</t>
  </si>
  <si>
    <t>Trésorerie</t>
  </si>
  <si>
    <t>SG - Compte courant</t>
  </si>
  <si>
    <t>Premier</t>
  </si>
  <si>
    <t>SG - Compte courant - Carte VISA Premier</t>
  </si>
  <si>
    <t>80</t>
  </si>
  <si>
    <t>Chèques à encaisser</t>
  </si>
  <si>
    <t>81</t>
  </si>
  <si>
    <t>Carte Cofinoga</t>
  </si>
  <si>
    <t>83</t>
  </si>
  <si>
    <t>Arthaud</t>
  </si>
  <si>
    <t>Avoir Arthaud / Ikea</t>
  </si>
  <si>
    <t>MRA</t>
  </si>
  <si>
    <t>Carte MRA Clément</t>
  </si>
  <si>
    <t>Cadhoc</t>
  </si>
  <si>
    <t>Chèques Cadhoc - Utiliser avant 30/09/2011 &gt;&gt; 30/06/2013</t>
  </si>
  <si>
    <t>Decathlon</t>
  </si>
  <si>
    <t>Carte Decathlon</t>
  </si>
  <si>
    <t>TR</t>
  </si>
  <si>
    <t>98</t>
  </si>
  <si>
    <t>Compte Enfants</t>
  </si>
  <si>
    <t>Compte MC</t>
  </si>
  <si>
    <t>Compte Bruno</t>
  </si>
  <si>
    <t>ESBJ</t>
  </si>
  <si>
    <t>Ext</t>
  </si>
  <si>
    <t>Comptes partenaires extérieurs</t>
  </si>
  <si>
    <t>Maria</t>
  </si>
  <si>
    <t>Compte Maria</t>
  </si>
  <si>
    <t>ACTIVITE COURANTE</t>
  </si>
  <si>
    <t>SG - LDD MC - 00034316493</t>
  </si>
  <si>
    <t>SG - LDD Bruno - 00034316485</t>
  </si>
  <si>
    <t>12</t>
  </si>
  <si>
    <t>SG - Livret A Bruno - 00030472258</t>
  </si>
  <si>
    <t>SG - Livret A MC - 00030472266</t>
  </si>
  <si>
    <t>Compte livret B&amp;MC - 00036600027</t>
  </si>
  <si>
    <t>20</t>
  </si>
  <si>
    <t>SG - CEL Bruno 00036484232</t>
  </si>
  <si>
    <t>SG- CEL MC 00036484240</t>
  </si>
  <si>
    <t>LIQUIDITES</t>
  </si>
  <si>
    <t>30</t>
  </si>
  <si>
    <t>Amundi - Participation Cap</t>
  </si>
  <si>
    <t>PEA 7676</t>
  </si>
  <si>
    <t>PEA 7833</t>
  </si>
  <si>
    <t>43d</t>
  </si>
  <si>
    <t>FR0010451203 - Actions Rexel</t>
  </si>
  <si>
    <t>CACEIS - Actions Nominatives Cap Gemini</t>
  </si>
  <si>
    <t>Actions et OPCVM</t>
  </si>
  <si>
    <t>50</t>
  </si>
  <si>
    <t>LaPoste GMO Assurance vie - Contrat 965 492969 04</t>
  </si>
  <si>
    <t>SG - Assurance-vie YUCCA - Disponible 15/02/2010</t>
  </si>
  <si>
    <t>SG - Assurance-vie SEQUOIA - 25/01/2014</t>
  </si>
  <si>
    <t>Assurance-vie</t>
  </si>
  <si>
    <t>PLACEMENTS</t>
  </si>
  <si>
    <t>Emprunt SG 604006806188</t>
  </si>
  <si>
    <t>Emprunt SG 604006806196</t>
  </si>
  <si>
    <t>63</t>
  </si>
  <si>
    <t>Emprunt ASTRIA 1% Logement</t>
  </si>
  <si>
    <t xml:space="preserve">Emprunt Crédit Foncier </t>
  </si>
  <si>
    <t>Dettes à long terme</t>
  </si>
  <si>
    <t>Appartement 3 Lisses RDC</t>
  </si>
  <si>
    <t>71</t>
  </si>
  <si>
    <t>Appartement 3 Lisses 1er</t>
  </si>
  <si>
    <t>SJL</t>
  </si>
  <si>
    <t>Appartement 1er Ithurikko Echea (nue-propriété)</t>
  </si>
  <si>
    <t>Chatenay</t>
  </si>
  <si>
    <t>Appartement Chatenay (50% Anne - nue-propriété)</t>
  </si>
  <si>
    <t>Immobilier</t>
  </si>
  <si>
    <t>ACTIF/DETTES A LONG TERME</t>
  </si>
  <si>
    <t>900</t>
  </si>
  <si>
    <t>Capital</t>
  </si>
  <si>
    <t>Compte d'exploitation en cours</t>
  </si>
  <si>
    <t>Total capital</t>
  </si>
  <si>
    <t>TOTAL GENERAL</t>
  </si>
  <si>
    <t>Somme Journal</t>
  </si>
  <si>
    <t>Ration Endettement/Fonds propre</t>
  </si>
  <si>
    <t>Date</t>
  </si>
  <si>
    <t>Doc</t>
  </si>
  <si>
    <t>Montant</t>
  </si>
  <si>
    <t xml:space="preserve">Typ
</t>
  </si>
  <si>
    <t xml:space="preserve">Rapp
</t>
  </si>
  <si>
    <t>Montant
Prov
Mensuelle</t>
  </si>
  <si>
    <t>Montant 
Total
Provision</t>
  </si>
  <si>
    <t>Début</t>
  </si>
  <si>
    <t>Fin</t>
  </si>
  <si>
    <t>Durée
Ans</t>
  </si>
  <si>
    <t>Nb
Mois</t>
  </si>
  <si>
    <t>Modèles pour le rapprochement bancaire</t>
  </si>
  <si>
    <t>99/99/99</t>
  </si>
  <si>
    <t>Jazz - Duo -50%</t>
  </si>
  <si>
    <t>PR</t>
  </si>
  <si>
    <t>&amp;Rapp</t>
  </si>
  <si>
    <t>Jazz - Cotisation</t>
  </si>
  <si>
    <t>Jazz - Option Tranquillité Duo</t>
  </si>
  <si>
    <t>Jazz - Option Tranquillité</t>
  </si>
  <si>
    <t>Orange  - N° client 0104525563 - 06 83 73 66 48</t>
  </si>
  <si>
    <t>Acompte loyer Esthetic Center</t>
  </si>
  <si>
    <t>VR</t>
  </si>
  <si>
    <t>Free Mobile - 1597 1829 - Tél 06 48 55 53 00</t>
  </si>
  <si>
    <t>Free Mobile - 1597 1837 - Tél  - 06 48 55 54 20</t>
  </si>
  <si>
    <t>IRPP - Prelevement à la source</t>
  </si>
  <si>
    <t>VE</t>
  </si>
  <si>
    <t>EDF (Client : 5016065031) Meylan RDC</t>
  </si>
  <si>
    <t>EDF(Client : 5016346605) Meylan 1er</t>
  </si>
  <si>
    <t>EDF (Client : 6017060888) Mtvdre Gd Père</t>
  </si>
  <si>
    <t xml:space="preserve">EDF (Client : 5013193405) Maison Mtvdre </t>
  </si>
  <si>
    <t>DARTY - Abonnement</t>
  </si>
  <si>
    <t>Modèles Divers</t>
  </si>
  <si>
    <t>ESBJ - Rémunération</t>
  </si>
  <si>
    <t>CPAM Pension</t>
  </si>
  <si>
    <t>CPAM Pension - Prélèvement à la source</t>
  </si>
  <si>
    <t>American Express</t>
  </si>
  <si>
    <t>Gaz Tarif Reglementé</t>
  </si>
  <si>
    <t>Eau Grenoble</t>
  </si>
  <si>
    <t>Remboursement LMDE</t>
  </si>
  <si>
    <t>Solde Compte Esthetic Center</t>
  </si>
  <si>
    <t>Arrêté compte VISA Premier</t>
  </si>
  <si>
    <t>Ss-Compte</t>
  </si>
  <si>
    <t>RELEVE EN COURS</t>
  </si>
  <si>
    <t>DE RAPPROCHEMENT</t>
  </si>
  <si>
    <t>Du</t>
  </si>
  <si>
    <t>Au</t>
  </si>
  <si>
    <t>SOLDE PRECEDENT</t>
  </si>
  <si>
    <t>Débit</t>
  </si>
  <si>
    <t>Crédit</t>
  </si>
  <si>
    <t>TOTAUX DES MOUVEMENTS</t>
  </si>
  <si>
    <t>NOUVEAU SOLDE</t>
  </si>
  <si>
    <t>Total Débit pointé</t>
  </si>
  <si>
    <t>Ecart</t>
  </si>
  <si>
    <t>181208D</t>
  </si>
  <si>
    <t>Total Crédit pointé</t>
  </si>
  <si>
    <t>181208C</t>
  </si>
  <si>
    <t>Total Solde pointé</t>
  </si>
  <si>
    <t xml:space="preserve">Type
</t>
  </si>
  <si>
    <t>Commentaire</t>
  </si>
  <si>
    <t>Ana</t>
  </si>
  <si>
    <t>Immo</t>
  </si>
  <si>
    <t>Ctrle Compte</t>
  </si>
  <si>
    <t>Compacte</t>
  </si>
  <si>
    <t>MAIF - Assurance</t>
  </si>
  <si>
    <t>Répartition d'espèces</t>
  </si>
  <si>
    <t>CB</t>
  </si>
  <si>
    <t>Epicuria</t>
  </si>
  <si>
    <t>Carrefour</t>
  </si>
  <si>
    <t>Garage Murat</t>
  </si>
  <si>
    <t>Laiterie des Gérentes</t>
  </si>
  <si>
    <t>Ostéo</t>
  </si>
  <si>
    <t>Area</t>
  </si>
  <si>
    <t>Alimentation</t>
  </si>
  <si>
    <t>Dépenses Bruno</t>
  </si>
  <si>
    <t>Pain</t>
  </si>
  <si>
    <t>Remboursement frais Bruno</t>
  </si>
  <si>
    <t>Boulangerie école L'Aura</t>
  </si>
  <si>
    <t>Primeur Montélier</t>
  </si>
  <si>
    <t>Intermarché</t>
  </si>
  <si>
    <t>Botanic</t>
  </si>
  <si>
    <t>Les Gérentes</t>
  </si>
  <si>
    <t>Charcuterie des Limouches</t>
  </si>
  <si>
    <t>PASS</t>
  </si>
  <si>
    <t>Le relais de la pogne</t>
  </si>
  <si>
    <t>Amazon</t>
  </si>
  <si>
    <t>La vie claire</t>
  </si>
  <si>
    <t>Union primeurs</t>
  </si>
  <si>
    <t>Au petit primeur Chabeuil</t>
  </si>
  <si>
    <t>RCH</t>
  </si>
  <si>
    <t>La banetière</t>
  </si>
  <si>
    <t>Paquet Jardin</t>
  </si>
  <si>
    <t>Pharmacie des Béalières</t>
  </si>
  <si>
    <t>Boulangerie</t>
  </si>
  <si>
    <t>Rakuten</t>
  </si>
  <si>
    <t>Chovin-Clément</t>
  </si>
  <si>
    <t>L'autre moi</t>
  </si>
  <si>
    <t>Horodateurs</t>
  </si>
  <si>
    <t>Divers alimentation</t>
  </si>
  <si>
    <t>Ferme des Blaches</t>
  </si>
  <si>
    <t>Bricomarché</t>
  </si>
  <si>
    <t>Pharmacie Taton</t>
  </si>
  <si>
    <t>Dr C</t>
  </si>
  <si>
    <t>La forêt noire</t>
  </si>
  <si>
    <t>Gamm vert</t>
  </si>
  <si>
    <t>Casino</t>
  </si>
  <si>
    <t>La Poste</t>
  </si>
  <si>
    <t>Anne de Solène</t>
  </si>
  <si>
    <t>Grenier</t>
  </si>
  <si>
    <t>Plants marché</t>
  </si>
  <si>
    <t>Essence Clio Blanche</t>
  </si>
  <si>
    <t>Macarons Adam</t>
  </si>
  <si>
    <t>Relais de la caillette</t>
  </si>
  <si>
    <t>Free Mobile</t>
  </si>
  <si>
    <t>Pharmacie Championnet</t>
  </si>
  <si>
    <t>Boucherie Picoto</t>
  </si>
  <si>
    <t>Monoprix</t>
  </si>
  <si>
    <t>Eau vive</t>
  </si>
  <si>
    <t>Darty</t>
  </si>
  <si>
    <t>Maxence</t>
  </si>
  <si>
    <t>La caraque</t>
  </si>
  <si>
    <t>Laiterie Gérentes</t>
  </si>
  <si>
    <t>Couches Emma</t>
  </si>
  <si>
    <t>Petit casino</t>
  </si>
  <si>
    <t>3lisses</t>
  </si>
  <si>
    <t>L'amylois</t>
  </si>
  <si>
    <t>Vinolea</t>
  </si>
  <si>
    <t>Melean</t>
  </si>
  <si>
    <t>Fnac</t>
  </si>
  <si>
    <t>Cash Bio Markal</t>
  </si>
  <si>
    <t>Cagnotte</t>
  </si>
  <si>
    <t>Parking Gre</t>
  </si>
  <si>
    <t>Nappe marché</t>
  </si>
  <si>
    <t>Essence Clio blanche</t>
  </si>
  <si>
    <t>Raclette MOF</t>
  </si>
  <si>
    <t>Dentiste Bruno</t>
  </si>
  <si>
    <t>Solde de gestion Esthetic Center</t>
  </si>
  <si>
    <t>Tenue compte PEA</t>
  </si>
  <si>
    <t>Dépenses payées par MC</t>
  </si>
  <si>
    <t>Rbst frais MC</t>
  </si>
  <si>
    <t>Lunettes Bruno</t>
  </si>
  <si>
    <t>Total du Journal</t>
  </si>
  <si>
    <t>Raccourcis Comptes</t>
  </si>
  <si>
    <t>A1</t>
  </si>
  <si>
    <t>A2</t>
  </si>
  <si>
    <t>BRU</t>
  </si>
  <si>
    <t>ARN</t>
  </si>
  <si>
    <t>BAP</t>
  </si>
  <si>
    <t>CLA</t>
  </si>
  <si>
    <t>Téléphone 3 Lisses</t>
  </si>
  <si>
    <t>ES</t>
  </si>
  <si>
    <t>CESU</t>
  </si>
  <si>
    <t>Cesu2010</t>
  </si>
  <si>
    <t>COP</t>
  </si>
  <si>
    <t>EDF</t>
  </si>
  <si>
    <t>EMP</t>
  </si>
  <si>
    <t>GDF</t>
  </si>
  <si>
    <t>I1</t>
  </si>
  <si>
    <t>FT</t>
  </si>
  <si>
    <t>B1</t>
  </si>
  <si>
    <t>VP</t>
  </si>
  <si>
    <t>L3</t>
  </si>
  <si>
    <t>SMC</t>
  </si>
  <si>
    <t>L2</t>
  </si>
  <si>
    <t>H1</t>
  </si>
  <si>
    <t>GS</t>
  </si>
  <si>
    <t>SAV</t>
  </si>
  <si>
    <t>B0</t>
  </si>
  <si>
    <t>S1</t>
  </si>
  <si>
    <t>S2</t>
  </si>
  <si>
    <t>V1</t>
  </si>
  <si>
    <t>SHIFT-ENTER</t>
  </si>
  <si>
    <t>CTRL-ENTER</t>
  </si>
  <si>
    <t>Fin de Liste</t>
  </si>
  <si>
    <t>Essentiels bébé</t>
  </si>
  <si>
    <t>L5</t>
  </si>
  <si>
    <t>L'eau vive</t>
  </si>
  <si>
    <t>Retrait Société Générale</t>
  </si>
  <si>
    <t>Limouches</t>
  </si>
  <si>
    <t>ClioCampus</t>
  </si>
  <si>
    <t>King Jouet</t>
  </si>
  <si>
    <t>Momie Manga</t>
  </si>
  <si>
    <t>Vival</t>
  </si>
  <si>
    <t>Pharmacie Grand Pré</t>
  </si>
  <si>
    <t>AXA Pension</t>
  </si>
  <si>
    <t>Ikea</t>
  </si>
  <si>
    <t>Petit bateau</t>
  </si>
  <si>
    <t>POLE EMPLOI - ARE</t>
  </si>
  <si>
    <t>POLE EMPLOI - ARE - Prélèvement à la source</t>
  </si>
  <si>
    <t>Mam</t>
  </si>
  <si>
    <t>HAb</t>
  </si>
  <si>
    <t>AREA</t>
  </si>
  <si>
    <t>Court-circuit</t>
  </si>
  <si>
    <t>Compte mam</t>
  </si>
  <si>
    <t>Remise de cheques</t>
  </si>
  <si>
    <t>Essence Dacia</t>
  </si>
  <si>
    <t>Essence Clio Campus</t>
  </si>
  <si>
    <t>Horodateurs Gre</t>
  </si>
  <si>
    <t>Momie Mangas</t>
  </si>
  <si>
    <t>Comptoir dromois</t>
  </si>
  <si>
    <t>Gérentes</t>
  </si>
  <si>
    <t>MFGTS</t>
  </si>
  <si>
    <t>Mutuelle MFGTS</t>
  </si>
  <si>
    <t>Picard</t>
  </si>
  <si>
    <t>Marché</t>
  </si>
  <si>
    <t>Mercerie</t>
  </si>
  <si>
    <t>Osteo</t>
  </si>
  <si>
    <t>Carrefour - Alimentation</t>
  </si>
  <si>
    <t>Animaux de compagnie : Samoussa</t>
  </si>
  <si>
    <t>Rbst MFTGS</t>
  </si>
  <si>
    <t>Les gérentes</t>
  </si>
  <si>
    <t>La noisette</t>
  </si>
  <si>
    <t>Vie+ PER Bruno</t>
  </si>
  <si>
    <t>Assurance Vie+ PER Contrat xxx - 04/11/2022</t>
  </si>
  <si>
    <t>Fdb</t>
  </si>
  <si>
    <t>Fruits et légumes</t>
  </si>
  <si>
    <t>Clioblanche</t>
  </si>
  <si>
    <t>Frutti primeurs</t>
  </si>
  <si>
    <t>Pharmacie Guttin</t>
  </si>
  <si>
    <t xml:space="preserve">Frais Assurance vie </t>
  </si>
  <si>
    <t>Bonobo</t>
  </si>
  <si>
    <t>Denier du culte</t>
  </si>
  <si>
    <t>NOEL2022</t>
  </si>
  <si>
    <t>Nature &amp; découverte</t>
  </si>
  <si>
    <t>Petit Casino</t>
  </si>
  <si>
    <t>Armand Thierry</t>
  </si>
  <si>
    <t>Parking Valence</t>
  </si>
  <si>
    <t>Virement livret A</t>
  </si>
  <si>
    <t>Virement livret A - Mise à jour intérets</t>
  </si>
  <si>
    <t>Fermage 2022 (Eric Mounier)</t>
  </si>
  <si>
    <t>MFTGS - Cotisation</t>
  </si>
  <si>
    <t>230105C</t>
  </si>
  <si>
    <t>230111D</t>
  </si>
  <si>
    <t>230111C</t>
  </si>
  <si>
    <t>Virement livret A - Annulation</t>
  </si>
  <si>
    <t>Pogne</t>
  </si>
  <si>
    <t>DocteurTorres Bruno</t>
  </si>
  <si>
    <t>Talemelerie</t>
  </si>
  <si>
    <t>Tag - Free Mobile</t>
  </si>
  <si>
    <t>Pharmacie des Buclos</t>
  </si>
  <si>
    <t>Transfert paiement RIGOULET</t>
  </si>
  <si>
    <t>CGRET</t>
  </si>
  <si>
    <t>ORL</t>
  </si>
  <si>
    <t>Trattoria Bella</t>
  </si>
  <si>
    <t>Autour de Bébé</t>
  </si>
  <si>
    <t>Pain Gre</t>
  </si>
  <si>
    <t>Prêt en liquide</t>
  </si>
  <si>
    <t>Don</t>
  </si>
  <si>
    <t>Encyclique St Fds</t>
  </si>
  <si>
    <t>1ère brosse à dent Emma</t>
  </si>
  <si>
    <t>Au minou</t>
  </si>
  <si>
    <t>Fête !!!</t>
  </si>
  <si>
    <t>Bib Emma</t>
  </si>
  <si>
    <t>Gaz Tarif Reglementé -RDC</t>
  </si>
  <si>
    <t>Gaz Tarif Reglementé - 1er</t>
  </si>
  <si>
    <t>230201C</t>
  </si>
  <si>
    <t>230201D</t>
  </si>
  <si>
    <t>230211D</t>
  </si>
  <si>
    <t>230211C</t>
  </si>
  <si>
    <t>Avance crédit d'impôt</t>
  </si>
  <si>
    <t>Ecriture banque erronée/annulée PEA</t>
  </si>
  <si>
    <t>Pharmacie Championnet : annulé Cf. payé MC</t>
  </si>
  <si>
    <t>-</t>
  </si>
  <si>
    <t>Parking</t>
  </si>
  <si>
    <t>Remboursement frais MC à la famille</t>
  </si>
  <si>
    <t>Remboursement frais MC pour la famille</t>
  </si>
  <si>
    <t>Intermarché Alimentation</t>
  </si>
  <si>
    <t>Bricomarché - Ampoules</t>
  </si>
  <si>
    <t>Spirou réabonnement</t>
  </si>
  <si>
    <t>Cadeau de Noël en retard</t>
  </si>
  <si>
    <t>Back2memories</t>
  </si>
  <si>
    <t>FdB</t>
  </si>
  <si>
    <t>Arax</t>
  </si>
  <si>
    <t>Artes Bellas</t>
  </si>
  <si>
    <t>MGEN - Remboursement</t>
  </si>
  <si>
    <t>Culture Vélo</t>
  </si>
  <si>
    <t>Truite du Mezenc</t>
  </si>
  <si>
    <t>Dermato</t>
  </si>
  <si>
    <t>Sage-femme</t>
  </si>
  <si>
    <t>Nelle carte</t>
  </si>
  <si>
    <t>230301D</t>
  </si>
  <si>
    <t>230301C</t>
  </si>
  <si>
    <t>230311D</t>
  </si>
  <si>
    <t>230311C</t>
  </si>
  <si>
    <t>Droit de garde PEA</t>
  </si>
  <si>
    <t>Complément taxe foncière (réintégration TOM)</t>
  </si>
  <si>
    <t>IDEX</t>
  </si>
  <si>
    <t>Thym commun marché</t>
  </si>
  <si>
    <t>Spécialités de la Réunion / marché</t>
  </si>
  <si>
    <t>Cagnotte fidélité</t>
  </si>
  <si>
    <t>Boucherie - Fliets mignons</t>
  </si>
  <si>
    <t>Clémentines</t>
  </si>
  <si>
    <t>Carottes bio</t>
  </si>
  <si>
    <t>Scotch</t>
  </si>
  <si>
    <t>Sevan - MC, Arnaud, B</t>
  </si>
  <si>
    <t>Momox</t>
  </si>
  <si>
    <t>La Procure</t>
  </si>
  <si>
    <t>230330D</t>
  </si>
  <si>
    <t>230330C</t>
  </si>
  <si>
    <t>230331D</t>
  </si>
  <si>
    <t>Rosalie pour fête ti-baba</t>
  </si>
  <si>
    <t>Arc web et ret</t>
  </si>
  <si>
    <t>Alimentation marché</t>
  </si>
  <si>
    <t>Relais de l 26 Chabeuil</t>
  </si>
  <si>
    <t>230331C</t>
  </si>
  <si>
    <t>230413D</t>
  </si>
  <si>
    <t>230413C</t>
  </si>
  <si>
    <t>Dépenses exceptionnelles - Achats d'équipements non provisionnés</t>
  </si>
  <si>
    <t>Remise de dette C&amp;F</t>
  </si>
  <si>
    <t>Anniv Valou</t>
  </si>
  <si>
    <t>Eau Vals</t>
  </si>
  <si>
    <t>Charlie</t>
  </si>
  <si>
    <t>Rbst travaux petite sdb 3lisses bas</t>
  </si>
  <si>
    <t>Rbst travaux 3lisses bas (placard…)</t>
  </si>
  <si>
    <t>Foire aux fleurs - graines</t>
  </si>
  <si>
    <t>Foire aux fleurs - plants (école)</t>
  </si>
  <si>
    <t>Foire aux fleurs - plants (en face Vernoux)</t>
  </si>
  <si>
    <t>Foire aux fleurs - plants BIO (Vernoux)</t>
  </si>
  <si>
    <t>Vin</t>
  </si>
  <si>
    <t>Avril - Cosmétiques Claire</t>
  </si>
  <si>
    <t>Chocolats Caraque</t>
  </si>
  <si>
    <t>La Casetta (Ar,Ju,Clt,BMC)</t>
  </si>
  <si>
    <t>Plants et graines jardin</t>
  </si>
  <si>
    <t>Acompte</t>
  </si>
  <si>
    <t>Credit</t>
  </si>
  <si>
    <t>Decl.2022-23</t>
  </si>
  <si>
    <t>Plants œillets caritatifs</t>
  </si>
  <si>
    <t>Podologue (semelles)</t>
  </si>
  <si>
    <t>SAn</t>
  </si>
  <si>
    <t>Généraliste</t>
  </si>
  <si>
    <t>Taxe Foncières  - LA CROIX</t>
  </si>
  <si>
    <t>Taxe Foncières  - 3 Impasse Tuiliers</t>
  </si>
  <si>
    <t>Taxe Foncières  - 4 Impasse Tuiliers</t>
  </si>
  <si>
    <t>230427D</t>
  </si>
  <si>
    <t>230511D</t>
  </si>
  <si>
    <t>230505C</t>
  </si>
  <si>
    <t>230511C</t>
  </si>
  <si>
    <t>EDF - Rbst cpte créditeur</t>
  </si>
  <si>
    <t>Griffe de jardin</t>
  </si>
  <si>
    <t>Fruits</t>
  </si>
  <si>
    <t>Remboursements Bruno</t>
  </si>
  <si>
    <t>Pognes Nivon</t>
  </si>
  <si>
    <t>Suisses Kdo CH&amp;P</t>
  </si>
  <si>
    <t>Express Carrefour</t>
  </si>
  <si>
    <t>Kdo anniv Thibaud (Valou)</t>
  </si>
  <si>
    <t>Plants de courge au marché</t>
  </si>
  <si>
    <t>Beau t es bio</t>
  </si>
  <si>
    <t>dont EVJF Valou</t>
  </si>
  <si>
    <t>EVJF Valou</t>
  </si>
  <si>
    <t>Le p'tit festif</t>
  </si>
  <si>
    <t>Le verger d'Alixan</t>
  </si>
  <si>
    <t>Cagnotte anniversaire Arnaud</t>
  </si>
  <si>
    <t>Cardio (Descour)</t>
  </si>
  <si>
    <t>Géné (SAMU)</t>
  </si>
  <si>
    <t>Lunettes</t>
  </si>
  <si>
    <t>230601D</t>
  </si>
  <si>
    <t>230601C</t>
  </si>
  <si>
    <t>230616D</t>
  </si>
  <si>
    <t>230616C</t>
  </si>
  <si>
    <t>Capgemini Uptevia</t>
  </si>
  <si>
    <t>Chambres pour le mariage de Valou</t>
  </si>
  <si>
    <t>Galeries Lafayette</t>
  </si>
  <si>
    <t>SF</t>
  </si>
  <si>
    <t>DPAM &gt; erreur compte MC</t>
  </si>
  <si>
    <t>Intermarché &gt; erreur payé MC</t>
  </si>
  <si>
    <t>Boulangerie école Chabeuil</t>
  </si>
  <si>
    <t>Calendrier jardinage</t>
  </si>
  <si>
    <t>VOI-01-G</t>
  </si>
  <si>
    <t>Essence Alixan</t>
  </si>
  <si>
    <t>VOI-02-Dacia</t>
  </si>
  <si>
    <t>VOI 02 CLioBlanche</t>
  </si>
  <si>
    <t>Liquide</t>
  </si>
  <si>
    <t>Bambinos</t>
  </si>
  <si>
    <t>Sandales Emma</t>
  </si>
  <si>
    <t>Esentiels bébé</t>
  </si>
  <si>
    <t>Crème solaire Emma</t>
  </si>
  <si>
    <t>Kdo collègue W</t>
  </si>
  <si>
    <t>Parking gare TGV</t>
  </si>
  <si>
    <t>La table de Limoges</t>
  </si>
  <si>
    <t>Lindt</t>
  </si>
  <si>
    <t>Brasserie</t>
  </si>
  <si>
    <t>Essence tondeuse (15 l)</t>
  </si>
  <si>
    <t>Vis pour tondeuse</t>
  </si>
  <si>
    <t>Poisson surgelé</t>
  </si>
  <si>
    <t>Restaurant Sevan</t>
  </si>
  <si>
    <t>ASF</t>
  </si>
  <si>
    <t>Pleine lune</t>
  </si>
  <si>
    <t>Bayard</t>
  </si>
  <si>
    <t>Sandro</t>
  </si>
  <si>
    <t>Cadeau Auré</t>
  </si>
  <si>
    <t>Levi's</t>
  </si>
  <si>
    <t>Ithurrico Etchea - Copropriete</t>
  </si>
  <si>
    <t>Ithurrico Etchea - Copropriété</t>
  </si>
  <si>
    <t>Parking Grenoble</t>
  </si>
  <si>
    <t>Cagnotte Valou &amp; Thibaud</t>
  </si>
  <si>
    <t>Messe Valou &amp; Thibaud</t>
  </si>
  <si>
    <t>Avance A&amp;B + Ct</t>
  </si>
  <si>
    <t>Cadeau Baptiste</t>
  </si>
  <si>
    <t>Pas de ticket</t>
  </si>
  <si>
    <t>Les Capucins</t>
  </si>
  <si>
    <t>Anniv Baptiste</t>
  </si>
  <si>
    <t>Au vieux campeur</t>
  </si>
  <si>
    <t>Parking CdB</t>
  </si>
  <si>
    <t>Essence Clio 2</t>
  </si>
  <si>
    <t>Restaurant La Chapelle (Cyp,Cla,A&amp;B,BMC)</t>
  </si>
  <si>
    <t>Report à nouveau</t>
  </si>
  <si>
    <t>221231Z</t>
  </si>
  <si>
    <t>230629D</t>
  </si>
  <si>
    <t>230629C</t>
  </si>
  <si>
    <t>230711D</t>
  </si>
  <si>
    <t>230711C</t>
  </si>
  <si>
    <t>Free Mobile -  - Tél 06 87 30 38 42</t>
  </si>
  <si>
    <t xml:space="preserve">Virement reçu : cadeau Baptiste </t>
  </si>
  <si>
    <t>Mariage Valou &amp; Thibaud</t>
  </si>
  <si>
    <t>Gastro</t>
  </si>
  <si>
    <t>Cadeau bébé Eliot</t>
  </si>
  <si>
    <t>Parking Laffrey</t>
  </si>
  <si>
    <t>Cagnotte anniv B</t>
  </si>
  <si>
    <t>Rbst frais MC à la famille</t>
  </si>
  <si>
    <t>Jerem</t>
  </si>
  <si>
    <t>Remboursement frais à la famille</t>
  </si>
  <si>
    <t>Donné pour rando</t>
  </si>
  <si>
    <t xml:space="preserve">Sandwichs Laffrey </t>
  </si>
  <si>
    <t>Plant marché</t>
  </si>
  <si>
    <t>Anniversaire Clément : 30 ans !</t>
  </si>
  <si>
    <t>Eau - Grenoble Metropole</t>
  </si>
  <si>
    <t>Gaz Engie</t>
  </si>
  <si>
    <t>Fuel - Villaret - Acompte</t>
  </si>
  <si>
    <t>Librairie Chateauneuf</t>
  </si>
  <si>
    <t>Q-Park Valence</t>
  </si>
  <si>
    <t>Monceau fleurs</t>
  </si>
  <si>
    <t>Fête</t>
  </si>
  <si>
    <t>Brassards Emma</t>
  </si>
  <si>
    <t>Spike ball</t>
  </si>
  <si>
    <t>Anti-moustiques</t>
  </si>
  <si>
    <t>230807D</t>
  </si>
  <si>
    <t>230811D</t>
  </si>
  <si>
    <t>230807C</t>
  </si>
  <si>
    <t>230811C</t>
  </si>
  <si>
    <t>Free Mobile - - Tél  - 06 87 30 38 42</t>
  </si>
  <si>
    <t>MFTGS - Cotisations</t>
  </si>
  <si>
    <t>IRPP solde</t>
  </si>
  <si>
    <t>Villaret</t>
  </si>
  <si>
    <t>CAIRN</t>
  </si>
  <si>
    <t>Bureau de tabac</t>
  </si>
  <si>
    <t>Pathé Valence</t>
  </si>
  <si>
    <t>Couches</t>
  </si>
  <si>
    <t>Epinards surgelées</t>
  </si>
  <si>
    <t>Légumes - Cour-circuit</t>
  </si>
  <si>
    <t>Sacs poubelles</t>
  </si>
  <si>
    <t>L'Aura Boulangerie</t>
  </si>
  <si>
    <t>Sacs congelation</t>
  </si>
  <si>
    <t>Laiterie gérentes</t>
  </si>
  <si>
    <t>Pignons de pin</t>
  </si>
  <si>
    <t>Saumon</t>
  </si>
  <si>
    <t>PF Mourier</t>
  </si>
  <si>
    <t>Cagnotte anniversaire Baptiste</t>
  </si>
  <si>
    <t>Nous + Cagnotte</t>
  </si>
  <si>
    <t>Vidange + freins</t>
  </si>
  <si>
    <t>Plaque tante Madeleine</t>
  </si>
  <si>
    <t>Composition tante Madeleine</t>
  </si>
  <si>
    <t>Avec Claire</t>
  </si>
  <si>
    <t>Garrage Trezy</t>
  </si>
  <si>
    <t>Librairie le square Gre</t>
  </si>
  <si>
    <t>Quête enterrement tante Madeleine</t>
  </si>
  <si>
    <t>Relay</t>
  </si>
  <si>
    <t>Pourboire Lourdes (Epi d'or)</t>
  </si>
  <si>
    <t>Rocamadour</t>
  </si>
  <si>
    <t>Café royal Lourdes</t>
  </si>
  <si>
    <t>Maison Lacabe</t>
  </si>
  <si>
    <t>Livres Gaby</t>
  </si>
  <si>
    <t>Labechilotik</t>
  </si>
  <si>
    <t>Zozaya marée</t>
  </si>
  <si>
    <t>City Carrefour</t>
  </si>
  <si>
    <t>Les 3 doigts d'or</t>
  </si>
  <si>
    <t>Taxe fonciere SJL</t>
  </si>
  <si>
    <t>EstheticCenter</t>
  </si>
  <si>
    <t>Taxe foncière 3 Lisses</t>
  </si>
  <si>
    <t>Parking Le Puy</t>
  </si>
  <si>
    <t>Hébergement Rocamadour</t>
  </si>
  <si>
    <t>Café Rocamadour avec Richard</t>
  </si>
  <si>
    <t>Essence Dacia Lourdes</t>
  </si>
  <si>
    <t>Pizzeria L'épi d'or - Lourdes</t>
  </si>
  <si>
    <t>Alimentation - Casino SJL</t>
  </si>
  <si>
    <t>Leclerc SJL - Alimentation</t>
  </si>
  <si>
    <t>Labechiloa</t>
  </si>
  <si>
    <t>Atelier du chocolat</t>
  </si>
  <si>
    <t>Le totem</t>
  </si>
  <si>
    <t>Pharmacie Louis XIV</t>
  </si>
  <si>
    <t>Larralde</t>
  </si>
  <si>
    <t>Quicaillerie rue Gambetta</t>
  </si>
  <si>
    <t>Paella o plomo</t>
  </si>
  <si>
    <t>Paries</t>
  </si>
  <si>
    <t>Pain Ibardin</t>
  </si>
  <si>
    <t>Musée de la mer</t>
  </si>
  <si>
    <t>Maison Dodin</t>
  </si>
  <si>
    <t>Parking Biarritz</t>
  </si>
  <si>
    <t>Venta Peio</t>
  </si>
  <si>
    <t>Sardines Marché</t>
  </si>
  <si>
    <t>Luz Services - Intervention Lave Vaisselle</t>
  </si>
  <si>
    <t>Remboursement Mam Rioja et Moscatel</t>
  </si>
  <si>
    <t>Parking Hendaye</t>
  </si>
  <si>
    <t>Tapas Fontarrabie</t>
  </si>
  <si>
    <t>Glaces Socoa</t>
  </si>
  <si>
    <t>Navette Socoa</t>
  </si>
  <si>
    <t>Olives</t>
  </si>
  <si>
    <t>Origan</t>
  </si>
  <si>
    <t>Péage Biarritz</t>
  </si>
  <si>
    <t>Essence Clio IV</t>
  </si>
  <si>
    <t>Parking SJL</t>
  </si>
  <si>
    <t>Toilettes publiques</t>
  </si>
  <si>
    <t>Sardines buvette des halles</t>
  </si>
  <si>
    <t>Pizzas SJL</t>
  </si>
  <si>
    <t>Autres transport : avion, train, métro, bus, taxi, bateau, etc</t>
  </si>
  <si>
    <t>Manège Emma - SJL</t>
  </si>
  <si>
    <t>Manège Emma - St Sébastien</t>
  </si>
  <si>
    <t>remerciements Jean Mars</t>
  </si>
  <si>
    <t>Péage Espagne</t>
  </si>
  <si>
    <t>Parking Espagne</t>
  </si>
  <si>
    <t>Pariès</t>
  </si>
  <si>
    <t>Fête Cyprien</t>
  </si>
  <si>
    <t>Remboursement Claire&amp;Cyp courses benta</t>
  </si>
  <si>
    <t>Ducru</t>
  </si>
  <si>
    <t>Station Shell</t>
  </si>
  <si>
    <t>Le petit puits - Carcassonne</t>
  </si>
  <si>
    <t>Parking - Carcassonne</t>
  </si>
  <si>
    <t>De mémoire</t>
  </si>
  <si>
    <t>Cafés autoroute</t>
  </si>
  <si>
    <t>Station Fabregues</t>
  </si>
  <si>
    <t>Taxe Foncière Montvendre</t>
  </si>
  <si>
    <t>Excès de vitesse</t>
  </si>
  <si>
    <t>CVEC - MC</t>
  </si>
  <si>
    <t>DUET</t>
  </si>
  <si>
    <t>Tapas Saint-Sebastien</t>
  </si>
  <si>
    <t>Glaces Saint-Sebastien</t>
  </si>
  <si>
    <t>CVEC Bruno</t>
  </si>
  <si>
    <t>Dentifrice</t>
  </si>
  <si>
    <t>Droguerie</t>
  </si>
  <si>
    <t>Etiquettes</t>
  </si>
  <si>
    <t>Remboursement Bruno</t>
  </si>
  <si>
    <t>Casino Chabeuil</t>
  </si>
  <si>
    <t>230831D</t>
  </si>
  <si>
    <t>SNCF</t>
  </si>
  <si>
    <t>230831C</t>
  </si>
  <si>
    <t>230912D</t>
  </si>
  <si>
    <t>230912C</t>
  </si>
  <si>
    <t>DAB</t>
  </si>
  <si>
    <t>Boulangerie Championnet</t>
  </si>
  <si>
    <t>Pressing des buclos</t>
  </si>
  <si>
    <t>Plant</t>
  </si>
  <si>
    <t>Truite Mézenc</t>
  </si>
  <si>
    <t>Poivrons</t>
  </si>
  <si>
    <t xml:space="preserve">Vinolea - Rioja </t>
  </si>
  <si>
    <t>Acide chlorhydrique 23%</t>
  </si>
  <si>
    <t>Parking Nice</t>
  </si>
  <si>
    <t>Huilerie Richard</t>
  </si>
  <si>
    <t>Restaurant Le Clémenceau Menton (BMCAJ)</t>
  </si>
  <si>
    <t>Aux deux chefs (BMCAJ)</t>
  </si>
  <si>
    <t>Glaces Fenocchio</t>
  </si>
  <si>
    <t>Gribouille Nice</t>
  </si>
  <si>
    <t>Restau Acchiardo Nice</t>
  </si>
  <si>
    <t>Horodateur Nice</t>
  </si>
  <si>
    <t>Asia Pacific Nice</t>
  </si>
  <si>
    <t>Boulangerie Nice</t>
  </si>
  <si>
    <t>Glacier Menton Tutti Frutti</t>
  </si>
  <si>
    <t>Maison du savon Menton</t>
  </si>
  <si>
    <t>Ph Menton</t>
  </si>
  <si>
    <t>Café autoroute - pas de ticket</t>
  </si>
  <si>
    <t>Transport piano</t>
  </si>
  <si>
    <t>80 ans de Gunter</t>
  </si>
  <si>
    <t>230928D</t>
  </si>
  <si>
    <t>café</t>
  </si>
  <si>
    <t>230928C</t>
  </si>
  <si>
    <t>231011D</t>
  </si>
  <si>
    <t>231011C</t>
  </si>
  <si>
    <t>Free Mobile - Tél  - 06 87 30 38 42</t>
  </si>
  <si>
    <t>Carrefour banque</t>
  </si>
  <si>
    <t>Remboursment frais Bruno</t>
  </si>
  <si>
    <t>TotalEnergies</t>
  </si>
  <si>
    <t>Oiseaux</t>
  </si>
  <si>
    <t>Pause gourmande St Just de Claix</t>
  </si>
  <si>
    <t>Boulangerie Chabeuil</t>
  </si>
  <si>
    <t>Pharmacie Championet</t>
  </si>
  <si>
    <t>Fermage Les Dèves - Barlatier</t>
  </si>
  <si>
    <t>Horticulteur Clément</t>
  </si>
  <si>
    <t>Grand Optical</t>
  </si>
  <si>
    <t>Yaourt</t>
  </si>
  <si>
    <t xml:space="preserve">Clé Clio </t>
  </si>
  <si>
    <t>Especes Données à MC</t>
  </si>
  <si>
    <t>Porte téléphone pour Clio Campus</t>
  </si>
  <si>
    <t>Télécommande télévision LG</t>
  </si>
  <si>
    <t>Restaurant l'ardoise - BMC+Arnaud</t>
  </si>
  <si>
    <t>Cadeau de Thèse</t>
  </si>
  <si>
    <t>Les Alpages - MOF</t>
  </si>
  <si>
    <t>Momie-Folie</t>
  </si>
  <si>
    <t xml:space="preserve">BD Anniversaire Clément </t>
  </si>
  <si>
    <t>BD Thèse Baptiste</t>
  </si>
  <si>
    <t>Boucherie Mathesyne</t>
  </si>
  <si>
    <t>Pharmacie des Ayguinards</t>
  </si>
  <si>
    <t>Caisse d'Epargne</t>
  </si>
  <si>
    <t>Remboursement dépenses Bruno</t>
  </si>
  <si>
    <t>Chapeau gradué + ballon</t>
  </si>
  <si>
    <t>Pot de thèse Baptiste</t>
  </si>
  <si>
    <t xml:space="preserve">REY - Plateau charcuterie pot thèse Baptiste </t>
  </si>
  <si>
    <t>St Augustin</t>
  </si>
  <si>
    <t>Soirée de thèse Baptiste</t>
  </si>
  <si>
    <t>Espèces données par Baptiste avant de partir</t>
  </si>
  <si>
    <t>Parking Aéroport</t>
  </si>
  <si>
    <t>Dentiste</t>
  </si>
  <si>
    <t>231030D</t>
  </si>
  <si>
    <t>231030C</t>
  </si>
  <si>
    <t>231110D</t>
  </si>
  <si>
    <t>231110C</t>
  </si>
  <si>
    <t>Comptoir des viandes</t>
  </si>
  <si>
    <t>Librairie foyer Chateauneuf-de-Galaure</t>
  </si>
  <si>
    <t>Remboursement Baptiste</t>
  </si>
  <si>
    <t>L'atelier du chocolat</t>
  </si>
  <si>
    <t>Pylones</t>
  </si>
  <si>
    <t>Descammps</t>
  </si>
  <si>
    <t>Phildar</t>
  </si>
  <si>
    <t>Pot de thèse</t>
  </si>
  <si>
    <t>Remboursement MC par famille</t>
  </si>
  <si>
    <t>HappyWool</t>
  </si>
  <si>
    <t>Miel Fabienne</t>
  </si>
  <si>
    <t>Miel Delphine</t>
  </si>
  <si>
    <t>Rbst frais</t>
  </si>
  <si>
    <t>Houx</t>
  </si>
  <si>
    <t>Eau de Valence - Contrat 1068516</t>
  </si>
  <si>
    <t>Eau de Valence - Contrat 1068515</t>
  </si>
  <si>
    <t>Vie+ PER MC</t>
  </si>
  <si>
    <t>Versements PER 2023</t>
  </si>
  <si>
    <t>Toto</t>
  </si>
  <si>
    <t>Carrefour Alimentation</t>
  </si>
  <si>
    <t>Etrennes facteur Montvendre</t>
  </si>
  <si>
    <t>Intermarché - Alimentation</t>
  </si>
  <si>
    <t>Double clé appartement 1er SJL</t>
  </si>
  <si>
    <t>Foret Noire - Tarte aux framboises</t>
  </si>
  <si>
    <t>Dr Torres</t>
  </si>
  <si>
    <t>Taxe Fonciere Montvendre</t>
  </si>
  <si>
    <t>Guillet - Couleur macaron</t>
  </si>
  <si>
    <t>Chocolats Mounier</t>
  </si>
  <si>
    <t>Utile</t>
  </si>
  <si>
    <t>231130D</t>
  </si>
  <si>
    <t>DARTY - Robot marie &amp; ultra-cuiseur</t>
  </si>
  <si>
    <t>231205C</t>
  </si>
  <si>
    <t>231212D</t>
  </si>
  <si>
    <t>231212C</t>
  </si>
  <si>
    <t>APBP</t>
  </si>
  <si>
    <t>Momie mangas</t>
  </si>
  <si>
    <t>Casa</t>
  </si>
  <si>
    <t>Palais des thés</t>
  </si>
  <si>
    <t>Bonhomme de bois</t>
  </si>
  <si>
    <t>Maison du monde</t>
  </si>
  <si>
    <t>Relais de la pogne</t>
  </si>
  <si>
    <t>Total Energies</t>
  </si>
  <si>
    <t>Voiture Arnaud</t>
  </si>
  <si>
    <t>A inclure qd BIL98</t>
  </si>
  <si>
    <t>Garage</t>
  </si>
  <si>
    <t>Chaussons</t>
  </si>
  <si>
    <t>La grande récré</t>
  </si>
  <si>
    <t>Noël Emma</t>
  </si>
  <si>
    <t>Meubles GB</t>
  </si>
  <si>
    <t>Oranges, citrons et olives</t>
  </si>
  <si>
    <t>Park ND</t>
  </si>
  <si>
    <t>Astérix &amp; guide</t>
  </si>
  <si>
    <t>Imagerie hopital Baptiste</t>
  </si>
  <si>
    <t>Salade</t>
  </si>
  <si>
    <t>Sassoun - Arnaud, Julie, BMC</t>
  </si>
  <si>
    <t>Eau de Grenoble</t>
  </si>
  <si>
    <t>Dinde de noël</t>
  </si>
  <si>
    <t xml:space="preserve">Huitres et saumon </t>
  </si>
  <si>
    <t>Casino Alimentation</t>
  </si>
  <si>
    <t>Diagonale du fou</t>
  </si>
  <si>
    <t>Clémentines et patates douce</t>
  </si>
  <si>
    <t>SNCF - Carte Senior MC</t>
  </si>
  <si>
    <t>Casino - Porto et foie gras</t>
  </si>
  <si>
    <t>Pharmacie - Doliprane et citrate bétaïne</t>
  </si>
  <si>
    <t>Piles</t>
  </si>
  <si>
    <t>Père et mère NOËL pour le Canada</t>
  </si>
  <si>
    <t>Home &amp; cook</t>
  </si>
  <si>
    <t>Quête messe de Noël</t>
  </si>
  <si>
    <t>Control Equilibre (Y/N)</t>
  </si>
  <si>
    <t>Y</t>
  </si>
  <si>
    <t>Rbst tapis (MC &amp; Claire kdo commun)</t>
  </si>
  <si>
    <t>Rbst kdo gpe anniv</t>
  </si>
  <si>
    <t>Ladi café</t>
  </si>
  <si>
    <t>Artisa</t>
  </si>
  <si>
    <t>Brin d'grelinette</t>
  </si>
  <si>
    <t>LDLC</t>
  </si>
  <si>
    <t>240105D</t>
  </si>
  <si>
    <t>Petit primeur Chabeuil</t>
  </si>
  <si>
    <t>240111D</t>
  </si>
  <si>
    <t>240111C</t>
  </si>
  <si>
    <t>Tag</t>
  </si>
  <si>
    <t>Parking Romans</t>
  </si>
  <si>
    <t>240205D</t>
  </si>
  <si>
    <t>Fermage Les Dèves - Mounier</t>
  </si>
  <si>
    <t>Rémunération professionnelle, participation,épargne salariale</t>
  </si>
  <si>
    <t>3Lisses1</t>
  </si>
  <si>
    <t>3Lisses2</t>
  </si>
  <si>
    <t>EDF (Client : 5016518927) SJL</t>
  </si>
  <si>
    <t>Frais postaux (timbres poste)</t>
  </si>
  <si>
    <t>99</t>
  </si>
  <si>
    <t>Ecritures annulées</t>
  </si>
  <si>
    <t>999</t>
  </si>
  <si>
    <t>Non encaissé 27/07/24</t>
  </si>
  <si>
    <t>Non rapproché 27/07/24</t>
  </si>
  <si>
    <t>non rapproché 27/07/24</t>
  </si>
  <si>
    <t>R1</t>
  </si>
  <si>
    <t>Nno rapproché 27/07/24</t>
  </si>
  <si>
    <t>Année</t>
  </si>
  <si>
    <t>Annulé non rapproché a la cloture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</si>
</sst>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#,##0.00\ &quot;€&quot;;[Red]\-#,##0.00\ &quot;€&quot;"/>
    <numFmt numFmtId="164" formatCode="#,##0.00\ &quot;€&quot;"/>
    <numFmt numFmtId="165" formatCode="#,##0.0_ ;\-#,##0.0\ "/>
    <numFmt numFmtId="166" formatCode="0000"/>
    <numFmt numFmtId="167" formatCode="dd/mm/yy;@"/>
    <numFmt numFmtId="168" formatCode="00"/>
    <numFmt numFmtId="169" formatCode="0.0%"/>
  </numFmts>
  <fonts count="2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i/>
      <sz val="8"/>
      <name val="Arial"/>
      <family val="2"/>
    </font>
    <font>
      <b/>
      <u/>
      <sz val="8"/>
      <name val="Arial"/>
      <family val="2"/>
    </font>
    <font>
      <sz val="9"/>
      <name val="Arial"/>
      <family val="2"/>
    </font>
    <font>
      <b/>
      <i/>
      <sz val="8"/>
      <name val="Arial"/>
      <family val="2"/>
    </font>
    <font>
      <b/>
      <i/>
      <sz val="10"/>
      <name val="Arial"/>
      <family val="2"/>
    </font>
    <font>
      <sz val="9"/>
      <color indexed="9"/>
      <name val="Arial"/>
      <family val="2"/>
    </font>
    <font>
      <sz val="9"/>
      <color rgb="FFFFFF00"/>
      <name val="Arial"/>
      <family val="2"/>
    </font>
    <font>
      <b/>
      <sz val="9"/>
      <color indexed="81"/>
      <name val="Tahoma"/>
      <family val="2"/>
    </font>
    <font>
      <sz val="8"/>
      <color indexed="9"/>
      <name val="Arial"/>
      <family val="2"/>
    </font>
    <font>
      <u/>
      <sz val="8"/>
      <color theme="3" tint="-0.24994659260841701"/>
      <name val="Arial"/>
      <family val="2"/>
    </font>
    <font>
      <b/>
      <sz val="9"/>
      <name val="Arial"/>
      <family val="2"/>
    </font>
    <font>
      <b/>
      <sz val="8"/>
      <color theme="9" tint="-0.499984740745262"/>
      <name val="Arial"/>
      <family val="2"/>
    </font>
    <font>
      <sz val="8"/>
      <color theme="9" tint="-0.499984740745262"/>
      <name val="Arial"/>
      <family val="2"/>
    </font>
    <font>
      <i/>
      <sz val="8"/>
      <color theme="9" tint="-0.499984740745262"/>
      <name val="Arial"/>
      <family val="2"/>
    </font>
    <font>
      <b/>
      <u val="double"/>
      <sz val="8"/>
      <color theme="9" tint="-0.499984740745262"/>
      <name val="Arial"/>
      <family val="2"/>
    </font>
    <font>
      <u val="double"/>
      <sz val="8"/>
      <color theme="9" tint="-0.499984740745262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CB7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57257D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3" tint="-0.249977111117893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0" fontId="1" fillId="0" borderId="0"/>
    <xf numFmtId="166" fontId="15" fillId="19" borderId="1">
      <alignment horizontal="center" wrapText="1"/>
      <protection locked="0"/>
    </xf>
    <xf numFmtId="0" fontId="18" fillId="12" borderId="1">
      <alignment horizontal="center" vertical="center" wrapText="1"/>
    </xf>
  </cellStyleXfs>
  <cellXfs count="210">
    <xf numFmtId="0" fontId="0" fillId="0" borderId="0" xfId="0"/>
    <xf numFmtId="0" fontId="6" fillId="0" borderId="1" xfId="0" applyFont="1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14" fontId="3" fillId="0" borderId="1" xfId="0" applyNumberFormat="1" applyFont="1" applyBorder="1" applyAlignment="1">
      <alignment horizontal="center"/>
    </xf>
    <xf numFmtId="49" fontId="3" fillId="0" borderId="1" xfId="0" applyNumberFormat="1" applyFont="1" applyBorder="1" applyAlignment="1">
      <alignment horizontal="center"/>
    </xf>
    <xf numFmtId="0" fontId="6" fillId="5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left" wrapText="1"/>
    </xf>
    <xf numFmtId="8" fontId="3" fillId="0" borderId="1" xfId="0" applyNumberFormat="1" applyFont="1" applyBorder="1" applyAlignment="1">
      <alignment horizontal="center"/>
    </xf>
    <xf numFmtId="0" fontId="8" fillId="0" borderId="0" xfId="0" applyFont="1"/>
    <xf numFmtId="0" fontId="6" fillId="0" borderId="0" xfId="0" applyFont="1" applyAlignment="1">
      <alignment horizontal="left" wrapText="1"/>
    </xf>
    <xf numFmtId="0" fontId="7" fillId="0" borderId="0" xfId="0" applyFont="1" applyAlignment="1">
      <alignment wrapText="1"/>
    </xf>
    <xf numFmtId="0" fontId="7" fillId="0" borderId="0" xfId="0" applyFont="1"/>
    <xf numFmtId="0" fontId="7" fillId="0" borderId="0" xfId="0" applyFont="1" applyAlignment="1">
      <alignment horizontal="center" wrapText="1"/>
    </xf>
    <xf numFmtId="0" fontId="6" fillId="0" borderId="1" xfId="0" applyFont="1" applyBorder="1" applyAlignment="1">
      <alignment wrapText="1"/>
    </xf>
    <xf numFmtId="0" fontId="6" fillId="0" borderId="0" xfId="0" applyFont="1"/>
    <xf numFmtId="0" fontId="9" fillId="0" borderId="1" xfId="0" applyFont="1" applyBorder="1" applyAlignment="1">
      <alignment horizontal="center" wrapText="1"/>
    </xf>
    <xf numFmtId="0" fontId="9" fillId="0" borderId="1" xfId="0" applyFont="1" applyBorder="1" applyAlignment="1">
      <alignment wrapText="1"/>
    </xf>
    <xf numFmtId="0" fontId="9" fillId="0" borderId="0" xfId="0" applyFont="1"/>
    <xf numFmtId="166" fontId="3" fillId="0" borderId="1" xfId="0" applyNumberFormat="1" applyFont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49" fontId="3" fillId="5" borderId="1" xfId="0" applyNumberFormat="1" applyFont="1" applyFill="1" applyBorder="1" applyAlignment="1">
      <alignment horizontal="center"/>
    </xf>
    <xf numFmtId="0" fontId="3" fillId="0" borderId="0" xfId="0" applyFont="1"/>
    <xf numFmtId="14" fontId="3" fillId="5" borderId="1" xfId="0" applyNumberFormat="1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 wrapText="1"/>
    </xf>
    <xf numFmtId="8" fontId="3" fillId="5" borderId="1" xfId="0" applyNumberFormat="1" applyFont="1" applyFill="1" applyBorder="1" applyAlignment="1">
      <alignment horizontal="center"/>
    </xf>
    <xf numFmtId="0" fontId="3" fillId="0" borderId="1" xfId="0" applyFont="1" applyBorder="1"/>
    <xf numFmtId="0" fontId="6" fillId="5" borderId="1" xfId="0" applyFont="1" applyFill="1" applyBorder="1" applyAlignment="1">
      <alignment horizontal="center"/>
    </xf>
    <xf numFmtId="8" fontId="6" fillId="5" borderId="1" xfId="0" applyNumberFormat="1" applyFont="1" applyFill="1" applyBorder="1" applyAlignment="1">
      <alignment horizontal="center"/>
    </xf>
    <xf numFmtId="0" fontId="6" fillId="5" borderId="1" xfId="0" applyFont="1" applyFill="1" applyBorder="1" applyAlignment="1">
      <alignment horizontal="left" wrapText="1"/>
    </xf>
    <xf numFmtId="0" fontId="10" fillId="0" borderId="0" xfId="0" applyFont="1" applyAlignment="1">
      <alignment horizontal="left"/>
    </xf>
    <xf numFmtId="164" fontId="3" fillId="0" borderId="1" xfId="0" applyNumberFormat="1" applyFont="1" applyBorder="1" applyAlignment="1">
      <alignment horizontal="center"/>
    </xf>
    <xf numFmtId="1" fontId="3" fillId="5" borderId="1" xfId="0" applyNumberFormat="1" applyFont="1" applyFill="1" applyBorder="1" applyAlignment="1">
      <alignment horizontal="center" wrapText="1"/>
    </xf>
    <xf numFmtId="1" fontId="3" fillId="0" borderId="1" xfId="0" applyNumberFormat="1" applyFont="1" applyBorder="1" applyAlignment="1">
      <alignment horizontal="center"/>
    </xf>
    <xf numFmtId="164" fontId="3" fillId="5" borderId="1" xfId="0" applyNumberFormat="1" applyFont="1" applyFill="1" applyBorder="1" applyAlignment="1">
      <alignment horizontal="center" wrapText="1"/>
    </xf>
    <xf numFmtId="164" fontId="3" fillId="0" borderId="1" xfId="0" applyNumberFormat="1" applyFont="1" applyBorder="1" applyAlignment="1">
      <alignment horizontal="center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wrapText="1"/>
    </xf>
    <xf numFmtId="0" fontId="6" fillId="11" borderId="0" xfId="0" applyFont="1" applyFill="1" applyAlignment="1">
      <alignment horizontal="left"/>
    </xf>
    <xf numFmtId="0" fontId="7" fillId="11" borderId="0" xfId="0" applyFont="1" applyFill="1"/>
    <xf numFmtId="164" fontId="0" fillId="0" borderId="0" xfId="0" applyNumberFormat="1"/>
    <xf numFmtId="0" fontId="3" fillId="0" borderId="1" xfId="0" applyFont="1" applyBorder="1" applyAlignment="1">
      <alignment horizontal="center" wrapText="1"/>
    </xf>
    <xf numFmtId="168" fontId="6" fillId="5" borderId="1" xfId="0" applyNumberFormat="1" applyFont="1" applyFill="1" applyBorder="1" applyAlignment="1">
      <alignment horizontal="center"/>
    </xf>
    <xf numFmtId="168" fontId="3" fillId="0" borderId="1" xfId="0" applyNumberFormat="1" applyFont="1" applyBorder="1" applyAlignment="1">
      <alignment horizontal="center"/>
    </xf>
    <xf numFmtId="14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8" fontId="11" fillId="0" borderId="1" xfId="0" applyNumberFormat="1" applyFont="1" applyBorder="1" applyAlignment="1">
      <alignment horizontal="center"/>
    </xf>
    <xf numFmtId="49" fontId="3" fillId="0" borderId="0" xfId="0" applyNumberFormat="1" applyFont="1" applyAlignment="1">
      <alignment horizontal="center" wrapText="1"/>
    </xf>
    <xf numFmtId="166" fontId="11" fillId="0" borderId="1" xfId="0" applyNumberFormat="1" applyFont="1" applyBorder="1" applyAlignment="1">
      <alignment horizontal="center"/>
    </xf>
    <xf numFmtId="49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left" vertical="top" wrapText="1"/>
    </xf>
    <xf numFmtId="0" fontId="6" fillId="0" borderId="0" xfId="0" applyFont="1" applyAlignment="1">
      <alignment horizontal="center" wrapText="1"/>
    </xf>
    <xf numFmtId="0" fontId="8" fillId="12" borderId="0" xfId="0" applyFont="1" applyFill="1"/>
    <xf numFmtId="0" fontId="0" fillId="12" borderId="0" xfId="0" applyFill="1" applyAlignment="1">
      <alignment horizontal="center"/>
    </xf>
    <xf numFmtId="49" fontId="0" fillId="12" borderId="0" xfId="0" applyNumberFormat="1" applyFill="1"/>
    <xf numFmtId="0" fontId="0" fillId="12" borderId="0" xfId="0" applyFill="1"/>
    <xf numFmtId="0" fontId="2" fillId="12" borderId="0" xfId="0" applyFont="1" applyFill="1"/>
    <xf numFmtId="0" fontId="2" fillId="12" borderId="0" xfId="0" applyFont="1" applyFill="1" applyAlignment="1">
      <alignment horizontal="center"/>
    </xf>
    <xf numFmtId="49" fontId="2" fillId="12" borderId="0" xfId="0" applyNumberFormat="1" applyFont="1" applyFill="1"/>
    <xf numFmtId="0" fontId="0" fillId="11" borderId="8" xfId="0" applyFill="1" applyBorder="1"/>
    <xf numFmtId="0" fontId="3" fillId="11" borderId="9" xfId="0" applyFont="1" applyFill="1" applyBorder="1" applyAlignment="1">
      <alignment horizontal="center"/>
    </xf>
    <xf numFmtId="0" fontId="3" fillId="11" borderId="9" xfId="0" applyFont="1" applyFill="1" applyBorder="1"/>
    <xf numFmtId="0" fontId="3" fillId="11" borderId="10" xfId="0" applyFont="1" applyFill="1" applyBorder="1"/>
    <xf numFmtId="0" fontId="8" fillId="11" borderId="11" xfId="0" applyFont="1" applyFill="1" applyBorder="1"/>
    <xf numFmtId="0" fontId="0" fillId="11" borderId="0" xfId="0" applyFill="1"/>
    <xf numFmtId="0" fontId="0" fillId="11" borderId="12" xfId="0" applyFill="1" applyBorder="1"/>
    <xf numFmtId="0" fontId="0" fillId="11" borderId="4" xfId="0" applyFill="1" applyBorder="1"/>
    <xf numFmtId="0" fontId="0" fillId="11" borderId="0" xfId="0" applyFill="1" applyAlignment="1">
      <alignment horizontal="center"/>
    </xf>
    <xf numFmtId="0" fontId="8" fillId="11" borderId="0" xfId="0" applyFont="1" applyFill="1" applyAlignment="1">
      <alignment horizontal="right"/>
    </xf>
    <xf numFmtId="167" fontId="0" fillId="15" borderId="1" xfId="0" applyNumberFormat="1" applyFill="1" applyBorder="1" applyProtection="1">
      <protection locked="0"/>
    </xf>
    <xf numFmtId="0" fontId="0" fillId="11" borderId="13" xfId="0" applyFill="1" applyBorder="1"/>
    <xf numFmtId="0" fontId="0" fillId="11" borderId="11" xfId="0" applyFill="1" applyBorder="1"/>
    <xf numFmtId="0" fontId="8" fillId="11" borderId="11" xfId="0" applyFont="1" applyFill="1" applyBorder="1" applyAlignment="1">
      <alignment horizontal="right"/>
    </xf>
    <xf numFmtId="164" fontId="0" fillId="11" borderId="0" xfId="0" applyNumberFormat="1" applyFill="1"/>
    <xf numFmtId="0" fontId="0" fillId="11" borderId="3" xfId="0" applyFill="1" applyBorder="1"/>
    <xf numFmtId="0" fontId="0" fillId="11" borderId="11" xfId="0" applyFill="1" applyBorder="1" applyAlignment="1">
      <alignment horizontal="right"/>
    </xf>
    <xf numFmtId="0" fontId="3" fillId="11" borderId="0" xfId="0" applyFont="1" applyFill="1" applyAlignment="1">
      <alignment horizontal="center"/>
    </xf>
    <xf numFmtId="0" fontId="2" fillId="11" borderId="0" xfId="0" applyFont="1" applyFill="1" applyAlignment="1">
      <alignment horizontal="center"/>
    </xf>
    <xf numFmtId="0" fontId="0" fillId="11" borderId="2" xfId="0" applyFill="1" applyBorder="1"/>
    <xf numFmtId="0" fontId="8" fillId="11" borderId="0" xfId="0" applyFont="1" applyFill="1"/>
    <xf numFmtId="0" fontId="8" fillId="16" borderId="11" xfId="0" applyFont="1" applyFill="1" applyBorder="1" applyAlignment="1">
      <alignment horizontal="right"/>
    </xf>
    <xf numFmtId="0" fontId="8" fillId="16" borderId="0" xfId="0" applyFont="1" applyFill="1"/>
    <xf numFmtId="0" fontId="0" fillId="16" borderId="0" xfId="0" applyFill="1"/>
    <xf numFmtId="0" fontId="0" fillId="16" borderId="12" xfId="0" applyFill="1" applyBorder="1"/>
    <xf numFmtId="164" fontId="2" fillId="11" borderId="0" xfId="0" applyNumberFormat="1" applyFont="1" applyFill="1"/>
    <xf numFmtId="0" fontId="2" fillId="11" borderId="0" xfId="0" applyFont="1" applyFill="1"/>
    <xf numFmtId="0" fontId="3" fillId="11" borderId="0" xfId="0" applyFont="1" applyFill="1"/>
    <xf numFmtId="0" fontId="8" fillId="11" borderId="14" xfId="0" applyFont="1" applyFill="1" applyBorder="1"/>
    <xf numFmtId="0" fontId="0" fillId="11" borderId="15" xfId="0" applyFill="1" applyBorder="1"/>
    <xf numFmtId="0" fontId="0" fillId="11" borderId="16" xfId="0" applyFill="1" applyBorder="1"/>
    <xf numFmtId="14" fontId="14" fillId="17" borderId="1" xfId="0" applyNumberFormat="1" applyFont="1" applyFill="1" applyBorder="1" applyAlignment="1">
      <alignment horizontal="center"/>
    </xf>
    <xf numFmtId="166" fontId="14" fillId="17" borderId="1" xfId="0" applyNumberFormat="1" applyFont="1" applyFill="1" applyBorder="1" applyAlignment="1">
      <alignment horizontal="center"/>
    </xf>
    <xf numFmtId="0" fontId="14" fillId="17" borderId="1" xfId="0" applyFont="1" applyFill="1" applyBorder="1" applyAlignment="1">
      <alignment horizontal="center"/>
    </xf>
    <xf numFmtId="8" fontId="14" fillId="17" borderId="1" xfId="0" applyNumberFormat="1" applyFont="1" applyFill="1" applyBorder="1" applyAlignment="1">
      <alignment horizontal="center"/>
    </xf>
    <xf numFmtId="49" fontId="14" fillId="17" borderId="1" xfId="0" applyNumberFormat="1" applyFont="1" applyFill="1" applyBorder="1" applyAlignment="1">
      <alignment horizontal="center"/>
    </xf>
    <xf numFmtId="0" fontId="14" fillId="17" borderId="1" xfId="0" applyFont="1" applyFill="1" applyBorder="1" applyAlignment="1">
      <alignment horizontal="center" wrapText="1"/>
    </xf>
    <xf numFmtId="0" fontId="15" fillId="17" borderId="1" xfId="0" applyFont="1" applyFill="1" applyBorder="1" applyAlignment="1">
      <alignment horizontal="center" wrapText="1"/>
    </xf>
    <xf numFmtId="0" fontId="14" fillId="17" borderId="1" xfId="0" applyFont="1" applyFill="1" applyBorder="1" applyAlignment="1">
      <alignment horizontal="left" vertical="top" wrapText="1"/>
    </xf>
    <xf numFmtId="167" fontId="6" fillId="5" borderId="1" xfId="0" applyNumberFormat="1" applyFont="1" applyFill="1" applyBorder="1" applyAlignment="1">
      <alignment horizontal="center"/>
    </xf>
    <xf numFmtId="167" fontId="3" fillId="0" borderId="1" xfId="0" applyNumberFormat="1" applyFont="1" applyBorder="1" applyAlignment="1">
      <alignment horizontal="center"/>
    </xf>
    <xf numFmtId="164" fontId="8" fillId="11" borderId="1" xfId="0" applyNumberFormat="1" applyFont="1" applyFill="1" applyBorder="1"/>
    <xf numFmtId="164" fontId="2" fillId="15" borderId="1" xfId="0" applyNumberFormat="1" applyFont="1" applyFill="1" applyBorder="1" applyProtection="1">
      <protection locked="0"/>
    </xf>
    <xf numFmtId="8" fontId="0" fillId="0" borderId="0" xfId="0" applyNumberFormat="1"/>
    <xf numFmtId="0" fontId="17" fillId="17" borderId="1" xfId="0" applyFont="1" applyFill="1" applyBorder="1" applyAlignment="1">
      <alignment horizontal="center"/>
    </xf>
    <xf numFmtId="49" fontId="2" fillId="11" borderId="0" xfId="0" applyNumberFormat="1" applyFont="1" applyFill="1" applyAlignment="1" applyProtection="1">
      <alignment horizontal="center"/>
      <protection locked="0"/>
    </xf>
    <xf numFmtId="49" fontId="2" fillId="11" borderId="0" xfId="0" applyNumberFormat="1" applyFont="1" applyFill="1" applyProtection="1">
      <protection locked="0"/>
    </xf>
    <xf numFmtId="0" fontId="0" fillId="18" borderId="8" xfId="0" applyFill="1" applyBorder="1"/>
    <xf numFmtId="0" fontId="3" fillId="18" borderId="9" xfId="0" applyFont="1" applyFill="1" applyBorder="1" applyAlignment="1">
      <alignment horizontal="center"/>
    </xf>
    <xf numFmtId="0" fontId="8" fillId="18" borderId="11" xfId="0" applyFont="1" applyFill="1" applyBorder="1"/>
    <xf numFmtId="49" fontId="2" fillId="18" borderId="0" xfId="0" applyNumberFormat="1" applyFont="1" applyFill="1" applyAlignment="1" applyProtection="1">
      <alignment horizontal="center"/>
      <protection locked="0"/>
    </xf>
    <xf numFmtId="49" fontId="2" fillId="18" borderId="0" xfId="0" applyNumberFormat="1" applyFont="1" applyFill="1" applyProtection="1">
      <protection locked="0"/>
    </xf>
    <xf numFmtId="0" fontId="0" fillId="18" borderId="0" xfId="0" applyFill="1"/>
    <xf numFmtId="0" fontId="0" fillId="18" borderId="4" xfId="0" applyFill="1" applyBorder="1"/>
    <xf numFmtId="0" fontId="8" fillId="18" borderId="0" xfId="0" applyFont="1" applyFill="1" applyAlignment="1">
      <alignment horizontal="right"/>
    </xf>
    <xf numFmtId="167" fontId="0" fillId="18" borderId="1" xfId="0" applyNumberFormat="1" applyFill="1" applyBorder="1" applyProtection="1">
      <protection locked="0"/>
    </xf>
    <xf numFmtId="0" fontId="0" fillId="18" borderId="11" xfId="0" applyFill="1" applyBorder="1"/>
    <xf numFmtId="0" fontId="8" fillId="18" borderId="11" xfId="0" applyFont="1" applyFill="1" applyBorder="1" applyAlignment="1">
      <alignment horizontal="right"/>
    </xf>
    <xf numFmtId="164" fontId="0" fillId="18" borderId="0" xfId="0" applyNumberFormat="1" applyFill="1"/>
    <xf numFmtId="0" fontId="0" fillId="18" borderId="3" xfId="0" applyFill="1" applyBorder="1"/>
    <xf numFmtId="0" fontId="0" fillId="18" borderId="11" xfId="0" applyFill="1" applyBorder="1" applyAlignment="1">
      <alignment horizontal="right"/>
    </xf>
    <xf numFmtId="0" fontId="3" fillId="18" borderId="0" xfId="0" applyFont="1" applyFill="1" applyAlignment="1">
      <alignment horizontal="center"/>
    </xf>
    <xf numFmtId="164" fontId="2" fillId="18" borderId="1" xfId="0" applyNumberFormat="1" applyFont="1" applyFill="1" applyBorder="1" applyProtection="1">
      <protection locked="0"/>
    </xf>
    <xf numFmtId="0" fontId="0" fillId="18" borderId="2" xfId="0" applyFill="1" applyBorder="1"/>
    <xf numFmtId="0" fontId="8" fillId="18" borderId="0" xfId="0" applyFont="1" applyFill="1"/>
    <xf numFmtId="164" fontId="8" fillId="18" borderId="1" xfId="0" applyNumberFormat="1" applyFont="1" applyFill="1" applyBorder="1"/>
    <xf numFmtId="164" fontId="2" fillId="18" borderId="0" xfId="0" applyNumberFormat="1" applyFont="1" applyFill="1"/>
    <xf numFmtId="0" fontId="2" fillId="18" borderId="0" xfId="0" applyFont="1" applyFill="1"/>
    <xf numFmtId="0" fontId="3" fillId="18" borderId="10" xfId="0" applyFont="1" applyFill="1" applyBorder="1"/>
    <xf numFmtId="0" fontId="0" fillId="18" borderId="12" xfId="0" applyFill="1" applyBorder="1"/>
    <xf numFmtId="0" fontId="0" fillId="18" borderId="11" xfId="0" applyFill="1" applyBorder="1" applyAlignment="1">
      <alignment horizontal="center"/>
    </xf>
    <xf numFmtId="14" fontId="2" fillId="18" borderId="17" xfId="0" applyNumberFormat="1" applyFont="1" applyFill="1" applyBorder="1" applyProtection="1">
      <protection locked="0"/>
    </xf>
    <xf numFmtId="0" fontId="0" fillId="18" borderId="13" xfId="0" applyFill="1" applyBorder="1"/>
    <xf numFmtId="0" fontId="3" fillId="18" borderId="12" xfId="0" applyFont="1" applyFill="1" applyBorder="1" applyAlignment="1">
      <alignment horizontal="center"/>
    </xf>
    <xf numFmtId="0" fontId="2" fillId="18" borderId="12" xfId="0" applyFont="1" applyFill="1" applyBorder="1" applyAlignment="1">
      <alignment horizontal="center"/>
    </xf>
    <xf numFmtId="0" fontId="3" fillId="18" borderId="12" xfId="0" applyFont="1" applyFill="1" applyBorder="1"/>
    <xf numFmtId="0" fontId="8" fillId="18" borderId="14" xfId="0" applyFont="1" applyFill="1" applyBorder="1" applyAlignment="1">
      <alignment horizontal="right"/>
    </xf>
    <xf numFmtId="164" fontId="2" fillId="18" borderId="15" xfId="0" applyNumberFormat="1" applyFont="1" applyFill="1" applyBorder="1"/>
    <xf numFmtId="0" fontId="8" fillId="18" borderId="15" xfId="0" applyFont="1" applyFill="1" applyBorder="1" applyAlignment="1">
      <alignment horizontal="right"/>
    </xf>
    <xf numFmtId="0" fontId="0" fillId="18" borderId="16" xfId="0" applyFill="1" applyBorder="1"/>
    <xf numFmtId="8" fontId="11" fillId="0" borderId="0" xfId="0" applyNumberFormat="1" applyFont="1" applyAlignment="1">
      <alignment horizontal="center"/>
    </xf>
    <xf numFmtId="167" fontId="2" fillId="15" borderId="1" xfId="0" applyNumberFormat="1" applyFont="1" applyFill="1" applyBorder="1" applyProtection="1">
      <protection locked="0"/>
    </xf>
    <xf numFmtId="0" fontId="3" fillId="11" borderId="0" xfId="0" applyFont="1" applyFill="1" applyAlignment="1">
      <alignment wrapText="1"/>
    </xf>
    <xf numFmtId="0" fontId="3" fillId="0" borderId="1" xfId="0" applyFont="1" applyBorder="1" applyAlignment="1">
      <alignment wrapText="1"/>
    </xf>
    <xf numFmtId="0" fontId="3" fillId="11" borderId="0" xfId="0" applyFont="1" applyFill="1" applyAlignment="1">
      <alignment horizontal="center" wrapText="1"/>
    </xf>
    <xf numFmtId="0" fontId="3" fillId="11" borderId="1" xfId="0" applyFont="1" applyFill="1" applyBorder="1"/>
    <xf numFmtId="0" fontId="3" fillId="11" borderId="1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wrapText="1"/>
    </xf>
    <xf numFmtId="9" fontId="3" fillId="0" borderId="0" xfId="1" applyFont="1" applyAlignment="1">
      <alignment wrapText="1"/>
    </xf>
    <xf numFmtId="14" fontId="3" fillId="0" borderId="0" xfId="0" applyNumberFormat="1" applyFont="1" applyAlignment="1">
      <alignment horizontal="center" wrapText="1"/>
    </xf>
    <xf numFmtId="16" fontId="3" fillId="0" borderId="0" xfId="0" applyNumberFormat="1" applyFont="1" applyAlignment="1">
      <alignment horizontal="center" wrapText="1"/>
    </xf>
    <xf numFmtId="8" fontId="19" fillId="0" borderId="1" xfId="0" applyNumberFormat="1" applyFont="1" applyBorder="1" applyAlignment="1">
      <alignment horizontal="center"/>
    </xf>
    <xf numFmtId="14" fontId="11" fillId="0" borderId="1" xfId="0" quotePrefix="1" applyNumberFormat="1" applyFont="1" applyBorder="1" applyAlignment="1">
      <alignment horizontal="center"/>
    </xf>
    <xf numFmtId="0" fontId="11" fillId="0" borderId="1" xfId="0" applyFont="1" applyBorder="1" applyAlignment="1">
      <alignment horizontal="center" vertical="top" wrapText="1"/>
    </xf>
    <xf numFmtId="0" fontId="0" fillId="0" borderId="1" xfId="0" applyBorder="1"/>
    <xf numFmtId="0" fontId="20" fillId="3" borderId="1" xfId="0" applyFont="1" applyFill="1" applyBorder="1" applyAlignment="1">
      <alignment horizontal="center" wrapText="1"/>
    </xf>
    <xf numFmtId="49" fontId="20" fillId="3" borderId="1" xfId="0" applyNumberFormat="1" applyFont="1" applyFill="1" applyBorder="1" applyAlignment="1">
      <alignment horizontal="center" wrapText="1"/>
    </xf>
    <xf numFmtId="8" fontId="20" fillId="3" borderId="1" xfId="0" applyNumberFormat="1" applyFont="1" applyFill="1" applyBorder="1" applyAlignment="1">
      <alignment horizontal="center" wrapText="1"/>
    </xf>
    <xf numFmtId="0" fontId="20" fillId="0" borderId="1" xfId="0" applyFont="1" applyBorder="1" applyAlignment="1">
      <alignment horizontal="center" wrapText="1"/>
    </xf>
    <xf numFmtId="0" fontId="21" fillId="2" borderId="1" xfId="0" applyFont="1" applyFill="1" applyBorder="1" applyAlignment="1">
      <alignment horizontal="center" wrapText="1"/>
    </xf>
    <xf numFmtId="49" fontId="21" fillId="2" borderId="1" xfId="0" applyNumberFormat="1" applyFont="1" applyFill="1" applyBorder="1" applyAlignment="1">
      <alignment horizontal="center" wrapText="1"/>
    </xf>
    <xf numFmtId="0" fontId="21" fillId="2" borderId="1" xfId="0" applyFont="1" applyFill="1" applyBorder="1" applyAlignment="1">
      <alignment horizontal="left" wrapText="1"/>
    </xf>
    <xf numFmtId="8" fontId="21" fillId="0" borderId="1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 wrapText="1"/>
    </xf>
    <xf numFmtId="15" fontId="21" fillId="2" borderId="1" xfId="0" applyNumberFormat="1" applyFont="1" applyFill="1" applyBorder="1" applyAlignment="1">
      <alignment horizontal="left" wrapText="1"/>
    </xf>
    <xf numFmtId="0" fontId="20" fillId="7" borderId="1" xfId="0" applyFont="1" applyFill="1" applyBorder="1" applyAlignment="1">
      <alignment horizontal="center" wrapText="1"/>
    </xf>
    <xf numFmtId="49" fontId="20" fillId="7" borderId="1" xfId="0" applyNumberFormat="1" applyFont="1" applyFill="1" applyBorder="1" applyAlignment="1">
      <alignment horizontal="center" wrapText="1"/>
    </xf>
    <xf numFmtId="0" fontId="20" fillId="7" borderId="1" xfId="0" applyFont="1" applyFill="1" applyBorder="1" applyAlignment="1">
      <alignment horizontal="right" wrapText="1"/>
    </xf>
    <xf numFmtId="164" fontId="20" fillId="7" borderId="1" xfId="0" applyNumberFormat="1" applyFont="1" applyFill="1" applyBorder="1" applyAlignment="1">
      <alignment horizontal="center" wrapText="1"/>
    </xf>
    <xf numFmtId="0" fontId="22" fillId="2" borderId="1" xfId="0" applyFont="1" applyFill="1" applyBorder="1" applyAlignment="1">
      <alignment horizontal="right" wrapText="1"/>
    </xf>
    <xf numFmtId="164" fontId="20" fillId="13" borderId="1" xfId="0" applyNumberFormat="1" applyFont="1" applyFill="1" applyBorder="1" applyAlignment="1">
      <alignment horizontal="center" wrapText="1"/>
    </xf>
    <xf numFmtId="0" fontId="20" fillId="13" borderId="1" xfId="0" applyFont="1" applyFill="1" applyBorder="1" applyAlignment="1">
      <alignment horizontal="center" wrapText="1"/>
    </xf>
    <xf numFmtId="0" fontId="20" fillId="0" borderId="1" xfId="0" applyFont="1" applyBorder="1" applyAlignment="1">
      <alignment horizontal="center" vertical="center" wrapText="1"/>
    </xf>
    <xf numFmtId="0" fontId="21" fillId="4" borderId="1" xfId="0" applyFont="1" applyFill="1" applyBorder="1" applyAlignment="1">
      <alignment horizontal="center" wrapText="1"/>
    </xf>
    <xf numFmtId="49" fontId="21" fillId="4" borderId="1" xfId="0" applyNumberFormat="1" applyFont="1" applyFill="1" applyBorder="1" applyAlignment="1">
      <alignment horizontal="center" wrapText="1"/>
    </xf>
    <xf numFmtId="165" fontId="21" fillId="4" borderId="1" xfId="0" applyNumberFormat="1" applyFont="1" applyFill="1" applyBorder="1" applyAlignment="1">
      <alignment horizontal="left" wrapText="1"/>
    </xf>
    <xf numFmtId="8" fontId="21" fillId="14" borderId="1" xfId="0" applyNumberFormat="1" applyFont="1" applyFill="1" applyBorder="1" applyAlignment="1">
      <alignment horizontal="center"/>
    </xf>
    <xf numFmtId="8" fontId="20" fillId="0" borderId="1" xfId="0" applyNumberFormat="1" applyFont="1" applyBorder="1" applyAlignment="1">
      <alignment horizontal="center"/>
    </xf>
    <xf numFmtId="15" fontId="21" fillId="0" borderId="1" xfId="0" applyNumberFormat="1" applyFont="1" applyBorder="1" applyAlignment="1">
      <alignment horizontal="center" wrapText="1"/>
    </xf>
    <xf numFmtId="0" fontId="21" fillId="8" borderId="1" xfId="0" applyFont="1" applyFill="1" applyBorder="1" applyAlignment="1">
      <alignment horizontal="center" wrapText="1"/>
    </xf>
    <xf numFmtId="49" fontId="21" fillId="8" borderId="1" xfId="0" applyNumberFormat="1" applyFont="1" applyFill="1" applyBorder="1" applyAlignment="1">
      <alignment horizontal="center" wrapText="1"/>
    </xf>
    <xf numFmtId="165" fontId="20" fillId="8" borderId="1" xfId="0" applyNumberFormat="1" applyFont="1" applyFill="1" applyBorder="1" applyAlignment="1">
      <alignment horizontal="right" wrapText="1"/>
    </xf>
    <xf numFmtId="8" fontId="20" fillId="8" borderId="1" xfId="0" applyNumberFormat="1" applyFont="1" applyFill="1" applyBorder="1" applyAlignment="1">
      <alignment horizontal="center"/>
    </xf>
    <xf numFmtId="4" fontId="21" fillId="0" borderId="1" xfId="0" applyNumberFormat="1" applyFont="1" applyBorder="1" applyAlignment="1">
      <alignment horizontal="center" wrapText="1"/>
    </xf>
    <xf numFmtId="0" fontId="22" fillId="9" borderId="1" xfId="0" applyFont="1" applyFill="1" applyBorder="1" applyAlignment="1">
      <alignment horizontal="right" wrapText="1"/>
    </xf>
    <xf numFmtId="49" fontId="22" fillId="9" borderId="1" xfId="0" applyNumberFormat="1" applyFont="1" applyFill="1" applyBorder="1" applyAlignment="1">
      <alignment horizontal="right" wrapText="1"/>
    </xf>
    <xf numFmtId="165" fontId="22" fillId="9" borderId="1" xfId="0" applyNumberFormat="1" applyFont="1" applyFill="1" applyBorder="1" applyAlignment="1">
      <alignment horizontal="right" wrapText="1"/>
    </xf>
    <xf numFmtId="8" fontId="22" fillId="9" borderId="1" xfId="0" applyNumberFormat="1" applyFont="1" applyFill="1" applyBorder="1" applyAlignment="1">
      <alignment horizontal="right"/>
    </xf>
    <xf numFmtId="0" fontId="22" fillId="4" borderId="1" xfId="0" applyFont="1" applyFill="1" applyBorder="1" applyAlignment="1">
      <alignment horizontal="right" wrapText="1"/>
    </xf>
    <xf numFmtId="165" fontId="20" fillId="8" borderId="1" xfId="0" applyNumberFormat="1" applyFont="1" applyFill="1" applyBorder="1" applyAlignment="1">
      <alignment horizontal="center" wrapText="1"/>
    </xf>
    <xf numFmtId="8" fontId="21" fillId="4" borderId="1" xfId="0" applyNumberFormat="1" applyFont="1" applyFill="1" applyBorder="1" applyAlignment="1">
      <alignment horizontal="center"/>
    </xf>
    <xf numFmtId="164" fontId="20" fillId="3" borderId="1" xfId="0" applyNumberFormat="1" applyFont="1" applyFill="1" applyBorder="1" applyAlignment="1">
      <alignment horizontal="center" wrapText="1"/>
    </xf>
    <xf numFmtId="49" fontId="21" fillId="0" borderId="1" xfId="0" applyNumberFormat="1" applyFont="1" applyBorder="1" applyAlignment="1">
      <alignment horizontal="center" wrapText="1"/>
    </xf>
    <xf numFmtId="0" fontId="20" fillId="0" borderId="1" xfId="0" applyFont="1" applyBorder="1" applyAlignment="1">
      <alignment horizontal="right" wrapText="1"/>
    </xf>
    <xf numFmtId="8" fontId="20" fillId="0" borderId="1" xfId="0" applyNumberFormat="1" applyFont="1" applyBorder="1" applyAlignment="1">
      <alignment horizontal="center" wrapText="1"/>
    </xf>
    <xf numFmtId="0" fontId="22" fillId="0" borderId="1" xfId="0" applyFont="1" applyBorder="1" applyAlignment="1">
      <alignment horizontal="right" wrapText="1"/>
    </xf>
    <xf numFmtId="169" fontId="22" fillId="0" borderId="1" xfId="1" applyNumberFormat="1" applyFont="1" applyFill="1" applyBorder="1" applyAlignment="1">
      <alignment horizontal="left" wrapText="1"/>
    </xf>
    <xf numFmtId="8" fontId="21" fillId="0" borderId="1" xfId="0" applyNumberFormat="1" applyFont="1" applyBorder="1" applyAlignment="1">
      <alignment horizontal="center" wrapText="1"/>
    </xf>
    <xf numFmtId="0" fontId="6" fillId="0" borderId="0" xfId="0" applyFont="1" applyAlignment="1">
      <alignment horizontal="left" wrapText="1"/>
    </xf>
    <xf numFmtId="0" fontId="3" fillId="0" borderId="0" xfId="0" applyFont="1" applyAlignment="1">
      <alignment wrapText="1"/>
    </xf>
    <xf numFmtId="0" fontId="6" fillId="11" borderId="0" xfId="0" applyFont="1" applyFill="1" applyAlignment="1">
      <alignment horizontal="left" wrapText="1"/>
    </xf>
    <xf numFmtId="0" fontId="3" fillId="11" borderId="0" xfId="0" applyFont="1" applyFill="1" applyAlignment="1">
      <alignment wrapText="1"/>
    </xf>
    <xf numFmtId="0" fontId="20" fillId="13" borderId="5" xfId="0" applyFont="1" applyFill="1" applyBorder="1" applyAlignment="1">
      <alignment horizontal="right" wrapText="1"/>
    </xf>
    <xf numFmtId="0" fontId="21" fillId="13" borderId="6" xfId="0" applyFont="1" applyFill="1" applyBorder="1" applyAlignment="1">
      <alignment wrapText="1"/>
    </xf>
    <xf numFmtId="0" fontId="21" fillId="13" borderId="7" xfId="0" applyFont="1" applyFill="1" applyBorder="1" applyAlignment="1">
      <alignment wrapText="1"/>
    </xf>
    <xf numFmtId="0" fontId="23" fillId="6" borderId="5" xfId="0" applyFont="1" applyFill="1" applyBorder="1" applyAlignment="1">
      <alignment horizontal="center" vertical="center" wrapText="1"/>
    </xf>
    <xf numFmtId="0" fontId="24" fillId="6" borderId="6" xfId="0" applyFont="1" applyFill="1" applyBorder="1" applyAlignment="1">
      <alignment horizontal="center" vertical="center" wrapText="1"/>
    </xf>
    <xf numFmtId="0" fontId="24" fillId="6" borderId="7" xfId="0" applyFont="1" applyFill="1" applyBorder="1" applyAlignment="1">
      <alignment horizontal="center" vertical="center" wrapText="1"/>
    </xf>
    <xf numFmtId="14" fontId="12" fillId="10" borderId="5" xfId="0" applyNumberFormat="1" applyFont="1" applyFill="1" applyBorder="1" applyAlignment="1">
      <alignment horizontal="center"/>
    </xf>
    <xf numFmtId="0" fontId="13" fillId="10" borderId="6" xfId="0" applyFont="1" applyFill="1" applyBorder="1" applyAlignment="1">
      <alignment horizontal="center"/>
    </xf>
    <xf numFmtId="0" fontId="13" fillId="10" borderId="7" xfId="0" applyFont="1" applyFill="1" applyBorder="1" applyAlignment="1">
      <alignment horizontal="center"/>
    </xf>
  </cellXfs>
  <cellStyles count="5">
    <cellStyle name="bjAnnexe" xfId="4" xr:uid="{00000000-0005-0000-0000-000000000000}"/>
    <cellStyle name="Normal" xfId="0" builtinId="0"/>
    <cellStyle name="Normal 2" xfId="2" xr:uid="{00000000-0005-0000-0000-000002000000}"/>
    <cellStyle name="Pourcentage" xfId="1" builtinId="5"/>
    <cellStyle name="Titre Actif" xfId="3" xr:uid="{00000000-0005-0000-0000-000004000000}"/>
  </cellStyles>
  <dxfs count="24">
    <dxf>
      <fill>
        <patternFill>
          <bgColor rgb="FFC4ADED"/>
        </patternFill>
      </fill>
    </dxf>
    <dxf>
      <fill>
        <patternFill>
          <bgColor rgb="FFEFDDEF"/>
        </patternFill>
      </fill>
    </dxf>
    <dxf>
      <font>
        <b/>
        <i val="0"/>
        <color rgb="FF007A37"/>
      </font>
      <fill>
        <patternFill>
          <bgColor rgb="FFB3FFB3"/>
        </patternFill>
      </fill>
    </dxf>
    <dxf>
      <font>
        <b/>
        <i val="0"/>
        <color rgb="FFC00000"/>
      </font>
      <fill>
        <patternFill>
          <bgColor rgb="FFFFCF89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9" tint="-0.499984740745262"/>
      </font>
      <fill>
        <patternFill>
          <bgColor rgb="FFFFC000"/>
        </patternFill>
      </fill>
    </dxf>
    <dxf>
      <font>
        <b/>
        <i val="0"/>
        <color rgb="FF00B050"/>
      </font>
      <fill>
        <patternFill>
          <bgColor rgb="FFCCFF99"/>
        </patternFill>
      </fill>
    </dxf>
    <dxf>
      <fill>
        <patternFill>
          <bgColor rgb="FFFF0000"/>
        </patternFill>
      </fill>
    </dxf>
    <dxf>
      <fill>
        <patternFill>
          <bgColor rgb="FFFF6600"/>
        </patternFill>
      </fill>
    </dxf>
    <dxf>
      <fill>
        <patternFill>
          <bgColor rgb="FFFFCC66"/>
        </patternFill>
      </fill>
    </dxf>
    <dxf>
      <fill>
        <patternFill>
          <bgColor rgb="FFFFFF66"/>
        </patternFill>
      </fill>
    </dxf>
    <dxf>
      <fill>
        <patternFill>
          <bgColor rgb="FF99FF33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6600"/>
        </patternFill>
      </fill>
    </dxf>
    <dxf>
      <fill>
        <patternFill>
          <bgColor rgb="FFFFCC66"/>
        </patternFill>
      </fill>
    </dxf>
    <dxf>
      <fill>
        <patternFill>
          <bgColor rgb="FFFFFF66"/>
        </patternFill>
      </fill>
    </dxf>
    <dxf>
      <fill>
        <patternFill>
          <bgColor rgb="FF99FF33"/>
        </patternFill>
      </fill>
    </dxf>
    <dxf>
      <font>
        <b/>
        <i val="0"/>
      </font>
      <fill>
        <patternFill>
          <bgColor rgb="FF00FF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F0000"/>
      <rgbColor rgb="00FF9900"/>
      <rgbColor rgb="00FFFF00"/>
      <rgbColor rgb="0000FF00"/>
      <rgbColor rgb="0000FFFF"/>
      <rgbColor rgb="000000FF"/>
      <rgbColor rgb="009933FF"/>
      <rgbColor rgb="00FF33CC"/>
      <rgbColor rgb="00CC0000"/>
      <rgbColor rgb="00CC9900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00"/>
      <color rgb="FFFFCCCC"/>
      <color rgb="FFFFCCFF"/>
      <color rgb="FFFFFFCC"/>
      <color rgb="FFFFFF99"/>
      <color rgb="FFD3AEEC"/>
      <color rgb="FFCC99FF"/>
      <color rgb="FFCCCCFF"/>
      <color rgb="FFCCFF99"/>
      <color rgb="FF5725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3</xdr:row>
      <xdr:rowOff>0</xdr:rowOff>
    </xdr:from>
    <xdr:to>
      <xdr:col>0</xdr:col>
      <xdr:colOff>1733550</xdr:colOff>
      <xdr:row>4</xdr:row>
      <xdr:rowOff>104775</xdr:rowOff>
    </xdr:to>
    <xdr:sp macro="" textlink="">
      <xdr:nvSpPr>
        <xdr:cNvPr id="10242" name="bnRappOpe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4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 editAs="oneCell">
    <xdr:from>
      <xdr:col>4</xdr:col>
      <xdr:colOff>47625</xdr:colOff>
      <xdr:row>17</xdr:row>
      <xdr:rowOff>104775</xdr:rowOff>
    </xdr:from>
    <xdr:to>
      <xdr:col>5</xdr:col>
      <xdr:colOff>38100</xdr:colOff>
      <xdr:row>18</xdr:row>
      <xdr:rowOff>145074</xdr:rowOff>
    </xdr:to>
    <xdr:sp macro="" textlink="">
      <xdr:nvSpPr>
        <xdr:cNvPr id="10244" name="bnRetourJournal" hidden="1">
          <a:extLst>
            <a:ext uri="{63B3BB69-23CF-44E3-9099-C40C66FF867C}">
              <a14:compatExt xmlns:a14="http://schemas.microsoft.com/office/drawing/2010/main" spid="_x0000_s10244"/>
            </a:ext>
            <a:ext uri="{FF2B5EF4-FFF2-40B4-BE49-F238E27FC236}">
              <a16:creationId xmlns:a16="http://schemas.microsoft.com/office/drawing/2014/main" id="{00000000-0008-0000-0400-000004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438150</xdr:colOff>
      <xdr:row>3</xdr:row>
      <xdr:rowOff>19050</xdr:rowOff>
    </xdr:from>
    <xdr:to>
      <xdr:col>0</xdr:col>
      <xdr:colOff>1333500</xdr:colOff>
      <xdr:row>4</xdr:row>
      <xdr:rowOff>133350</xdr:rowOff>
    </xdr:to>
    <xdr:sp macro="" textlink="">
      <xdr:nvSpPr>
        <xdr:cNvPr id="28673" name="bnRappOpen" hidden="1">
          <a:extLst>
            <a:ext uri="{63B3BB69-23CF-44E3-9099-C40C66FF867C}">
              <a14:compatExt xmlns:a14="http://schemas.microsoft.com/office/drawing/2010/main" spid="_x0000_s28673"/>
            </a:ext>
            <a:ext uri="{FF2B5EF4-FFF2-40B4-BE49-F238E27FC236}">
              <a16:creationId xmlns:a16="http://schemas.microsoft.com/office/drawing/2014/main" id="{00000000-0008-0000-0400-0000017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17</xdr:row>
      <xdr:rowOff>152400</xdr:rowOff>
    </xdr:from>
    <xdr:to>
      <xdr:col>6</xdr:col>
      <xdr:colOff>19050</xdr:colOff>
      <xdr:row>19</xdr:row>
      <xdr:rowOff>68873</xdr:rowOff>
    </xdr:to>
    <xdr:sp macro="" textlink="">
      <xdr:nvSpPr>
        <xdr:cNvPr id="28675" name="bnRetourJournal" hidden="1">
          <a:extLst>
            <a:ext uri="{63B3BB69-23CF-44E3-9099-C40C66FF867C}">
              <a14:compatExt xmlns:a14="http://schemas.microsoft.com/office/drawing/2010/main" spid="_x0000_s28675"/>
            </a:ext>
            <a:ext uri="{FF2B5EF4-FFF2-40B4-BE49-F238E27FC236}">
              <a16:creationId xmlns:a16="http://schemas.microsoft.com/office/drawing/2014/main" id="{00000000-0008-0000-0400-0000037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485775</xdr:colOff>
      <xdr:row>2</xdr:row>
      <xdr:rowOff>142875</xdr:rowOff>
    </xdr:from>
    <xdr:to>
      <xdr:col>0</xdr:col>
      <xdr:colOff>1762125</xdr:colOff>
      <xdr:row>4</xdr:row>
      <xdr:rowOff>142875</xdr:rowOff>
    </xdr:to>
    <xdr:sp macro="" textlink="">
      <xdr:nvSpPr>
        <xdr:cNvPr id="2" name="bnRappOpen" hidden="1">
          <a:extLst>
            <a:ext uri="{63B3BB69-23CF-44E3-9099-C40C66FF867C}">
              <a14:compatExt xmlns:a14="http://schemas.microsoft.com/office/drawing/2010/main" spid="_x0000_s28675"/>
            </a:ex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76200</xdr:colOff>
      <xdr:row>17</xdr:row>
      <xdr:rowOff>38100</xdr:rowOff>
    </xdr:from>
    <xdr:to>
      <xdr:col>5</xdr:col>
      <xdr:colOff>76200</xdr:colOff>
      <xdr:row>18</xdr:row>
      <xdr:rowOff>126024</xdr:rowOff>
    </xdr:to>
    <xdr:sp macro="" textlink="">
      <xdr:nvSpPr>
        <xdr:cNvPr id="28676" name="bnRetourJournal" hidden="1">
          <a:extLst>
            <a:ext uri="{63B3BB69-23CF-44E3-9099-C40C66FF867C}">
              <a14:compatExt xmlns:a14="http://schemas.microsoft.com/office/drawing/2010/main" spid="_x0000_s28676"/>
            </a:ext>
            <a:ext uri="{FF2B5EF4-FFF2-40B4-BE49-F238E27FC236}">
              <a16:creationId xmlns:a16="http://schemas.microsoft.com/office/drawing/2014/main" id="{00000000-0008-0000-0400-0000047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76200</xdr:colOff>
      <xdr:row>17</xdr:row>
      <xdr:rowOff>38100</xdr:rowOff>
    </xdr:from>
    <xdr:to>
      <xdr:col>5</xdr:col>
      <xdr:colOff>76200</xdr:colOff>
      <xdr:row>18</xdr:row>
      <xdr:rowOff>126024</xdr:rowOff>
    </xdr:to>
    <xdr:pic>
      <xdr:nvPicPr>
        <xdr:cNvPr id="4" name="bnRetourJourn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4350" y="2790825"/>
          <a:ext cx="762000" cy="257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450850</xdr:colOff>
          <xdr:row>3</xdr:row>
          <xdr:rowOff>0</xdr:rowOff>
        </xdr:from>
        <xdr:to>
          <xdr:col>1</xdr:col>
          <xdr:colOff>527050</xdr:colOff>
          <xdr:row>5</xdr:row>
          <xdr:rowOff>95250</xdr:rowOff>
        </xdr:to>
        <xdr:sp macro="" textlink="">
          <xdr:nvSpPr>
            <xdr:cNvPr id="3" name="bnRappOpen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mie/Comptabilit&#233;/Comptes_Mamie0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es%20documents/Famillle/Administratif%20et%20Financier/Protection%20sociale/Soin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SBJ-2012-PC\Bruno\Administratif%20et%20financier\Comptabilit&#233;\Comptes%202015\Comptes_Bruno_20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ELP"/>
      <sheetName val="Budget"/>
      <sheetName val="Journal"/>
      <sheetName val="Balance"/>
      <sheetName val="Rapp"/>
      <sheetName val="RappOld"/>
      <sheetName val="Modeles"/>
      <sheetName val="Analyse"/>
      <sheetName val="Feuil4"/>
      <sheetName val="Feuil1"/>
      <sheetName val="Docs"/>
      <sheetName val="Feuil2"/>
      <sheetName val="A Venir"/>
      <sheetName val="Mamie-régulier"/>
      <sheetName val="Set-Up"/>
      <sheetName val="Cuisine"/>
      <sheetName val="Médic"/>
      <sheetName val="Feuil3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ssiers"/>
      <sheetName val="Mutuelle"/>
      <sheetName val="Suivi médical"/>
      <sheetName val="Journal"/>
      <sheetName val="EtentePréalable-Devis"/>
      <sheetName val="Info"/>
      <sheetName val="Suivi Dossiers"/>
      <sheetName val="Next"/>
      <sheetName val="CapMutuellefacultative"/>
    </sheetNames>
    <sheetDataSet>
      <sheetData sheetId="0">
        <row r="1">
          <cell r="Q1" t="str">
            <v>Relevé
Mut, 1</v>
          </cell>
          <cell r="T1" t="str">
            <v>Relevé
Mut 2</v>
          </cell>
        </row>
        <row r="2">
          <cell r="Q2" t="str">
            <v>Abandonné 10/09/12</v>
          </cell>
          <cell r="T2" t="str">
            <v>NA</v>
          </cell>
        </row>
        <row r="3">
          <cell r="Q3" t="str">
            <v>X</v>
          </cell>
          <cell r="T3" t="str">
            <v>NA</v>
          </cell>
        </row>
        <row r="4">
          <cell r="Q4" t="str">
            <v>2009013124734</v>
          </cell>
          <cell r="T4" t="str">
            <v>NA</v>
          </cell>
        </row>
        <row r="5">
          <cell r="Q5" t="str">
            <v>20090228030852</v>
          </cell>
          <cell r="T5" t="str">
            <v>NA</v>
          </cell>
        </row>
        <row r="6">
          <cell r="Q6" t="str">
            <v>20090228030852</v>
          </cell>
          <cell r="T6" t="str">
            <v>NA</v>
          </cell>
        </row>
        <row r="7">
          <cell r="Q7" t="str">
            <v>X</v>
          </cell>
          <cell r="T7" t="str">
            <v>NA</v>
          </cell>
        </row>
        <row r="8">
          <cell r="Q8" t="str">
            <v>20090228030852</v>
          </cell>
          <cell r="T8" t="str">
            <v>NA</v>
          </cell>
        </row>
        <row r="9">
          <cell r="Q9" t="str">
            <v>20090228030852</v>
          </cell>
          <cell r="T9" t="str">
            <v>NA</v>
          </cell>
        </row>
        <row r="10">
          <cell r="Q10" t="str">
            <v>2009013124734</v>
          </cell>
          <cell r="T10" t="str">
            <v>NA</v>
          </cell>
        </row>
        <row r="11">
          <cell r="Q11" t="str">
            <v>20090228030852</v>
          </cell>
          <cell r="T11" t="str">
            <v>NA</v>
          </cell>
        </row>
        <row r="12">
          <cell r="Q12" t="str">
            <v>20090401078575</v>
          </cell>
          <cell r="T12" t="str">
            <v>NA</v>
          </cell>
        </row>
        <row r="13">
          <cell r="Q13" t="str">
            <v>20090401078575</v>
          </cell>
          <cell r="T13" t="str">
            <v>NA</v>
          </cell>
        </row>
        <row r="14">
          <cell r="Q14" t="str">
            <v>20090401078575</v>
          </cell>
          <cell r="T14" t="str">
            <v>NA</v>
          </cell>
        </row>
        <row r="15">
          <cell r="Q15" t="str">
            <v>20090501027334</v>
          </cell>
          <cell r="T15" t="str">
            <v>NA</v>
          </cell>
        </row>
        <row r="16">
          <cell r="Q16" t="str">
            <v>X</v>
          </cell>
          <cell r="T16" t="str">
            <v>NA</v>
          </cell>
        </row>
        <row r="17">
          <cell r="Q17" t="str">
            <v>20090401078575</v>
          </cell>
          <cell r="T17" t="str">
            <v>NA</v>
          </cell>
        </row>
        <row r="18">
          <cell r="Q18" t="str">
            <v>20090501027334</v>
          </cell>
          <cell r="T18" t="str">
            <v>NA</v>
          </cell>
        </row>
        <row r="19">
          <cell r="Q19" t="str">
            <v>20090401078575</v>
          </cell>
          <cell r="T19" t="str">
            <v>NA</v>
          </cell>
        </row>
        <row r="20">
          <cell r="Q20" t="str">
            <v>20090501027334</v>
          </cell>
          <cell r="T20" t="str">
            <v>NA</v>
          </cell>
        </row>
        <row r="21">
          <cell r="Q21" t="str">
            <v>Abandonné 10/09/12</v>
          </cell>
          <cell r="T21" t="str">
            <v>NA</v>
          </cell>
        </row>
        <row r="22">
          <cell r="Q22" t="str">
            <v>20090501027334</v>
          </cell>
          <cell r="T22" t="str">
            <v>NA</v>
          </cell>
        </row>
        <row r="23">
          <cell r="Q23" t="str">
            <v>20090501027334</v>
          </cell>
          <cell r="T23" t="str">
            <v>NA</v>
          </cell>
        </row>
        <row r="24">
          <cell r="Q24" t="str">
            <v>20090501027334</v>
          </cell>
          <cell r="T24" t="str">
            <v>NA</v>
          </cell>
        </row>
        <row r="25">
          <cell r="Q25" t="str">
            <v>20090901022604</v>
          </cell>
          <cell r="T25" t="str">
            <v>NA</v>
          </cell>
        </row>
        <row r="26">
          <cell r="Q26" t="str">
            <v>Abandonné 10/09/12</v>
          </cell>
          <cell r="T26" t="str">
            <v>NA</v>
          </cell>
        </row>
        <row r="27">
          <cell r="Q27" t="str">
            <v>Abandonné 10/09/12</v>
          </cell>
          <cell r="T27" t="str">
            <v>NA</v>
          </cell>
        </row>
        <row r="28">
          <cell r="Q28" t="str">
            <v>Abandonné 10/09/12</v>
          </cell>
          <cell r="T28" t="str">
            <v>NA</v>
          </cell>
        </row>
        <row r="29">
          <cell r="Q29" t="str">
            <v>20090531029425</v>
          </cell>
          <cell r="T29" t="str">
            <v>NA</v>
          </cell>
        </row>
        <row r="30">
          <cell r="Q30" t="str">
            <v>20090701078490</v>
          </cell>
          <cell r="T30" t="str">
            <v>NA</v>
          </cell>
        </row>
        <row r="31">
          <cell r="Q31" t="str">
            <v>20090701078490</v>
          </cell>
          <cell r="T31" t="str">
            <v>NA</v>
          </cell>
        </row>
        <row r="32">
          <cell r="Q32" t="str">
            <v>20090701078490</v>
          </cell>
          <cell r="T32" t="str">
            <v>NA</v>
          </cell>
        </row>
        <row r="33">
          <cell r="Q33" t="str">
            <v>20090701078490</v>
          </cell>
          <cell r="T33" t="str">
            <v>NA</v>
          </cell>
        </row>
        <row r="34">
          <cell r="Q34" t="str">
            <v>20090701078490</v>
          </cell>
          <cell r="T34" t="str">
            <v>NA</v>
          </cell>
        </row>
        <row r="35">
          <cell r="Q35" t="str">
            <v>20090701078490</v>
          </cell>
          <cell r="T35" t="str">
            <v>NA</v>
          </cell>
        </row>
        <row r="36">
          <cell r="Q36" t="str">
            <v>20090701078490</v>
          </cell>
          <cell r="T36" t="str">
            <v>NA</v>
          </cell>
        </row>
        <row r="37">
          <cell r="Q37" t="str">
            <v>X</v>
          </cell>
          <cell r="T37" t="str">
            <v>NA</v>
          </cell>
        </row>
        <row r="38">
          <cell r="Q38" t="str">
            <v>20090531029425</v>
          </cell>
          <cell r="T38" t="str">
            <v>NA</v>
          </cell>
        </row>
        <row r="39">
          <cell r="Q39" t="str">
            <v>20090701078490</v>
          </cell>
          <cell r="T39" t="str">
            <v>NA</v>
          </cell>
        </row>
        <row r="40">
          <cell r="Q40" t="str">
            <v>20090801027570</v>
          </cell>
          <cell r="T40" t="str">
            <v>NA</v>
          </cell>
        </row>
        <row r="41">
          <cell r="Q41" t="str">
            <v>20090801027570</v>
          </cell>
          <cell r="T41" t="str">
            <v>NA</v>
          </cell>
        </row>
        <row r="42">
          <cell r="Q42" t="str">
            <v>20090801027570</v>
          </cell>
          <cell r="T42" t="str">
            <v>NA</v>
          </cell>
        </row>
        <row r="43">
          <cell r="Q43" t="str">
            <v>20090701078490</v>
          </cell>
          <cell r="T43" t="str">
            <v>NA</v>
          </cell>
        </row>
        <row r="44">
          <cell r="Q44" t="str">
            <v>20090701078490</v>
          </cell>
          <cell r="T44" t="str">
            <v>NA</v>
          </cell>
        </row>
        <row r="45">
          <cell r="Q45" t="str">
            <v>X</v>
          </cell>
          <cell r="T45" t="str">
            <v>NA</v>
          </cell>
        </row>
        <row r="46">
          <cell r="Q46" t="str">
            <v>20090701078490</v>
          </cell>
          <cell r="T46" t="str">
            <v>NA</v>
          </cell>
        </row>
        <row r="47">
          <cell r="Q47" t="str">
            <v>20090801027570</v>
          </cell>
          <cell r="T47" t="str">
            <v>NA</v>
          </cell>
        </row>
        <row r="48">
          <cell r="Q48" t="str">
            <v>20090901022604</v>
          </cell>
          <cell r="T48" t="str">
            <v>NA</v>
          </cell>
        </row>
        <row r="49">
          <cell r="Q49" t="str">
            <v>X</v>
          </cell>
          <cell r="T49" t="str">
            <v>NA</v>
          </cell>
        </row>
        <row r="50">
          <cell r="Q50" t="str">
            <v>20090901022604</v>
          </cell>
          <cell r="T50" t="str">
            <v>NA</v>
          </cell>
        </row>
        <row r="51">
          <cell r="Q51" t="str">
            <v>20090701078490</v>
          </cell>
          <cell r="T51" t="str">
            <v>NA</v>
          </cell>
        </row>
        <row r="52">
          <cell r="Q52" t="str">
            <v>20090901022604</v>
          </cell>
          <cell r="T52" t="str">
            <v>NA</v>
          </cell>
        </row>
        <row r="53">
          <cell r="Q53" t="str">
            <v>X</v>
          </cell>
          <cell r="T53" t="str">
            <v>NA</v>
          </cell>
        </row>
        <row r="54">
          <cell r="Q54" t="str">
            <v>20090701078490</v>
          </cell>
          <cell r="T54" t="str">
            <v>NA</v>
          </cell>
        </row>
        <row r="55">
          <cell r="Q55" t="str">
            <v>20090901022604</v>
          </cell>
          <cell r="T55" t="str">
            <v>NA</v>
          </cell>
        </row>
        <row r="56">
          <cell r="Q56" t="str">
            <v>20090801027570</v>
          </cell>
          <cell r="T56" t="str">
            <v>NA</v>
          </cell>
        </row>
        <row r="57">
          <cell r="Q57" t="str">
            <v>20090801027570</v>
          </cell>
          <cell r="T57" t="str">
            <v>NA</v>
          </cell>
        </row>
        <row r="60">
          <cell r="Q60" t="str">
            <v>20091001078433</v>
          </cell>
          <cell r="T60" t="str">
            <v>NA</v>
          </cell>
        </row>
        <row r="61">
          <cell r="Q61" t="str">
            <v>20090901022604</v>
          </cell>
          <cell r="T61" t="str">
            <v>NA</v>
          </cell>
        </row>
        <row r="62">
          <cell r="Q62" t="str">
            <v>20091001078433</v>
          </cell>
          <cell r="T62" t="str">
            <v>NA</v>
          </cell>
        </row>
        <row r="63">
          <cell r="Q63" t="str">
            <v>20090901022604</v>
          </cell>
          <cell r="T63" t="str">
            <v>NA</v>
          </cell>
        </row>
        <row r="64">
          <cell r="Q64" t="str">
            <v>X</v>
          </cell>
          <cell r="T64" t="str">
            <v>NA</v>
          </cell>
        </row>
        <row r="65">
          <cell r="Q65" t="str">
            <v>X</v>
          </cell>
          <cell r="T65" t="str">
            <v>NA</v>
          </cell>
        </row>
        <row r="66">
          <cell r="Q66" t="str">
            <v>20091001078433</v>
          </cell>
          <cell r="T66" t="str">
            <v>NA</v>
          </cell>
        </row>
        <row r="67">
          <cell r="Q67" t="str">
            <v>20090901022604</v>
          </cell>
          <cell r="T67" t="str">
            <v>NA</v>
          </cell>
        </row>
        <row r="68">
          <cell r="Q68" t="str">
            <v>20091001078433</v>
          </cell>
          <cell r="T68" t="str">
            <v>NA</v>
          </cell>
        </row>
        <row r="69">
          <cell r="Q69" t="str">
            <v>20091001078433</v>
          </cell>
          <cell r="T69" t="str">
            <v>NA</v>
          </cell>
        </row>
        <row r="70">
          <cell r="Q70" t="str">
            <v>20100131023674</v>
          </cell>
          <cell r="T70" t="str">
            <v>NA</v>
          </cell>
        </row>
        <row r="71">
          <cell r="Q71" t="str">
            <v>20100131023674</v>
          </cell>
          <cell r="T71" t="str">
            <v>NA</v>
          </cell>
        </row>
        <row r="72">
          <cell r="Q72" t="str">
            <v>X</v>
          </cell>
          <cell r="T72" t="str">
            <v>NA</v>
          </cell>
        </row>
        <row r="73">
          <cell r="Q73" t="str">
            <v>20091029003769</v>
          </cell>
          <cell r="T73" t="str">
            <v>NA</v>
          </cell>
        </row>
        <row r="74">
          <cell r="Q74" t="str">
            <v>20091001078433</v>
          </cell>
          <cell r="T74" t="str">
            <v>NA</v>
          </cell>
        </row>
        <row r="75">
          <cell r="Q75" t="str">
            <v>NR</v>
          </cell>
          <cell r="T75" t="str">
            <v>NA</v>
          </cell>
        </row>
        <row r="76">
          <cell r="Q76" t="str">
            <v>20091201030213</v>
          </cell>
          <cell r="T76" t="str">
            <v>NA</v>
          </cell>
        </row>
        <row r="77">
          <cell r="Q77" t="str">
            <v>20091201030213</v>
          </cell>
          <cell r="T77" t="str">
            <v>NA</v>
          </cell>
        </row>
        <row r="78">
          <cell r="Q78" t="str">
            <v>20091029003769</v>
          </cell>
          <cell r="T78" t="str">
            <v>NA</v>
          </cell>
        </row>
        <row r="79">
          <cell r="Q79" t="str">
            <v>20091029003769</v>
          </cell>
          <cell r="T79" t="str">
            <v>NA</v>
          </cell>
        </row>
        <row r="80">
          <cell r="Q80" t="str">
            <v>X</v>
          </cell>
          <cell r="T80" t="str">
            <v>NA</v>
          </cell>
        </row>
        <row r="81">
          <cell r="Q81" t="str">
            <v>20091029003769</v>
          </cell>
          <cell r="T81" t="str">
            <v>NA</v>
          </cell>
        </row>
        <row r="82">
          <cell r="Q82" t="str">
            <v>20091031028411</v>
          </cell>
          <cell r="T82" t="str">
            <v>NA</v>
          </cell>
        </row>
        <row r="83">
          <cell r="Q83" t="str">
            <v>20091031028411</v>
          </cell>
          <cell r="T83" t="str">
            <v>NA</v>
          </cell>
        </row>
        <row r="84">
          <cell r="Q84" t="str">
            <v>20100701082475</v>
          </cell>
          <cell r="T84" t="str">
            <v>NA</v>
          </cell>
        </row>
        <row r="85">
          <cell r="Q85" t="str">
            <v>20100403086333</v>
          </cell>
          <cell r="T85" t="str">
            <v>NA</v>
          </cell>
        </row>
        <row r="86">
          <cell r="Q86" t="str">
            <v>20100701082475</v>
          </cell>
          <cell r="T86" t="str">
            <v>NA</v>
          </cell>
        </row>
        <row r="88">
          <cell r="Q88" t="str">
            <v>20091201030213</v>
          </cell>
          <cell r="T88" t="str">
            <v>NA</v>
          </cell>
        </row>
        <row r="89">
          <cell r="Q89" t="str">
            <v>20091201030213</v>
          </cell>
          <cell r="T89" t="str">
            <v>NA</v>
          </cell>
        </row>
        <row r="90">
          <cell r="Q90" t="str">
            <v>20100131023674</v>
          </cell>
          <cell r="T90" t="str">
            <v>NA</v>
          </cell>
        </row>
        <row r="91">
          <cell r="Q91" t="str">
            <v>20100228030933</v>
          </cell>
          <cell r="T91" t="str">
            <v>NA</v>
          </cell>
        </row>
        <row r="92">
          <cell r="Q92" t="str">
            <v>20100403086333</v>
          </cell>
          <cell r="T92" t="str">
            <v>NA</v>
          </cell>
        </row>
        <row r="93">
          <cell r="Q93" t="str">
            <v>20100228030933</v>
          </cell>
          <cell r="T93" t="str">
            <v>NA</v>
          </cell>
        </row>
        <row r="94">
          <cell r="Q94" t="str">
            <v>20100228030933</v>
          </cell>
          <cell r="T94" t="str">
            <v>NA</v>
          </cell>
        </row>
        <row r="95">
          <cell r="Q95" t="str">
            <v>X</v>
          </cell>
          <cell r="T95" t="str">
            <v>NA</v>
          </cell>
        </row>
        <row r="96">
          <cell r="Q96" t="str">
            <v>20100228030933</v>
          </cell>
          <cell r="T96" t="str">
            <v>NA</v>
          </cell>
        </row>
        <row r="97">
          <cell r="Q97" t="str">
            <v>20100228030933</v>
          </cell>
          <cell r="T97" t="str">
            <v>NA</v>
          </cell>
        </row>
        <row r="98">
          <cell r="Q98" t="str">
            <v>20100228030933</v>
          </cell>
          <cell r="T98" t="str">
            <v>NA</v>
          </cell>
        </row>
        <row r="99">
          <cell r="Q99" t="str">
            <v>20110401096273</v>
          </cell>
          <cell r="T99" t="str">
            <v>NA</v>
          </cell>
        </row>
        <row r="100">
          <cell r="Q100" t="str">
            <v>20100403086333</v>
          </cell>
          <cell r="T100" t="str">
            <v>NA</v>
          </cell>
        </row>
        <row r="101">
          <cell r="Q101" t="str">
            <v>20100403086333</v>
          </cell>
          <cell r="T101" t="str">
            <v>NA</v>
          </cell>
        </row>
        <row r="102">
          <cell r="Q102" t="str">
            <v>X</v>
          </cell>
          <cell r="T102" t="str">
            <v>NA</v>
          </cell>
        </row>
        <row r="103">
          <cell r="Q103" t="str">
            <v>20131206</v>
          </cell>
          <cell r="T103" t="str">
            <v>NA</v>
          </cell>
        </row>
        <row r="104">
          <cell r="Q104" t="str">
            <v>20100403086333</v>
          </cell>
          <cell r="T104" t="str">
            <v>NA</v>
          </cell>
        </row>
        <row r="105">
          <cell r="Q105" t="str">
            <v>20100403086333</v>
          </cell>
          <cell r="T105" t="str">
            <v>NA</v>
          </cell>
        </row>
        <row r="106">
          <cell r="Q106" t="str">
            <v>20100403086333</v>
          </cell>
          <cell r="T106" t="str">
            <v>NA</v>
          </cell>
        </row>
        <row r="107">
          <cell r="Q107" t="str">
            <v>20100403086333</v>
          </cell>
          <cell r="T107" t="str">
            <v>NA</v>
          </cell>
        </row>
        <row r="108">
          <cell r="Q108" t="str">
            <v>X</v>
          </cell>
          <cell r="T108" t="str">
            <v>NA</v>
          </cell>
        </row>
        <row r="109">
          <cell r="Q109" t="str">
            <v>20100501024821</v>
          </cell>
          <cell r="T109" t="str">
            <v>NA</v>
          </cell>
        </row>
        <row r="110">
          <cell r="Q110" t="str">
            <v>20100501024821</v>
          </cell>
          <cell r="T110" t="str">
            <v>NA</v>
          </cell>
        </row>
        <row r="111">
          <cell r="Q111" t="str">
            <v>20100501024821</v>
          </cell>
          <cell r="T111" t="str">
            <v>NA</v>
          </cell>
        </row>
        <row r="112">
          <cell r="Q112" t="str">
            <v>20100501024821</v>
          </cell>
          <cell r="T112" t="str">
            <v>NA</v>
          </cell>
        </row>
        <row r="113">
          <cell r="Q113" t="str">
            <v>20100501024821</v>
          </cell>
          <cell r="T113" t="str">
            <v>NA</v>
          </cell>
        </row>
        <row r="114">
          <cell r="Q114" t="str">
            <v>20100501024821</v>
          </cell>
          <cell r="T114" t="str">
            <v>NA</v>
          </cell>
        </row>
        <row r="115">
          <cell r="Q115" t="str">
            <v>20100501024821</v>
          </cell>
          <cell r="T115" t="str">
            <v>NA</v>
          </cell>
        </row>
        <row r="116">
          <cell r="Q116" t="str">
            <v>20110201027629</v>
          </cell>
          <cell r="T116" t="str">
            <v>NA</v>
          </cell>
        </row>
        <row r="117">
          <cell r="Q117" t="str">
            <v>20100701082475</v>
          </cell>
          <cell r="T117" t="str">
            <v>NA</v>
          </cell>
        </row>
        <row r="118">
          <cell r="Q118" t="str">
            <v>20100601029126</v>
          </cell>
          <cell r="T118" t="str">
            <v>NA</v>
          </cell>
        </row>
        <row r="119">
          <cell r="Q119" t="str">
            <v>20100601029126</v>
          </cell>
          <cell r="T119" t="str">
            <v>NA</v>
          </cell>
        </row>
        <row r="120">
          <cell r="Q120" t="str">
            <v>20100701082475</v>
          </cell>
          <cell r="T120" t="str">
            <v>NA</v>
          </cell>
        </row>
        <row r="121">
          <cell r="Q121" t="str">
            <v>20100701082475</v>
          </cell>
          <cell r="T121" t="str">
            <v>NA</v>
          </cell>
        </row>
        <row r="122">
          <cell r="Q122" t="str">
            <v>20100701082475</v>
          </cell>
          <cell r="T122" t="str">
            <v>NA</v>
          </cell>
        </row>
        <row r="123">
          <cell r="Q123" t="str">
            <v>20100601029126</v>
          </cell>
          <cell r="T123" t="str">
            <v>NA</v>
          </cell>
        </row>
        <row r="124">
          <cell r="Q124" t="str">
            <v>20101031072448</v>
          </cell>
          <cell r="T124" t="str">
            <v>NA</v>
          </cell>
        </row>
        <row r="125">
          <cell r="Q125" t="str">
            <v>0</v>
          </cell>
          <cell r="T125" t="str">
            <v>NA</v>
          </cell>
        </row>
        <row r="126">
          <cell r="Q126" t="str">
            <v>20100701082475</v>
          </cell>
          <cell r="T126" t="str">
            <v>NA</v>
          </cell>
        </row>
        <row r="127">
          <cell r="Q127" t="str">
            <v>20100731025488</v>
          </cell>
          <cell r="T127" t="str">
            <v>NA</v>
          </cell>
        </row>
        <row r="128">
          <cell r="Q128" t="str">
            <v>20100731025488</v>
          </cell>
          <cell r="T128" t="str">
            <v>NA</v>
          </cell>
        </row>
        <row r="129">
          <cell r="Q129" t="str">
            <v>20100731025488</v>
          </cell>
          <cell r="T129" t="str">
            <v>NA</v>
          </cell>
        </row>
        <row r="130">
          <cell r="Q130" t="str">
            <v>20110101085045</v>
          </cell>
          <cell r="T130" t="str">
            <v>NA</v>
          </cell>
        </row>
        <row r="131">
          <cell r="Q131" t="str">
            <v>20100701082475</v>
          </cell>
          <cell r="T131" t="str">
            <v>NA</v>
          </cell>
        </row>
        <row r="132">
          <cell r="Q132" t="str">
            <v>Abandonné 10/09/12</v>
          </cell>
          <cell r="T132" t="str">
            <v>NA</v>
          </cell>
        </row>
        <row r="133">
          <cell r="Q133" t="str">
            <v>20100701082475</v>
          </cell>
          <cell r="T133" t="str">
            <v>NA</v>
          </cell>
        </row>
        <row r="134">
          <cell r="Q134" t="str">
            <v>20100701082475</v>
          </cell>
          <cell r="T134" t="str">
            <v>NA</v>
          </cell>
        </row>
        <row r="135">
          <cell r="Q135" t="str">
            <v>20100731025488</v>
          </cell>
          <cell r="T135" t="str">
            <v>NA</v>
          </cell>
        </row>
        <row r="136">
          <cell r="Q136" t="str">
            <v>20110401096273</v>
          </cell>
          <cell r="T136" t="str">
            <v>NA</v>
          </cell>
        </row>
        <row r="137">
          <cell r="Q137" t="str">
            <v>20101001082991</v>
          </cell>
          <cell r="T137" t="str">
            <v>NA</v>
          </cell>
        </row>
        <row r="138">
          <cell r="Q138" t="str">
            <v>20101001082991</v>
          </cell>
          <cell r="T138" t="str">
            <v>NA</v>
          </cell>
        </row>
        <row r="139">
          <cell r="Q139" t="str">
            <v>20101001082991</v>
          </cell>
          <cell r="T139" t="str">
            <v>NA</v>
          </cell>
        </row>
        <row r="140">
          <cell r="Q140" t="str">
            <v>20101001082991</v>
          </cell>
          <cell r="T140" t="str">
            <v>NA</v>
          </cell>
        </row>
        <row r="141">
          <cell r="Q141" t="str">
            <v>20110731030697</v>
          </cell>
          <cell r="T141" t="str">
            <v>NA</v>
          </cell>
        </row>
        <row r="142">
          <cell r="Q142" t="str">
            <v>20110101085045</v>
          </cell>
          <cell r="T142" t="str">
            <v>NA</v>
          </cell>
        </row>
        <row r="143">
          <cell r="Q143" t="str">
            <v>20101001082991</v>
          </cell>
          <cell r="T143" t="str">
            <v>NA</v>
          </cell>
        </row>
        <row r="144">
          <cell r="Q144" t="str">
            <v>20101001082991</v>
          </cell>
          <cell r="T144" t="str">
            <v>NA</v>
          </cell>
        </row>
        <row r="145">
          <cell r="Q145" t="str">
            <v>20101031072448</v>
          </cell>
          <cell r="T145" t="str">
            <v>NA</v>
          </cell>
        </row>
        <row r="146">
          <cell r="Q146" t="str">
            <v>20101001082991</v>
          </cell>
          <cell r="T146" t="str">
            <v>NA</v>
          </cell>
        </row>
        <row r="147">
          <cell r="Q147" t="str">
            <v>Abandonné 10/09/12</v>
          </cell>
          <cell r="T147" t="str">
            <v>NA</v>
          </cell>
        </row>
        <row r="148">
          <cell r="Q148" t="str">
            <v>20101201030968</v>
          </cell>
          <cell r="T148" t="str">
            <v>NA</v>
          </cell>
        </row>
        <row r="149">
          <cell r="Q149" t="str">
            <v>0</v>
          </cell>
          <cell r="T149" t="str">
            <v>NA</v>
          </cell>
        </row>
        <row r="150">
          <cell r="Q150" t="str">
            <v>20101031072448</v>
          </cell>
          <cell r="T150" t="str">
            <v>NA</v>
          </cell>
        </row>
        <row r="151">
          <cell r="Q151" t="str">
            <v>20101031072448</v>
          </cell>
          <cell r="T151" t="str">
            <v>NA</v>
          </cell>
        </row>
        <row r="152">
          <cell r="Q152" t="str">
            <v>20101031072448</v>
          </cell>
          <cell r="T152" t="str">
            <v>NA</v>
          </cell>
        </row>
        <row r="153">
          <cell r="Q153" t="str">
            <v>20110401096273</v>
          </cell>
          <cell r="T153" t="str">
            <v>NA</v>
          </cell>
        </row>
        <row r="154">
          <cell r="Q154" t="str">
            <v>20110303038254</v>
          </cell>
          <cell r="T154" t="str">
            <v>NA</v>
          </cell>
        </row>
        <row r="155">
          <cell r="Q155" t="str">
            <v>20101201030968</v>
          </cell>
          <cell r="T155" t="str">
            <v>NA</v>
          </cell>
        </row>
        <row r="156">
          <cell r="Q156" t="str">
            <v>20101201030968</v>
          </cell>
          <cell r="T156" t="str">
            <v>NA</v>
          </cell>
        </row>
        <row r="157">
          <cell r="Q157" t="str">
            <v>20110101085045</v>
          </cell>
          <cell r="T157" t="str">
            <v>NA</v>
          </cell>
        </row>
        <row r="158">
          <cell r="Q158" t="str">
            <v>20101201030968</v>
          </cell>
          <cell r="T158" t="str">
            <v>NA</v>
          </cell>
        </row>
        <row r="159">
          <cell r="Q159" t="str">
            <v>20101201030968</v>
          </cell>
          <cell r="T159" t="str">
            <v>NA</v>
          </cell>
        </row>
        <row r="160">
          <cell r="Q160" t="str">
            <v>20101201030968</v>
          </cell>
          <cell r="T160" t="str">
            <v>NA</v>
          </cell>
        </row>
        <row r="161">
          <cell r="Q161" t="str">
            <v>Abandonné 10/09/12</v>
          </cell>
          <cell r="T161" t="str">
            <v>NA</v>
          </cell>
        </row>
        <row r="162">
          <cell r="Q162" t="str">
            <v>20110201027629</v>
          </cell>
          <cell r="T162" t="str">
            <v>NA</v>
          </cell>
        </row>
        <row r="163">
          <cell r="Q163" t="str">
            <v>20110201027629</v>
          </cell>
          <cell r="T163" t="str">
            <v>NA</v>
          </cell>
        </row>
        <row r="164">
          <cell r="Q164" t="str">
            <v>Abandonné 10/09/12</v>
          </cell>
          <cell r="T164" t="str">
            <v>NA</v>
          </cell>
        </row>
        <row r="165">
          <cell r="Q165" t="str">
            <v>20110303038254</v>
          </cell>
          <cell r="T165" t="str">
            <v>NA</v>
          </cell>
        </row>
        <row r="166">
          <cell r="Q166" t="str">
            <v>20110303038254</v>
          </cell>
          <cell r="T166" t="str">
            <v>NA</v>
          </cell>
        </row>
        <row r="167">
          <cell r="Q167" t="str">
            <v>20110201027629</v>
          </cell>
          <cell r="T167" t="str">
            <v>NA</v>
          </cell>
        </row>
        <row r="168">
          <cell r="Q168" t="str">
            <v>20110201027629</v>
          </cell>
          <cell r="T168" t="str">
            <v>NA</v>
          </cell>
        </row>
        <row r="169">
          <cell r="Q169" t="str">
            <v>20110303038254</v>
          </cell>
          <cell r="T169" t="str">
            <v>NA</v>
          </cell>
        </row>
        <row r="170">
          <cell r="Q170" t="str">
            <v>20110303038254</v>
          </cell>
          <cell r="T170" t="str">
            <v>NA</v>
          </cell>
        </row>
        <row r="172">
          <cell r="Q172" t="str">
            <v>20110303038254</v>
          </cell>
          <cell r="T172" t="str">
            <v>NA</v>
          </cell>
        </row>
        <row r="173">
          <cell r="Q173" t="str">
            <v>20110401096273</v>
          </cell>
          <cell r="T173" t="str">
            <v>NA</v>
          </cell>
        </row>
        <row r="174">
          <cell r="Q174" t="str">
            <v>20110430029517</v>
          </cell>
          <cell r="T174" t="str">
            <v>NA</v>
          </cell>
        </row>
        <row r="175">
          <cell r="Q175" t="str">
            <v>20110430029517</v>
          </cell>
          <cell r="T175" t="str">
            <v>NA</v>
          </cell>
        </row>
        <row r="176">
          <cell r="Q176" t="str">
            <v>20110430029517</v>
          </cell>
          <cell r="T176" t="str">
            <v>NA</v>
          </cell>
        </row>
        <row r="177">
          <cell r="Q177" t="str">
            <v>20110430029517</v>
          </cell>
          <cell r="T177" t="str">
            <v>NA</v>
          </cell>
        </row>
        <row r="178">
          <cell r="Q178" t="str">
            <v>20110401096273</v>
          </cell>
          <cell r="T178" t="str">
            <v>NA</v>
          </cell>
        </row>
        <row r="179">
          <cell r="Q179" t="str">
            <v>20110401096273</v>
          </cell>
          <cell r="T179" t="str">
            <v>NA</v>
          </cell>
        </row>
        <row r="180">
          <cell r="Q180" t="str">
            <v>20111001111246</v>
          </cell>
          <cell r="T180" t="str">
            <v>NA</v>
          </cell>
        </row>
        <row r="181">
          <cell r="Q181" t="str">
            <v>20110401096273</v>
          </cell>
          <cell r="T181" t="str">
            <v>NA</v>
          </cell>
        </row>
        <row r="182">
          <cell r="Q182" t="str">
            <v>20110430029517</v>
          </cell>
          <cell r="T182" t="str">
            <v>NA</v>
          </cell>
        </row>
        <row r="183">
          <cell r="Q183" t="str">
            <v>20110430029517</v>
          </cell>
          <cell r="T183" t="str">
            <v>NA</v>
          </cell>
        </row>
        <row r="184">
          <cell r="Q184" t="str">
            <v>20110430029517</v>
          </cell>
          <cell r="T184" t="str">
            <v>NA</v>
          </cell>
        </row>
        <row r="185">
          <cell r="Q185" t="str">
            <v>20110430029517</v>
          </cell>
          <cell r="T185" t="str">
            <v>NA</v>
          </cell>
        </row>
        <row r="186">
          <cell r="Q186" t="str">
            <v>20110601038224</v>
          </cell>
          <cell r="T186" t="str">
            <v>NA</v>
          </cell>
        </row>
        <row r="187">
          <cell r="Q187" t="str">
            <v>20110601038224</v>
          </cell>
          <cell r="T187" t="str">
            <v>NA</v>
          </cell>
        </row>
        <row r="188">
          <cell r="Q188" t="str">
            <v>20110601038224</v>
          </cell>
          <cell r="T188" t="str">
            <v>NA</v>
          </cell>
        </row>
        <row r="189">
          <cell r="Q189" t="str">
            <v>20110627001909</v>
          </cell>
          <cell r="T189" t="str">
            <v>NA</v>
          </cell>
        </row>
        <row r="190">
          <cell r="Q190" t="str">
            <v>20110627001909</v>
          </cell>
          <cell r="T190" t="str">
            <v>NA</v>
          </cell>
        </row>
        <row r="191">
          <cell r="Q191" t="str">
            <v>20110601038224</v>
          </cell>
          <cell r="T191" t="str">
            <v>NA</v>
          </cell>
        </row>
        <row r="192">
          <cell r="Q192" t="str">
            <v>20110601038224</v>
          </cell>
          <cell r="T192" t="str">
            <v>NA</v>
          </cell>
        </row>
        <row r="193">
          <cell r="Q193" t="str">
            <v>20110601038224</v>
          </cell>
          <cell r="T193" t="str">
            <v>NA</v>
          </cell>
        </row>
        <row r="194">
          <cell r="Q194" t="str">
            <v>20110627001909</v>
          </cell>
          <cell r="T194" t="str">
            <v>NA</v>
          </cell>
        </row>
        <row r="195">
          <cell r="Q195" t="str">
            <v>20110627001909</v>
          </cell>
          <cell r="T195" t="str">
            <v>NA</v>
          </cell>
        </row>
        <row r="196">
          <cell r="Q196" t="str">
            <v>20110601038224</v>
          </cell>
          <cell r="T196" t="str">
            <v>NA</v>
          </cell>
        </row>
        <row r="197">
          <cell r="Q197" t="str">
            <v>20120901030169</v>
          </cell>
          <cell r="T197" t="str">
            <v>NA</v>
          </cell>
        </row>
        <row r="198">
          <cell r="Q198" t="str">
            <v>20110627001909</v>
          </cell>
          <cell r="T198" t="str">
            <v>NA</v>
          </cell>
        </row>
        <row r="199">
          <cell r="Q199" t="str">
            <v>20110627001909</v>
          </cell>
          <cell r="T199" t="str">
            <v>NA</v>
          </cell>
        </row>
        <row r="200">
          <cell r="Q200" t="str">
            <v>20110627001909</v>
          </cell>
          <cell r="T200" t="str">
            <v>NA</v>
          </cell>
        </row>
        <row r="201">
          <cell r="Q201" t="str">
            <v>20110627001909</v>
          </cell>
          <cell r="T201" t="str">
            <v>NA</v>
          </cell>
        </row>
        <row r="202">
          <cell r="Q202" t="str">
            <v>20110627001909</v>
          </cell>
          <cell r="T202" t="str">
            <v>NA</v>
          </cell>
        </row>
        <row r="203">
          <cell r="Q203" t="str">
            <v>X</v>
          </cell>
          <cell r="T203" t="str">
            <v>NA</v>
          </cell>
        </row>
        <row r="204">
          <cell r="Q204" t="str">
            <v>20110627001909</v>
          </cell>
          <cell r="T204" t="str">
            <v>NA</v>
          </cell>
        </row>
        <row r="205">
          <cell r="Q205" t="str">
            <v>20110627001909</v>
          </cell>
          <cell r="T205" t="str">
            <v>NA</v>
          </cell>
        </row>
        <row r="206">
          <cell r="Q206" t="str">
            <v>20110701100288</v>
          </cell>
          <cell r="T206" t="str">
            <v>NA</v>
          </cell>
        </row>
        <row r="207">
          <cell r="Q207" t="str">
            <v>20110701100288</v>
          </cell>
          <cell r="T207" t="str">
            <v>NA</v>
          </cell>
        </row>
        <row r="208">
          <cell r="Q208" t="str">
            <v>20110701100288</v>
          </cell>
          <cell r="T208" t="str">
            <v>NA</v>
          </cell>
        </row>
        <row r="209">
          <cell r="Q209" t="str">
            <v>20111231110718</v>
          </cell>
          <cell r="T209" t="str">
            <v>NA</v>
          </cell>
        </row>
        <row r="210">
          <cell r="Q210" t="str">
            <v>20110701100288</v>
          </cell>
          <cell r="T210" t="str">
            <v>NA</v>
          </cell>
        </row>
        <row r="211">
          <cell r="Q211" t="str">
            <v>20110701100288</v>
          </cell>
          <cell r="T211" t="str">
            <v>NA</v>
          </cell>
        </row>
        <row r="212">
          <cell r="Q212" t="str">
            <v>20110731030697</v>
          </cell>
          <cell r="T212" t="str">
            <v>NA</v>
          </cell>
        </row>
        <row r="213">
          <cell r="Q213" t="str">
            <v>20110701100288</v>
          </cell>
          <cell r="T213" t="str">
            <v>NA</v>
          </cell>
        </row>
        <row r="214">
          <cell r="Q214" t="str">
            <v>20110731030697</v>
          </cell>
          <cell r="T214" t="str">
            <v>NA</v>
          </cell>
        </row>
        <row r="215">
          <cell r="Q215" t="str">
            <v>20110731030697</v>
          </cell>
          <cell r="T215" t="str">
            <v>NA</v>
          </cell>
        </row>
        <row r="216">
          <cell r="Q216" t="str">
            <v>20110731030697</v>
          </cell>
          <cell r="T216" t="str">
            <v>NA</v>
          </cell>
        </row>
        <row r="217">
          <cell r="Q217" t="str">
            <v>20110731030697</v>
          </cell>
          <cell r="T217" t="str">
            <v>NA</v>
          </cell>
        </row>
        <row r="218">
          <cell r="Q218" t="str">
            <v>20110731030697</v>
          </cell>
          <cell r="T218" t="str">
            <v>NA</v>
          </cell>
        </row>
        <row r="219">
          <cell r="Q219" t="str">
            <v>Refusé</v>
          </cell>
          <cell r="T219" t="str">
            <v>NA</v>
          </cell>
        </row>
        <row r="220">
          <cell r="Q220" t="str">
            <v>20110901030127</v>
          </cell>
          <cell r="T220" t="str">
            <v>NA</v>
          </cell>
        </row>
        <row r="221">
          <cell r="Q221" t="str">
            <v>20110731030697</v>
          </cell>
          <cell r="T221" t="str">
            <v>NA</v>
          </cell>
        </row>
        <row r="222">
          <cell r="Q222" t="str">
            <v>20110731030697</v>
          </cell>
          <cell r="T222" t="str">
            <v>NA</v>
          </cell>
        </row>
        <row r="223">
          <cell r="Q223" t="str">
            <v>20110731030697</v>
          </cell>
          <cell r="T223" t="str">
            <v>NA</v>
          </cell>
        </row>
        <row r="224">
          <cell r="Q224" t="str">
            <v>20111001111246</v>
          </cell>
          <cell r="T224" t="str">
            <v>NA</v>
          </cell>
        </row>
        <row r="225">
          <cell r="Q225" t="str">
            <v>20111001111246</v>
          </cell>
          <cell r="T225" t="str">
            <v>NA</v>
          </cell>
        </row>
        <row r="226">
          <cell r="Q226" t="str">
            <v>20111001111246</v>
          </cell>
          <cell r="T226" t="str">
            <v>NA</v>
          </cell>
        </row>
        <row r="227">
          <cell r="Q227" t="str">
            <v>20111001111246</v>
          </cell>
          <cell r="T227" t="str">
            <v>NA</v>
          </cell>
        </row>
        <row r="228">
          <cell r="Q228" t="str">
            <v>20111001111246</v>
          </cell>
          <cell r="T228" t="str">
            <v>NA</v>
          </cell>
        </row>
        <row r="229">
          <cell r="Q229" t="str">
            <v>20111001111246</v>
          </cell>
          <cell r="T229" t="str">
            <v>NA</v>
          </cell>
        </row>
        <row r="230">
          <cell r="Q230" t="str">
            <v>20111001111246</v>
          </cell>
          <cell r="T230" t="str">
            <v>NA</v>
          </cell>
        </row>
        <row r="231">
          <cell r="Q231" t="str">
            <v>20111001111246</v>
          </cell>
          <cell r="T231" t="str">
            <v>NA</v>
          </cell>
        </row>
        <row r="232">
          <cell r="Q232" t="str">
            <v>20111001111246</v>
          </cell>
          <cell r="T232" t="str">
            <v>NA</v>
          </cell>
        </row>
        <row r="233">
          <cell r="Q233" t="str">
            <v>20111001111246</v>
          </cell>
          <cell r="T233" t="str">
            <v>NA</v>
          </cell>
        </row>
        <row r="234">
          <cell r="Q234" t="str">
            <v>20111001111246</v>
          </cell>
          <cell r="T234" t="str">
            <v>NA</v>
          </cell>
        </row>
        <row r="235">
          <cell r="Q235" t="str">
            <v>X</v>
          </cell>
          <cell r="T235" t="str">
            <v>NA</v>
          </cell>
        </row>
        <row r="236">
          <cell r="Q236" t="str">
            <v>20111001111246</v>
          </cell>
          <cell r="T236" t="str">
            <v>NA</v>
          </cell>
        </row>
        <row r="237">
          <cell r="Q237" t="str">
            <v>20111001111246</v>
          </cell>
          <cell r="T237" t="str">
            <v>NA</v>
          </cell>
        </row>
        <row r="238">
          <cell r="Q238" t="str">
            <v>20111001111246</v>
          </cell>
          <cell r="T238" t="str">
            <v>NA</v>
          </cell>
        </row>
        <row r="239">
          <cell r="Q239" t="str">
            <v>20111101034049</v>
          </cell>
          <cell r="T239" t="str">
            <v>NA</v>
          </cell>
        </row>
        <row r="240">
          <cell r="Q240" t="str">
            <v>20111101034049</v>
          </cell>
          <cell r="T240" t="str">
            <v>NA</v>
          </cell>
        </row>
        <row r="241">
          <cell r="Q241" t="str">
            <v>20111101034049</v>
          </cell>
          <cell r="T241" t="str">
            <v>NA</v>
          </cell>
        </row>
        <row r="242">
          <cell r="Q242" t="str">
            <v>20111101034049</v>
          </cell>
          <cell r="T242" t="str">
            <v>NA</v>
          </cell>
        </row>
        <row r="243">
          <cell r="Q243" t="str">
            <v>20111101034049</v>
          </cell>
          <cell r="T243" t="str">
            <v>NA</v>
          </cell>
        </row>
        <row r="244">
          <cell r="Q244" t="str">
            <v>20111101034049</v>
          </cell>
          <cell r="T244" t="str">
            <v>NA</v>
          </cell>
        </row>
        <row r="245">
          <cell r="Q245" t="str">
            <v>20111101034049</v>
          </cell>
          <cell r="T245" t="str">
            <v>NA</v>
          </cell>
        </row>
        <row r="246">
          <cell r="Q246" t="str">
            <v>20111101034049</v>
          </cell>
          <cell r="T246" t="str">
            <v>NA</v>
          </cell>
        </row>
        <row r="247">
          <cell r="Q247" t="str">
            <v>20111101034049</v>
          </cell>
          <cell r="T247" t="str">
            <v>NA</v>
          </cell>
        </row>
        <row r="248">
          <cell r="Q248" t="str">
            <v>20111101034049</v>
          </cell>
          <cell r="T248" t="str">
            <v>NA</v>
          </cell>
        </row>
        <row r="249">
          <cell r="Q249" t="str">
            <v>20111101034049</v>
          </cell>
          <cell r="T249" t="str">
            <v>NA</v>
          </cell>
        </row>
        <row r="250">
          <cell r="Q250" t="str">
            <v>20111201039701</v>
          </cell>
          <cell r="T250" t="str">
            <v>NA</v>
          </cell>
        </row>
        <row r="251">
          <cell r="Q251" t="str">
            <v>20111201039701</v>
          </cell>
          <cell r="T251" t="str">
            <v>NA</v>
          </cell>
        </row>
        <row r="252">
          <cell r="Q252" t="str">
            <v>20111201039701</v>
          </cell>
          <cell r="T252" t="str">
            <v>NA</v>
          </cell>
        </row>
        <row r="253">
          <cell r="Q253" t="str">
            <v>20111201039701</v>
          </cell>
          <cell r="T253" t="str">
            <v>NA</v>
          </cell>
        </row>
        <row r="254">
          <cell r="Q254" t="str">
            <v>20111201039701</v>
          </cell>
          <cell r="T254" t="str">
            <v>NA</v>
          </cell>
        </row>
        <row r="255">
          <cell r="Q255" t="str">
            <v>20111231110718</v>
          </cell>
          <cell r="T255" t="str">
            <v>NA</v>
          </cell>
        </row>
        <row r="256">
          <cell r="Q256" t="str">
            <v>20120917</v>
          </cell>
          <cell r="T256" t="str">
            <v>NA</v>
          </cell>
        </row>
        <row r="257">
          <cell r="Q257" t="str">
            <v>X</v>
          </cell>
          <cell r="T257" t="str">
            <v>NA</v>
          </cell>
        </row>
        <row r="258">
          <cell r="Q258" t="str">
            <v>20111201039701</v>
          </cell>
          <cell r="T258" t="str">
            <v>NA</v>
          </cell>
        </row>
        <row r="259">
          <cell r="Q259" t="str">
            <v>Abandonné</v>
          </cell>
          <cell r="T259" t="str">
            <v>NA</v>
          </cell>
        </row>
        <row r="260">
          <cell r="Q260" t="str">
            <v>20111201039701</v>
          </cell>
          <cell r="T260" t="str">
            <v>NA</v>
          </cell>
        </row>
        <row r="262">
          <cell r="Q262" t="str">
            <v>20111201039701</v>
          </cell>
          <cell r="T262" t="str">
            <v>NA</v>
          </cell>
        </row>
        <row r="263">
          <cell r="Q263" t="str">
            <v>20120927b</v>
          </cell>
          <cell r="T263" t="str">
            <v>NA</v>
          </cell>
        </row>
        <row r="264">
          <cell r="Q264" t="str">
            <v>20111201039701</v>
          </cell>
          <cell r="T264" t="str">
            <v>NA</v>
          </cell>
        </row>
        <row r="265">
          <cell r="Q265" t="str">
            <v>20111231110718</v>
          </cell>
          <cell r="T265" t="str">
            <v>NA</v>
          </cell>
        </row>
        <row r="266">
          <cell r="Q266" t="str">
            <v>20111231110718</v>
          </cell>
          <cell r="T266" t="str">
            <v>NA</v>
          </cell>
        </row>
        <row r="267">
          <cell r="Q267" t="str">
            <v>20111231110718</v>
          </cell>
          <cell r="T267" t="str">
            <v>NA</v>
          </cell>
        </row>
        <row r="268">
          <cell r="Q268" t="str">
            <v>20111231110718</v>
          </cell>
          <cell r="T268" t="str">
            <v>NA</v>
          </cell>
        </row>
        <row r="269">
          <cell r="Q269" t="str">
            <v>20111231110718</v>
          </cell>
          <cell r="T269" t="str">
            <v>NA</v>
          </cell>
        </row>
        <row r="270">
          <cell r="Q270" t="str">
            <v>20111231110718</v>
          </cell>
          <cell r="T270" t="str">
            <v>NA</v>
          </cell>
        </row>
        <row r="271">
          <cell r="Q271" t="str">
            <v>20111231110718</v>
          </cell>
          <cell r="T271" t="str">
            <v>NA</v>
          </cell>
        </row>
        <row r="272">
          <cell r="Q272" t="str">
            <v>20111231110718</v>
          </cell>
          <cell r="T272" t="str">
            <v>NA</v>
          </cell>
        </row>
        <row r="273">
          <cell r="Q273" t="str">
            <v>20120927b</v>
          </cell>
          <cell r="T273" t="str">
            <v>NA</v>
          </cell>
        </row>
        <row r="274">
          <cell r="Q274" t="str">
            <v>20111231110718</v>
          </cell>
          <cell r="T274" t="str">
            <v>NA</v>
          </cell>
        </row>
        <row r="275">
          <cell r="Q275" t="str">
            <v>20120331114586</v>
          </cell>
          <cell r="T275" t="str">
            <v>NA</v>
          </cell>
        </row>
        <row r="276">
          <cell r="Q276" t="str">
            <v>20111231110718</v>
          </cell>
          <cell r="T276" t="str">
            <v>NA</v>
          </cell>
        </row>
        <row r="277">
          <cell r="Q277" t="str">
            <v>20111231110718</v>
          </cell>
          <cell r="T277" t="str">
            <v>NA</v>
          </cell>
        </row>
        <row r="278">
          <cell r="Q278" t="str">
            <v>20120201033191</v>
          </cell>
          <cell r="T278" t="str">
            <v>NA</v>
          </cell>
        </row>
        <row r="279">
          <cell r="Q279" t="str">
            <v>20120901030169</v>
          </cell>
          <cell r="T279" t="str">
            <v>NA</v>
          </cell>
        </row>
        <row r="280">
          <cell r="Q280" t="str">
            <v>20120201033191</v>
          </cell>
          <cell r="T280" t="str">
            <v>NA</v>
          </cell>
        </row>
        <row r="281">
          <cell r="Q281" t="str">
            <v>20120201033191</v>
          </cell>
          <cell r="T281" t="str">
            <v>NA</v>
          </cell>
        </row>
        <row r="282">
          <cell r="Q282" t="str">
            <v>20120331114586</v>
          </cell>
          <cell r="T282" t="str">
            <v>NA</v>
          </cell>
        </row>
        <row r="283">
          <cell r="Q283" t="str">
            <v>20120901030169</v>
          </cell>
          <cell r="T283" t="str">
            <v>NA</v>
          </cell>
        </row>
        <row r="284">
          <cell r="Q284" t="str">
            <v>20120301041857</v>
          </cell>
          <cell r="T284" t="str">
            <v>NA</v>
          </cell>
        </row>
        <row r="285">
          <cell r="Q285" t="str">
            <v>20120201033191</v>
          </cell>
          <cell r="T285" t="str">
            <v>NA</v>
          </cell>
        </row>
        <row r="286">
          <cell r="Q286" t="str">
            <v>20120301041857</v>
          </cell>
          <cell r="T286" t="str">
            <v>NA</v>
          </cell>
        </row>
        <row r="287">
          <cell r="Q287" t="str">
            <v>20120301041857</v>
          </cell>
          <cell r="T287" t="str">
            <v>NA</v>
          </cell>
        </row>
        <row r="288">
          <cell r="Q288" t="str">
            <v>20120301041857</v>
          </cell>
          <cell r="T288" t="str">
            <v>NA</v>
          </cell>
        </row>
        <row r="289">
          <cell r="Q289" t="str">
            <v>20120301041857</v>
          </cell>
          <cell r="T289" t="str">
            <v>NA</v>
          </cell>
        </row>
        <row r="290">
          <cell r="Q290" t="str">
            <v>20120301041857</v>
          </cell>
          <cell r="T290" t="str">
            <v>NA</v>
          </cell>
        </row>
        <row r="291">
          <cell r="Q291" t="str">
            <v>20120331114586</v>
          </cell>
          <cell r="T291" t="str">
            <v>NA</v>
          </cell>
        </row>
        <row r="292">
          <cell r="Q292" t="str">
            <v>x</v>
          </cell>
          <cell r="T292" t="str">
            <v>NA</v>
          </cell>
        </row>
        <row r="293">
          <cell r="Q293" t="str">
            <v>20120927a</v>
          </cell>
          <cell r="T293" t="str">
            <v>NA</v>
          </cell>
        </row>
        <row r="294">
          <cell r="Q294" t="str">
            <v>20120501033293</v>
          </cell>
          <cell r="T294" t="str">
            <v>NA</v>
          </cell>
        </row>
        <row r="295">
          <cell r="Q295" t="str">
            <v>20120927a</v>
          </cell>
          <cell r="T295" t="str">
            <v>NA</v>
          </cell>
        </row>
        <row r="296">
          <cell r="Q296" t="str">
            <v>20120301041857</v>
          </cell>
          <cell r="T296" t="str">
            <v>NA</v>
          </cell>
        </row>
        <row r="297">
          <cell r="Q297" t="str">
            <v>20120501033293</v>
          </cell>
          <cell r="T297" t="str">
            <v>NA</v>
          </cell>
        </row>
        <row r="298">
          <cell r="Q298" t="str">
            <v>20120301041857</v>
          </cell>
          <cell r="T298" t="str">
            <v>NA</v>
          </cell>
        </row>
        <row r="299">
          <cell r="Q299" t="str">
            <v>20120331114586</v>
          </cell>
          <cell r="T299" t="str">
            <v>NA</v>
          </cell>
        </row>
        <row r="300">
          <cell r="Q300" t="str">
            <v>20120331114586</v>
          </cell>
          <cell r="T300" t="str">
            <v>NA</v>
          </cell>
        </row>
        <row r="301">
          <cell r="Q301" t="str">
            <v>20120404022137</v>
          </cell>
          <cell r="T301" t="str">
            <v>NA</v>
          </cell>
        </row>
        <row r="302">
          <cell r="Q302" t="str">
            <v>20120331114586</v>
          </cell>
          <cell r="T302" t="str">
            <v>NA</v>
          </cell>
        </row>
        <row r="303">
          <cell r="Q303" t="str">
            <v>20120331114586</v>
          </cell>
          <cell r="T303" t="str">
            <v>NA</v>
          </cell>
        </row>
        <row r="304">
          <cell r="Q304" t="str">
            <v>20120331114586</v>
          </cell>
          <cell r="T304" t="str">
            <v>NA</v>
          </cell>
        </row>
        <row r="305">
          <cell r="Q305" t="str">
            <v>20120331114586</v>
          </cell>
          <cell r="T305" t="str">
            <v>NA</v>
          </cell>
        </row>
        <row r="306">
          <cell r="Q306" t="str">
            <v>20120331114586</v>
          </cell>
          <cell r="T306" t="str">
            <v>NA</v>
          </cell>
        </row>
        <row r="307">
          <cell r="Q307" t="str">
            <v>20120501033293</v>
          </cell>
          <cell r="T307" t="str">
            <v>NA</v>
          </cell>
        </row>
        <row r="308">
          <cell r="Q308" t="str">
            <v>0</v>
          </cell>
          <cell r="T308" t="str">
            <v>NA</v>
          </cell>
        </row>
        <row r="309">
          <cell r="Q309" t="str">
            <v>20120501033293</v>
          </cell>
          <cell r="T309" t="str">
            <v>NA</v>
          </cell>
        </row>
        <row r="310">
          <cell r="Q310" t="str">
            <v>20120501033293</v>
          </cell>
          <cell r="T310" t="str">
            <v>NA</v>
          </cell>
        </row>
        <row r="311">
          <cell r="Q311" t="str">
            <v>20120501033293</v>
          </cell>
          <cell r="T311" t="str">
            <v>NA</v>
          </cell>
        </row>
        <row r="312">
          <cell r="Q312" t="str">
            <v>20120601038606</v>
          </cell>
          <cell r="T312" t="str">
            <v>NA</v>
          </cell>
        </row>
        <row r="313">
          <cell r="Q313" t="str">
            <v>20120601038606</v>
          </cell>
          <cell r="T313" t="str">
            <v>NA</v>
          </cell>
        </row>
        <row r="314">
          <cell r="Q314" t="str">
            <v>20120601038606</v>
          </cell>
          <cell r="T314" t="str">
            <v>NA</v>
          </cell>
        </row>
        <row r="315">
          <cell r="Q315" t="str">
            <v>20120501033293</v>
          </cell>
          <cell r="T315" t="str">
            <v>NA</v>
          </cell>
        </row>
        <row r="316">
          <cell r="Q316" t="str">
            <v>20120501033293</v>
          </cell>
          <cell r="T316" t="str">
            <v>NA</v>
          </cell>
        </row>
        <row r="317">
          <cell r="Q317" t="str">
            <v>20120917</v>
          </cell>
          <cell r="T317" t="str">
            <v>NA</v>
          </cell>
        </row>
        <row r="318">
          <cell r="Q318" t="str">
            <v>20120601038606</v>
          </cell>
          <cell r="T318" t="str">
            <v>NA</v>
          </cell>
        </row>
        <row r="319">
          <cell r="Q319" t="str">
            <v>20120901030169</v>
          </cell>
          <cell r="T319" t="str">
            <v>NA</v>
          </cell>
        </row>
        <row r="320">
          <cell r="Q320" t="str">
            <v>20120601038606</v>
          </cell>
          <cell r="T320" t="str">
            <v>NA</v>
          </cell>
        </row>
        <row r="321">
          <cell r="Q321" t="str">
            <v>20131014</v>
          </cell>
          <cell r="T321" t="str">
            <v>NA</v>
          </cell>
        </row>
        <row r="322">
          <cell r="Q322" t="str">
            <v>20120627002765</v>
          </cell>
          <cell r="T322" t="str">
            <v>NA</v>
          </cell>
        </row>
        <row r="323">
          <cell r="Q323" t="str">
            <v>20120601038606</v>
          </cell>
          <cell r="T323" t="str">
            <v>NA</v>
          </cell>
        </row>
        <row r="324">
          <cell r="Q324" t="str">
            <v>20120627002765</v>
          </cell>
          <cell r="T324" t="str">
            <v>NA</v>
          </cell>
        </row>
        <row r="325">
          <cell r="Q325" t="str">
            <v>Abandonné</v>
          </cell>
          <cell r="T325" t="str">
            <v>NA</v>
          </cell>
        </row>
        <row r="326">
          <cell r="Q326" t="str">
            <v>Abandonné</v>
          </cell>
          <cell r="T326" t="str">
            <v>NA</v>
          </cell>
        </row>
        <row r="327">
          <cell r="Q327" t="str">
            <v>20120627002765</v>
          </cell>
          <cell r="T327" t="str">
            <v>NA</v>
          </cell>
        </row>
        <row r="328">
          <cell r="Q328" t="str">
            <v>20120627002765</v>
          </cell>
          <cell r="T328" t="str">
            <v>NA</v>
          </cell>
        </row>
        <row r="329">
          <cell r="Q329" t="str">
            <v>20120901030169</v>
          </cell>
          <cell r="T329" t="str">
            <v>NA</v>
          </cell>
        </row>
        <row r="330">
          <cell r="Q330" t="str">
            <v>20120627002765</v>
          </cell>
          <cell r="T330" t="str">
            <v>NA</v>
          </cell>
        </row>
        <row r="331">
          <cell r="Q331" t="str">
            <v>20120627002765</v>
          </cell>
          <cell r="T331" t="str">
            <v>NA</v>
          </cell>
        </row>
        <row r="332">
          <cell r="Q332" t="str">
            <v>20120627002765</v>
          </cell>
          <cell r="T332" t="str">
            <v>NA</v>
          </cell>
        </row>
        <row r="333">
          <cell r="Q333" t="str">
            <v>20120627002765</v>
          </cell>
          <cell r="T333" t="str">
            <v>NA</v>
          </cell>
        </row>
        <row r="334">
          <cell r="Q334" t="str">
            <v>20120627002765</v>
          </cell>
          <cell r="T334" t="str">
            <v>NA</v>
          </cell>
        </row>
        <row r="335">
          <cell r="Q335" t="str">
            <v>20120627002765</v>
          </cell>
          <cell r="T335" t="str">
            <v>NA</v>
          </cell>
        </row>
        <row r="336">
          <cell r="Q336" t="str">
            <v>20120627002765</v>
          </cell>
          <cell r="T336" t="str">
            <v>NA</v>
          </cell>
        </row>
        <row r="337">
          <cell r="Q337" t="str">
            <v>20120627002765</v>
          </cell>
          <cell r="T337" t="str">
            <v>NA</v>
          </cell>
        </row>
        <row r="338">
          <cell r="Q338" t="str">
            <v>20120627002765</v>
          </cell>
          <cell r="T338" t="str">
            <v>NA</v>
          </cell>
        </row>
        <row r="339">
          <cell r="Q339" t="str">
            <v>20120627002765</v>
          </cell>
          <cell r="T339" t="str">
            <v>NA</v>
          </cell>
        </row>
        <row r="340">
          <cell r="Q340" t="str">
            <v>20120627002765</v>
          </cell>
          <cell r="T340" t="str">
            <v>NA</v>
          </cell>
        </row>
        <row r="341">
          <cell r="Q341" t="str">
            <v>0</v>
          </cell>
          <cell r="T341" t="str">
            <v>NA</v>
          </cell>
        </row>
        <row r="342">
          <cell r="Q342" t="str">
            <v>20120627002765</v>
          </cell>
          <cell r="T342" t="str">
            <v>NA</v>
          </cell>
        </row>
        <row r="343">
          <cell r="Q343" t="str">
            <v>20120731004029</v>
          </cell>
          <cell r="T343" t="str">
            <v>NA</v>
          </cell>
        </row>
        <row r="344">
          <cell r="Q344" t="str">
            <v>0</v>
          </cell>
          <cell r="T344" t="str">
            <v>NA</v>
          </cell>
        </row>
        <row r="345">
          <cell r="Q345" t="str">
            <v>0</v>
          </cell>
          <cell r="T345" t="str">
            <v>NA</v>
          </cell>
        </row>
        <row r="346">
          <cell r="Q346" t="str">
            <v>20120917</v>
          </cell>
          <cell r="T346" t="str">
            <v>NA</v>
          </cell>
        </row>
        <row r="347">
          <cell r="Q347" t="str">
            <v>20120917</v>
          </cell>
          <cell r="T347" t="str">
            <v>NA</v>
          </cell>
        </row>
        <row r="348">
          <cell r="Q348" t="str">
            <v>20120917</v>
          </cell>
          <cell r="T348" t="str">
            <v>NA</v>
          </cell>
        </row>
        <row r="349">
          <cell r="Q349" t="str">
            <v>20120731004029</v>
          </cell>
          <cell r="T349" t="str">
            <v>NA</v>
          </cell>
        </row>
        <row r="350">
          <cell r="Q350" t="str">
            <v>20120731004029</v>
          </cell>
          <cell r="T350" t="str">
            <v>NA</v>
          </cell>
        </row>
        <row r="351">
          <cell r="Q351" t="str">
            <v>20120731004029</v>
          </cell>
          <cell r="T351" t="str">
            <v>NA</v>
          </cell>
        </row>
        <row r="352">
          <cell r="Q352" t="str">
            <v>20120917</v>
          </cell>
          <cell r="T352" t="str">
            <v>NA</v>
          </cell>
        </row>
        <row r="353">
          <cell r="Q353" t="str">
            <v>20120917</v>
          </cell>
          <cell r="T353" t="str">
            <v>NA</v>
          </cell>
        </row>
        <row r="354">
          <cell r="Q354" t="str">
            <v>20120917</v>
          </cell>
          <cell r="T354" t="str">
            <v>NA</v>
          </cell>
        </row>
        <row r="355">
          <cell r="Q355" t="str">
            <v>20120917</v>
          </cell>
          <cell r="T355" t="str">
            <v>NA</v>
          </cell>
        </row>
        <row r="356">
          <cell r="Q356" t="str">
            <v>20120731004029</v>
          </cell>
          <cell r="T356" t="str">
            <v>NA</v>
          </cell>
        </row>
        <row r="357">
          <cell r="Q357" t="str">
            <v>20120901030169</v>
          </cell>
          <cell r="T357" t="str">
            <v>NA</v>
          </cell>
        </row>
        <row r="358">
          <cell r="Q358" t="str">
            <v>20120901030169</v>
          </cell>
          <cell r="T358" t="str">
            <v>NA</v>
          </cell>
        </row>
        <row r="359">
          <cell r="Q359" t="str">
            <v>20120901030169</v>
          </cell>
          <cell r="T359" t="str">
            <v>NA</v>
          </cell>
        </row>
        <row r="360">
          <cell r="Q360" t="str">
            <v>20120901030169</v>
          </cell>
          <cell r="T360" t="str">
            <v>NA</v>
          </cell>
        </row>
        <row r="361">
          <cell r="Q361" t="str">
            <v>20120901030169</v>
          </cell>
          <cell r="T361" t="str">
            <v>NA</v>
          </cell>
        </row>
        <row r="362">
          <cell r="Q362" t="str">
            <v>20120917</v>
          </cell>
          <cell r="T362" t="str">
            <v>NA</v>
          </cell>
        </row>
        <row r="363">
          <cell r="Q363" t="str">
            <v>20120917</v>
          </cell>
          <cell r="T363" t="str">
            <v>NA</v>
          </cell>
        </row>
        <row r="364">
          <cell r="Q364" t="str">
            <v>0</v>
          </cell>
          <cell r="T364" t="str">
            <v>NA</v>
          </cell>
        </row>
        <row r="365">
          <cell r="Q365" t="str">
            <v>20120920</v>
          </cell>
          <cell r="T365" t="str">
            <v>NA</v>
          </cell>
        </row>
        <row r="366">
          <cell r="Q366" t="str">
            <v>20120917</v>
          </cell>
          <cell r="T366" t="str">
            <v>NA</v>
          </cell>
        </row>
        <row r="367">
          <cell r="Q367" t="str">
            <v>20120921</v>
          </cell>
          <cell r="T367" t="str">
            <v>NA</v>
          </cell>
        </row>
        <row r="368">
          <cell r="Q368" t="str">
            <v>20120913</v>
          </cell>
          <cell r="T368" t="str">
            <v>NA</v>
          </cell>
        </row>
        <row r="369">
          <cell r="Q369" t="str">
            <v>20120927b</v>
          </cell>
          <cell r="T369" t="str">
            <v>NA</v>
          </cell>
        </row>
        <row r="370">
          <cell r="Q370" t="str">
            <v>20120927b</v>
          </cell>
          <cell r="T370" t="str">
            <v>NA</v>
          </cell>
        </row>
        <row r="371">
          <cell r="Q371" t="str">
            <v>20120927b</v>
          </cell>
          <cell r="T371" t="str">
            <v>NA</v>
          </cell>
        </row>
        <row r="372">
          <cell r="Q372" t="str">
            <v>20121015</v>
          </cell>
          <cell r="T372" t="str">
            <v>NA</v>
          </cell>
        </row>
        <row r="373">
          <cell r="Q373" t="str">
            <v>20121214</v>
          </cell>
          <cell r="T373" t="str">
            <v>NA</v>
          </cell>
        </row>
        <row r="374">
          <cell r="Q374" t="str">
            <v>X</v>
          </cell>
          <cell r="T374" t="str">
            <v>NA</v>
          </cell>
        </row>
        <row r="375">
          <cell r="Q375" t="str">
            <v>20121214b</v>
          </cell>
          <cell r="T375" t="str">
            <v>NA</v>
          </cell>
        </row>
        <row r="376">
          <cell r="Q376" t="str">
            <v>0</v>
          </cell>
          <cell r="T376" t="str">
            <v>NA</v>
          </cell>
        </row>
        <row r="377">
          <cell r="Q377" t="str">
            <v>0</v>
          </cell>
          <cell r="T377" t="str">
            <v>NA</v>
          </cell>
        </row>
        <row r="378">
          <cell r="Q378" t="str">
            <v>20121214b</v>
          </cell>
          <cell r="T378" t="str">
            <v>NA</v>
          </cell>
        </row>
        <row r="379">
          <cell r="Q379" t="str">
            <v>20120920</v>
          </cell>
          <cell r="T379" t="str">
            <v>NA</v>
          </cell>
        </row>
        <row r="380">
          <cell r="Q380" t="str">
            <v>20121010</v>
          </cell>
          <cell r="T380" t="str">
            <v>NA</v>
          </cell>
        </row>
        <row r="381">
          <cell r="Q381" t="str">
            <v>20121023</v>
          </cell>
          <cell r="T381" t="str">
            <v>NA</v>
          </cell>
        </row>
        <row r="382">
          <cell r="Q382" t="str">
            <v>0</v>
          </cell>
          <cell r="T382" t="str">
            <v>NA</v>
          </cell>
        </row>
        <row r="383">
          <cell r="Q383" t="str">
            <v>20121023</v>
          </cell>
          <cell r="T383" t="str">
            <v>NA</v>
          </cell>
        </row>
        <row r="384">
          <cell r="Q384" t="str">
            <v>20121023</v>
          </cell>
          <cell r="T384" t="str">
            <v>NA</v>
          </cell>
        </row>
        <row r="385">
          <cell r="Q385" t="str">
            <v>20121015</v>
          </cell>
          <cell r="T385" t="str">
            <v>NA</v>
          </cell>
        </row>
        <row r="386">
          <cell r="Q386" t="str">
            <v>20121004</v>
          </cell>
          <cell r="T386" t="str">
            <v>NA</v>
          </cell>
        </row>
        <row r="387">
          <cell r="Q387" t="str">
            <v>20121015</v>
          </cell>
          <cell r="T387" t="str">
            <v>NA</v>
          </cell>
        </row>
        <row r="388">
          <cell r="Q388" t="str">
            <v>20121011</v>
          </cell>
          <cell r="T388" t="str">
            <v>NA</v>
          </cell>
        </row>
        <row r="389">
          <cell r="Q389" t="str">
            <v>20121011</v>
          </cell>
          <cell r="T389" t="str">
            <v>NA</v>
          </cell>
        </row>
        <row r="390">
          <cell r="Q390" t="str">
            <v>20121114</v>
          </cell>
          <cell r="T390" t="str">
            <v>NA</v>
          </cell>
        </row>
        <row r="391">
          <cell r="Q391" t="str">
            <v>20121018</v>
          </cell>
          <cell r="T391" t="str">
            <v>NA</v>
          </cell>
        </row>
        <row r="392">
          <cell r="Q392" t="str">
            <v>20121025</v>
          </cell>
          <cell r="T392" t="str">
            <v>NA</v>
          </cell>
        </row>
        <row r="393">
          <cell r="Q393" t="str">
            <v>20130207</v>
          </cell>
          <cell r="T393" t="str">
            <v>NA</v>
          </cell>
        </row>
        <row r="394">
          <cell r="Q394" t="str">
            <v>0</v>
          </cell>
          <cell r="T394" t="str">
            <v>NA</v>
          </cell>
        </row>
        <row r="395">
          <cell r="Q395" t="str">
            <v>20121203</v>
          </cell>
          <cell r="T395" t="str">
            <v>NA</v>
          </cell>
        </row>
        <row r="396">
          <cell r="Q396" t="str">
            <v>20121214</v>
          </cell>
          <cell r="T396" t="str">
            <v>NA</v>
          </cell>
        </row>
        <row r="397">
          <cell r="Q397" t="str">
            <v>20121203</v>
          </cell>
          <cell r="T397" t="str">
            <v>NA</v>
          </cell>
        </row>
        <row r="398">
          <cell r="Q398" t="str">
            <v>20121203</v>
          </cell>
          <cell r="T398" t="str">
            <v>NA</v>
          </cell>
        </row>
        <row r="399">
          <cell r="Q399" t="str">
            <v>20121203</v>
          </cell>
          <cell r="T399" t="str">
            <v>NA</v>
          </cell>
        </row>
        <row r="400">
          <cell r="Q400" t="str">
            <v>20121109</v>
          </cell>
          <cell r="T400" t="str">
            <v>NA</v>
          </cell>
        </row>
        <row r="401">
          <cell r="Q401" t="str">
            <v>20121122</v>
          </cell>
          <cell r="T401" t="str">
            <v>NA</v>
          </cell>
        </row>
        <row r="402">
          <cell r="Q402" t="str">
            <v>20121122</v>
          </cell>
          <cell r="T402" t="str">
            <v>NA</v>
          </cell>
        </row>
        <row r="403">
          <cell r="Q403" t="str">
            <v>20121214</v>
          </cell>
          <cell r="T403" t="str">
            <v>NA</v>
          </cell>
        </row>
        <row r="404">
          <cell r="Q404" t="str">
            <v>20121130</v>
          </cell>
          <cell r="T404" t="str">
            <v>NA</v>
          </cell>
        </row>
        <row r="405">
          <cell r="Q405" t="str">
            <v>20121208</v>
          </cell>
          <cell r="T405" t="str">
            <v>NA</v>
          </cell>
        </row>
        <row r="406">
          <cell r="Q406" t="str">
            <v>0</v>
          </cell>
          <cell r="T406" t="str">
            <v>NA</v>
          </cell>
        </row>
        <row r="407">
          <cell r="Q407" t="str">
            <v>20121214</v>
          </cell>
          <cell r="T407" t="str">
            <v>NA</v>
          </cell>
        </row>
        <row r="408">
          <cell r="Q408" t="str">
            <v>20121214</v>
          </cell>
          <cell r="T408" t="str">
            <v>NA</v>
          </cell>
        </row>
        <row r="409">
          <cell r="Q409" t="str">
            <v>20130117</v>
          </cell>
          <cell r="T409" t="str">
            <v>NA</v>
          </cell>
        </row>
        <row r="410">
          <cell r="Q410" t="str">
            <v>20121220</v>
          </cell>
          <cell r="T410" t="str">
            <v>NA</v>
          </cell>
        </row>
        <row r="411">
          <cell r="Q411" t="str">
            <v>20121228</v>
          </cell>
          <cell r="T411" t="str">
            <v>NA</v>
          </cell>
        </row>
        <row r="412">
          <cell r="Q412" t="str">
            <v>20130517</v>
          </cell>
          <cell r="T412" t="str">
            <v>NA</v>
          </cell>
        </row>
        <row r="413">
          <cell r="Q413" t="str">
            <v>20130114</v>
          </cell>
          <cell r="T413" t="str">
            <v>NA</v>
          </cell>
        </row>
        <row r="414">
          <cell r="Q414" t="str">
            <v>20130117</v>
          </cell>
          <cell r="T414" t="str">
            <v>NA</v>
          </cell>
        </row>
        <row r="415">
          <cell r="Q415" t="str">
            <v>20130123</v>
          </cell>
          <cell r="T415" t="str">
            <v>NA</v>
          </cell>
        </row>
        <row r="416">
          <cell r="Q416" t="str">
            <v>20130123</v>
          </cell>
          <cell r="T416" t="str">
            <v>NA</v>
          </cell>
        </row>
        <row r="417">
          <cell r="Q417" t="str">
            <v>20130123</v>
          </cell>
          <cell r="T417" t="str">
            <v>NA</v>
          </cell>
        </row>
        <row r="418">
          <cell r="Q418" t="str">
            <v>20130123</v>
          </cell>
          <cell r="T418" t="str">
            <v>NA</v>
          </cell>
        </row>
        <row r="419">
          <cell r="Q419" t="str">
            <v>20130211</v>
          </cell>
          <cell r="T419" t="str">
            <v>NA</v>
          </cell>
        </row>
        <row r="420">
          <cell r="Q420" t="str">
            <v>20130131</v>
          </cell>
          <cell r="T420" t="str">
            <v>NA</v>
          </cell>
        </row>
        <row r="421">
          <cell r="Q421" t="str">
            <v>20130227</v>
          </cell>
          <cell r="T421" t="str">
            <v>NA</v>
          </cell>
        </row>
        <row r="422">
          <cell r="Q422" t="str">
            <v>20130213</v>
          </cell>
          <cell r="T422" t="str">
            <v>NA</v>
          </cell>
        </row>
        <row r="423">
          <cell r="Q423" t="str">
            <v>20130208</v>
          </cell>
          <cell r="T423" t="str">
            <v>NA</v>
          </cell>
        </row>
        <row r="424">
          <cell r="Q424" t="str">
            <v>20130214</v>
          </cell>
          <cell r="T424" t="str">
            <v>NA</v>
          </cell>
        </row>
        <row r="425">
          <cell r="Q425" t="str">
            <v>20130221</v>
          </cell>
          <cell r="T425" t="str">
            <v>NA</v>
          </cell>
        </row>
        <row r="426">
          <cell r="Q426" t="str">
            <v>Abandonné</v>
          </cell>
          <cell r="T426" t="str">
            <v>NA</v>
          </cell>
        </row>
        <row r="427">
          <cell r="Q427" t="str">
            <v>20130225</v>
          </cell>
          <cell r="T427" t="str">
            <v>NA</v>
          </cell>
        </row>
        <row r="428">
          <cell r="Q428" t="str">
            <v>20130226</v>
          </cell>
          <cell r="T428" t="str">
            <v>NA</v>
          </cell>
        </row>
        <row r="429">
          <cell r="Q429" t="str">
            <v>20130307</v>
          </cell>
          <cell r="T429" t="str">
            <v>NA</v>
          </cell>
        </row>
        <row r="430">
          <cell r="Q430" t="str">
            <v>20130311</v>
          </cell>
          <cell r="T430" t="str">
            <v>NA</v>
          </cell>
        </row>
        <row r="431">
          <cell r="Q431" t="str">
            <v>20130308</v>
          </cell>
          <cell r="T431" t="str">
            <v>NA</v>
          </cell>
        </row>
        <row r="432">
          <cell r="Q432" t="str">
            <v>0</v>
          </cell>
          <cell r="T432" t="str">
            <v>NA</v>
          </cell>
        </row>
        <row r="433">
          <cell r="Q433" t="str">
            <v>20130320</v>
          </cell>
          <cell r="T433" t="str">
            <v>NA</v>
          </cell>
        </row>
        <row r="434">
          <cell r="Q434" t="str">
            <v>20130320</v>
          </cell>
          <cell r="T434" t="str">
            <v>NA</v>
          </cell>
        </row>
        <row r="435">
          <cell r="Q435" t="str">
            <v>20130517</v>
          </cell>
          <cell r="T435" t="str">
            <v>NA</v>
          </cell>
        </row>
        <row r="437">
          <cell r="Q437" t="str">
            <v>20130328</v>
          </cell>
          <cell r="T437" t="str">
            <v>NA</v>
          </cell>
        </row>
        <row r="438">
          <cell r="Q438" t="str">
            <v>20130325</v>
          </cell>
          <cell r="T438" t="str">
            <v>NA</v>
          </cell>
        </row>
        <row r="439">
          <cell r="Q439" t="str">
            <v>20130329</v>
          </cell>
          <cell r="T439" t="str">
            <v>NA</v>
          </cell>
        </row>
        <row r="440">
          <cell r="Q440" t="str">
            <v>20130409</v>
          </cell>
          <cell r="T440" t="str">
            <v>NA</v>
          </cell>
        </row>
        <row r="441">
          <cell r="Q441" t="str">
            <v>20130410</v>
          </cell>
          <cell r="T441" t="str">
            <v>NA</v>
          </cell>
        </row>
        <row r="442">
          <cell r="Q442" t="str">
            <v>20130418</v>
          </cell>
          <cell r="T442" t="str">
            <v>NA</v>
          </cell>
        </row>
        <row r="444">
          <cell r="Q444" t="str">
            <v>20130510</v>
          </cell>
          <cell r="T444" t="str">
            <v>NA</v>
          </cell>
        </row>
        <row r="445">
          <cell r="Q445" t="str">
            <v>20130425</v>
          </cell>
          <cell r="T445" t="str">
            <v>NA</v>
          </cell>
        </row>
        <row r="446">
          <cell r="Q446" t="str">
            <v>20130530</v>
          </cell>
          <cell r="T446" t="str">
            <v>NA</v>
          </cell>
        </row>
        <row r="447">
          <cell r="Q447" t="str">
            <v>20130513</v>
          </cell>
          <cell r="T447" t="str">
            <v>NA</v>
          </cell>
        </row>
        <row r="448">
          <cell r="Q448" t="str">
            <v>20130523</v>
          </cell>
          <cell r="T448" t="str">
            <v>NA</v>
          </cell>
        </row>
        <row r="449">
          <cell r="Q449" t="str">
            <v>20130528</v>
          </cell>
          <cell r="T449" t="str">
            <v>NA</v>
          </cell>
        </row>
        <row r="450">
          <cell r="Q450" t="str">
            <v>20130607</v>
          </cell>
          <cell r="T450" t="str">
            <v>NA</v>
          </cell>
        </row>
        <row r="451">
          <cell r="Q451" t="str">
            <v>20130624</v>
          </cell>
          <cell r="T451" t="str">
            <v>NA</v>
          </cell>
        </row>
        <row r="452">
          <cell r="Q452" t="str">
            <v>20130614</v>
          </cell>
          <cell r="T452" t="str">
            <v>NA</v>
          </cell>
        </row>
        <row r="453">
          <cell r="Q453" t="str">
            <v>20130627</v>
          </cell>
          <cell r="T453" t="str">
            <v>NA</v>
          </cell>
        </row>
        <row r="454">
          <cell r="Q454" t="str">
            <v>20130627</v>
          </cell>
          <cell r="T454" t="str">
            <v>NA</v>
          </cell>
        </row>
        <row r="455">
          <cell r="Q455" t="str">
            <v>20130627</v>
          </cell>
          <cell r="T455" t="str">
            <v>NA</v>
          </cell>
        </row>
        <row r="456">
          <cell r="Q456" t="str">
            <v>20130627</v>
          </cell>
          <cell r="T456" t="str">
            <v>NA</v>
          </cell>
        </row>
        <row r="457">
          <cell r="Q457" t="str">
            <v>20140219</v>
          </cell>
          <cell r="T457" t="str">
            <v>NA</v>
          </cell>
        </row>
        <row r="458">
          <cell r="Q458" t="str">
            <v>20130722</v>
          </cell>
          <cell r="T458" t="str">
            <v>NA</v>
          </cell>
        </row>
        <row r="459">
          <cell r="Q459" t="str">
            <v>20130704</v>
          </cell>
          <cell r="T459" t="str">
            <v>NA</v>
          </cell>
        </row>
        <row r="460">
          <cell r="Q460" t="str">
            <v>20130704</v>
          </cell>
          <cell r="T460" t="str">
            <v>NA</v>
          </cell>
        </row>
        <row r="461">
          <cell r="Q461" t="str">
            <v>20130708</v>
          </cell>
          <cell r="T461" t="str">
            <v>NA</v>
          </cell>
        </row>
        <row r="462">
          <cell r="Q462" t="str">
            <v>20130708</v>
          </cell>
          <cell r="T462" t="str">
            <v>NA</v>
          </cell>
        </row>
        <row r="463">
          <cell r="Q463" t="str">
            <v>20130708</v>
          </cell>
          <cell r="T463" t="str">
            <v>NA</v>
          </cell>
        </row>
        <row r="464">
          <cell r="Q464" t="str">
            <v>20130715</v>
          </cell>
          <cell r="T464" t="str">
            <v>NA</v>
          </cell>
        </row>
        <row r="465">
          <cell r="Q465" t="str">
            <v>20130806</v>
          </cell>
          <cell r="T465" t="str">
            <v>NA</v>
          </cell>
        </row>
        <row r="466">
          <cell r="Q466" t="str">
            <v>20130726</v>
          </cell>
          <cell r="T466" t="str">
            <v>NA</v>
          </cell>
        </row>
        <row r="467">
          <cell r="Q467" t="str">
            <v>20130729</v>
          </cell>
          <cell r="T467" t="str">
            <v>NA</v>
          </cell>
        </row>
        <row r="468">
          <cell r="Q468" t="str">
            <v>20130819</v>
          </cell>
          <cell r="T468" t="str">
            <v>NA</v>
          </cell>
        </row>
        <row r="469">
          <cell r="Q469" t="str">
            <v>20130805</v>
          </cell>
          <cell r="T469" t="str">
            <v>NA</v>
          </cell>
        </row>
        <row r="470">
          <cell r="Q470" t="str">
            <v>20130925</v>
          </cell>
          <cell r="T470" t="str">
            <v>NA</v>
          </cell>
        </row>
        <row r="471">
          <cell r="Q471" t="str">
            <v>20130826</v>
          </cell>
          <cell r="T471" t="str">
            <v>NA</v>
          </cell>
        </row>
        <row r="472">
          <cell r="Q472" t="str">
            <v>20130830</v>
          </cell>
          <cell r="T472" t="str">
            <v>NA</v>
          </cell>
        </row>
        <row r="473">
          <cell r="Q473" t="str">
            <v>20130910</v>
          </cell>
          <cell r="T473" t="str">
            <v>NA</v>
          </cell>
        </row>
        <row r="474">
          <cell r="Q474" t="str">
            <v>20130905</v>
          </cell>
          <cell r="T474" t="str">
            <v>NA</v>
          </cell>
        </row>
        <row r="475">
          <cell r="Q475" t="str">
            <v>20130925</v>
          </cell>
          <cell r="T475" t="str">
            <v>NA</v>
          </cell>
        </row>
        <row r="476">
          <cell r="Q476" t="str">
            <v>20130918</v>
          </cell>
          <cell r="T476" t="str">
            <v>NA</v>
          </cell>
        </row>
        <row r="477">
          <cell r="Q477" t="str">
            <v>20130918</v>
          </cell>
          <cell r="T477" t="str">
            <v>NA</v>
          </cell>
        </row>
        <row r="478">
          <cell r="Q478" t="str">
            <v>20130918</v>
          </cell>
          <cell r="T478" t="str">
            <v>NA</v>
          </cell>
        </row>
        <row r="479">
          <cell r="Q479" t="str">
            <v>20130926</v>
          </cell>
          <cell r="T479" t="str">
            <v>NA</v>
          </cell>
        </row>
        <row r="480">
          <cell r="Q480" t="str">
            <v>20131007</v>
          </cell>
          <cell r="T480" t="str">
            <v>NA</v>
          </cell>
        </row>
        <row r="481">
          <cell r="Q481" t="str">
            <v>20131014</v>
          </cell>
          <cell r="T481" t="str">
            <v>NA</v>
          </cell>
        </row>
        <row r="482">
          <cell r="Q482" t="str">
            <v>20131120</v>
          </cell>
          <cell r="T482" t="str">
            <v>NA</v>
          </cell>
        </row>
        <row r="483">
          <cell r="Q483" t="str">
            <v>20131017</v>
          </cell>
          <cell r="T483" t="str">
            <v>NA</v>
          </cell>
        </row>
        <row r="484">
          <cell r="Q484" t="str">
            <v>20131017</v>
          </cell>
          <cell r="T484" t="str">
            <v>NA</v>
          </cell>
        </row>
        <row r="486">
          <cell r="Q486" t="str">
            <v>20131108</v>
          </cell>
          <cell r="T486" t="str">
            <v>NA</v>
          </cell>
        </row>
        <row r="487">
          <cell r="Q487" t="str">
            <v>20131209</v>
          </cell>
          <cell r="T487" t="str">
            <v>NA</v>
          </cell>
        </row>
        <row r="488">
          <cell r="Q488" t="str">
            <v>20131121</v>
          </cell>
          <cell r="T488" t="str">
            <v>NA</v>
          </cell>
        </row>
        <row r="489">
          <cell r="Q489" t="str">
            <v>20131209</v>
          </cell>
          <cell r="T489" t="str">
            <v>NA</v>
          </cell>
        </row>
        <row r="490">
          <cell r="Q490" t="str">
            <v>20131202</v>
          </cell>
          <cell r="T490" t="str">
            <v>NA</v>
          </cell>
        </row>
        <row r="491">
          <cell r="Q491" t="str">
            <v>20140206</v>
          </cell>
          <cell r="T491" t="str">
            <v>NA</v>
          </cell>
        </row>
        <row r="492">
          <cell r="Q492" t="str">
            <v>20140206</v>
          </cell>
          <cell r="T492" t="str">
            <v>NA</v>
          </cell>
        </row>
        <row r="493">
          <cell r="Q493" t="str">
            <v>20131216</v>
          </cell>
          <cell r="T493" t="str">
            <v>NA</v>
          </cell>
        </row>
        <row r="494">
          <cell r="Q494" t="str">
            <v>20131230</v>
          </cell>
          <cell r="T494" t="str">
            <v>NA</v>
          </cell>
        </row>
        <row r="495">
          <cell r="Q495" t="str">
            <v>20140123</v>
          </cell>
          <cell r="T495" t="str">
            <v>NA</v>
          </cell>
        </row>
        <row r="496">
          <cell r="Q496" t="str">
            <v>20131231</v>
          </cell>
          <cell r="T496" t="str">
            <v>NA</v>
          </cell>
        </row>
        <row r="497">
          <cell r="Q497" t="str">
            <v>20140210</v>
          </cell>
          <cell r="T497" t="str">
            <v>NA</v>
          </cell>
        </row>
        <row r="498">
          <cell r="Q498" t="str">
            <v>20131230</v>
          </cell>
          <cell r="T498" t="str">
            <v>NA</v>
          </cell>
        </row>
        <row r="499">
          <cell r="Q499" t="str">
            <v>20140303b</v>
          </cell>
          <cell r="T499" t="str">
            <v>NA</v>
          </cell>
        </row>
        <row r="501">
          <cell r="Q501" t="str">
            <v>20140108</v>
          </cell>
          <cell r="T501" t="str">
            <v>NA</v>
          </cell>
        </row>
        <row r="502">
          <cell r="Q502" t="str">
            <v>20140117</v>
          </cell>
          <cell r="T502" t="str">
            <v>NA</v>
          </cell>
        </row>
        <row r="503">
          <cell r="Q503" t="str">
            <v>20140204</v>
          </cell>
          <cell r="T503" t="str">
            <v>NA</v>
          </cell>
        </row>
        <row r="504">
          <cell r="Q504" t="str">
            <v>20140120</v>
          </cell>
          <cell r="T504" t="str">
            <v>NA</v>
          </cell>
        </row>
        <row r="505">
          <cell r="Q505" t="str">
            <v>20140122</v>
          </cell>
          <cell r="T505" t="str">
            <v>NA</v>
          </cell>
        </row>
        <row r="506">
          <cell r="Q506" t="str">
            <v>20140123</v>
          </cell>
          <cell r="T506" t="str">
            <v>NA</v>
          </cell>
        </row>
        <row r="507">
          <cell r="Q507" t="str">
            <v>20140303</v>
          </cell>
          <cell r="T507" t="str">
            <v>NA</v>
          </cell>
        </row>
        <row r="508">
          <cell r="Q508" t="str">
            <v>20140306</v>
          </cell>
          <cell r="T508" t="str">
            <v>NA</v>
          </cell>
        </row>
        <row r="509">
          <cell r="Q509" t="str">
            <v>20140203</v>
          </cell>
          <cell r="T509" t="str">
            <v>NA</v>
          </cell>
        </row>
        <row r="510">
          <cell r="Q510" t="str">
            <v>20140212</v>
          </cell>
          <cell r="T510" t="str">
            <v>NA</v>
          </cell>
        </row>
        <row r="511">
          <cell r="Q511" t="str">
            <v>20140224</v>
          </cell>
          <cell r="T511" t="str">
            <v>NA</v>
          </cell>
        </row>
        <row r="512">
          <cell r="Q512" t="str">
            <v>20140227</v>
          </cell>
          <cell r="T512" t="str">
            <v>NA</v>
          </cell>
        </row>
        <row r="513">
          <cell r="Q513" t="str">
            <v>20140303b</v>
          </cell>
          <cell r="T513" t="str">
            <v>NA</v>
          </cell>
        </row>
        <row r="514">
          <cell r="Q514" t="str">
            <v>20140303b</v>
          </cell>
          <cell r="T514" t="str">
            <v>NA</v>
          </cell>
        </row>
        <row r="515">
          <cell r="Q515" t="str">
            <v>20140305</v>
          </cell>
          <cell r="T515" t="str">
            <v>NA</v>
          </cell>
        </row>
        <row r="516">
          <cell r="Q516" t="str">
            <v>20140402b</v>
          </cell>
          <cell r="T516" t="str">
            <v>NA</v>
          </cell>
        </row>
        <row r="517">
          <cell r="Q517" t="str">
            <v>20140307</v>
          </cell>
          <cell r="T517" t="str">
            <v>NA</v>
          </cell>
        </row>
        <row r="518">
          <cell r="Q518" t="str">
            <v>20140521</v>
          </cell>
          <cell r="T518" t="str">
            <v>NA</v>
          </cell>
        </row>
        <row r="519">
          <cell r="Q519" t="str">
            <v>20140319</v>
          </cell>
          <cell r="T519" t="str">
            <v>NA</v>
          </cell>
        </row>
        <row r="520">
          <cell r="Q520" t="str">
            <v>20140402</v>
          </cell>
          <cell r="T520" t="str">
            <v>NA</v>
          </cell>
        </row>
        <row r="521">
          <cell r="Q521" t="str">
            <v>20140321</v>
          </cell>
          <cell r="T521" t="str">
            <v>NA</v>
          </cell>
        </row>
        <row r="523">
          <cell r="Q523" t="str">
            <v>20140429</v>
          </cell>
          <cell r="T523" t="str">
            <v>NA</v>
          </cell>
        </row>
        <row r="524">
          <cell r="Q524" t="str">
            <v>20140507</v>
          </cell>
          <cell r="T524" t="str">
            <v>NA</v>
          </cell>
        </row>
        <row r="525">
          <cell r="Q525" t="str">
            <v>20140521</v>
          </cell>
          <cell r="T525" t="str">
            <v>NA</v>
          </cell>
        </row>
        <row r="526">
          <cell r="Q526" t="str">
            <v>NA</v>
          </cell>
          <cell r="T526" t="str">
            <v>NA</v>
          </cell>
        </row>
        <row r="527">
          <cell r="Q527" t="str">
            <v>NA</v>
          </cell>
          <cell r="T527" t="str">
            <v>NA</v>
          </cell>
        </row>
        <row r="528">
          <cell r="Q528" t="str">
            <v>20140604</v>
          </cell>
          <cell r="T528" t="str">
            <v>NA</v>
          </cell>
        </row>
        <row r="529">
          <cell r="Q529" t="str">
            <v>NA</v>
          </cell>
          <cell r="T529" t="str">
            <v>NA</v>
          </cell>
        </row>
        <row r="530">
          <cell r="Q530" t="str">
            <v>20140604</v>
          </cell>
          <cell r="T530" t="str">
            <v>NA</v>
          </cell>
        </row>
        <row r="531">
          <cell r="Q531" t="str">
            <v>20140527</v>
          </cell>
          <cell r="T531" t="str">
            <v>NA</v>
          </cell>
        </row>
        <row r="532">
          <cell r="Q532" t="str">
            <v>20140620</v>
          </cell>
          <cell r="T532" t="str">
            <v>NA</v>
          </cell>
        </row>
        <row r="533">
          <cell r="Q533" t="str">
            <v>20140721</v>
          </cell>
          <cell r="T533" t="str">
            <v>NA</v>
          </cell>
        </row>
        <row r="534">
          <cell r="Q534" t="str">
            <v>20140721</v>
          </cell>
          <cell r="T534" t="str">
            <v>NA</v>
          </cell>
        </row>
        <row r="535">
          <cell r="Q535" t="str">
            <v>NA</v>
          </cell>
          <cell r="T535" t="str">
            <v>NA</v>
          </cell>
        </row>
        <row r="537">
          <cell r="Q537" t="str">
            <v>20140814</v>
          </cell>
          <cell r="T537" t="str">
            <v>NA</v>
          </cell>
        </row>
        <row r="538">
          <cell r="Q538" t="str">
            <v>20140814</v>
          </cell>
          <cell r="T538" t="str">
            <v>NA</v>
          </cell>
        </row>
        <row r="539">
          <cell r="Q539" t="str">
            <v>NA</v>
          </cell>
          <cell r="T539" t="str">
            <v>NA</v>
          </cell>
        </row>
        <row r="540">
          <cell r="Q540" t="str">
            <v>20141007</v>
          </cell>
          <cell r="T540" t="str">
            <v>NA</v>
          </cell>
        </row>
        <row r="541">
          <cell r="Q541" t="str">
            <v>20140825</v>
          </cell>
          <cell r="T541" t="str">
            <v>NA</v>
          </cell>
        </row>
        <row r="542">
          <cell r="Q542" t="str">
            <v>20140826</v>
          </cell>
          <cell r="T542" t="str">
            <v>NA</v>
          </cell>
        </row>
        <row r="544">
          <cell r="Q544" t="str">
            <v>20140925</v>
          </cell>
          <cell r="T544" t="str">
            <v>NA</v>
          </cell>
        </row>
        <row r="545">
          <cell r="Q545" t="str">
            <v>20140828</v>
          </cell>
          <cell r="T545" t="str">
            <v>NA</v>
          </cell>
        </row>
        <row r="546">
          <cell r="Q546" t="str">
            <v>20140829</v>
          </cell>
          <cell r="T546" t="str">
            <v>NA</v>
          </cell>
        </row>
        <row r="547">
          <cell r="Q547" t="str">
            <v>20140925</v>
          </cell>
          <cell r="T547" t="str">
            <v>NA</v>
          </cell>
        </row>
        <row r="548">
          <cell r="Q548" t="str">
            <v>20141010</v>
          </cell>
          <cell r="T548" t="str">
            <v>NA</v>
          </cell>
        </row>
        <row r="549">
          <cell r="Q549" t="str">
            <v>20140929</v>
          </cell>
          <cell r="T549" t="str">
            <v>NA</v>
          </cell>
        </row>
        <row r="550">
          <cell r="Q550" t="str">
            <v>20141020</v>
          </cell>
          <cell r="T550" t="str">
            <v>NA</v>
          </cell>
        </row>
        <row r="552">
          <cell r="Q552" t="str">
            <v>20141010</v>
          </cell>
          <cell r="T552" t="str">
            <v>NA</v>
          </cell>
        </row>
        <row r="553">
          <cell r="Q553" t="str">
            <v>20141106</v>
          </cell>
          <cell r="T553" t="str">
            <v>NA</v>
          </cell>
        </row>
        <row r="554">
          <cell r="Q554" t="str">
            <v>20141210</v>
          </cell>
          <cell r="T554" t="str">
            <v>NA</v>
          </cell>
        </row>
        <row r="555">
          <cell r="Q555" t="str">
            <v>20141030</v>
          </cell>
          <cell r="T555" t="str">
            <v>NA</v>
          </cell>
        </row>
        <row r="557">
          <cell r="Q557" t="str">
            <v>20141118</v>
          </cell>
          <cell r="T557" t="str">
            <v>NA</v>
          </cell>
        </row>
        <row r="558">
          <cell r="Q558" t="str">
            <v>20141105</v>
          </cell>
          <cell r="T558" t="str">
            <v>NA</v>
          </cell>
        </row>
        <row r="559">
          <cell r="Q559" t="str">
            <v>20150107</v>
          </cell>
          <cell r="T559" t="str">
            <v>NA</v>
          </cell>
        </row>
        <row r="561">
          <cell r="Q561" t="str">
            <v>NA</v>
          </cell>
          <cell r="T561" t="str">
            <v>NA</v>
          </cell>
        </row>
        <row r="564">
          <cell r="Q564" t="str">
            <v>20150108</v>
          </cell>
          <cell r="T564" t="str">
            <v>NA</v>
          </cell>
        </row>
        <row r="565">
          <cell r="Q565" t="str">
            <v>NA</v>
          </cell>
          <cell r="T565" t="str">
            <v>NA</v>
          </cell>
        </row>
        <row r="566">
          <cell r="Q566" t="str">
            <v>20150416</v>
          </cell>
          <cell r="T566" t="str">
            <v>NA</v>
          </cell>
        </row>
        <row r="567">
          <cell r="Q567" t="str">
            <v>20150217</v>
          </cell>
          <cell r="T567" t="str">
            <v>NA</v>
          </cell>
        </row>
        <row r="568">
          <cell r="Q568" t="str">
            <v>20150217</v>
          </cell>
          <cell r="T568" t="str">
            <v>NA</v>
          </cell>
        </row>
        <row r="569">
          <cell r="Q569" t="str">
            <v>NA</v>
          </cell>
          <cell r="T569" t="str">
            <v>NA</v>
          </cell>
        </row>
        <row r="570">
          <cell r="Q570" t="str">
            <v>20150202</v>
          </cell>
          <cell r="T570" t="str">
            <v>NA</v>
          </cell>
        </row>
        <row r="571">
          <cell r="Q571" t="str">
            <v>20150204</v>
          </cell>
          <cell r="T571" t="str">
            <v>NA</v>
          </cell>
        </row>
        <row r="572">
          <cell r="Q572" t="str">
            <v>20150219</v>
          </cell>
          <cell r="T572" t="str">
            <v>NA</v>
          </cell>
        </row>
        <row r="573">
          <cell r="Q573" t="str">
            <v>X</v>
          </cell>
          <cell r="T573" t="str">
            <v>NA</v>
          </cell>
        </row>
        <row r="574">
          <cell r="Q574" t="str">
            <v>20150227</v>
          </cell>
          <cell r="T574" t="str">
            <v>NA</v>
          </cell>
        </row>
        <row r="575">
          <cell r="Q575" t="str">
            <v>20150306</v>
          </cell>
          <cell r="T575" t="str">
            <v>NA</v>
          </cell>
        </row>
        <row r="576">
          <cell r="Q576" t="str">
            <v>20150330</v>
          </cell>
          <cell r="T576" t="str">
            <v>NA</v>
          </cell>
        </row>
        <row r="577">
          <cell r="Q577" t="str">
            <v>X</v>
          </cell>
          <cell r="T577" t="str">
            <v>NA</v>
          </cell>
        </row>
        <row r="578">
          <cell r="Q578" t="str">
            <v>20150317</v>
          </cell>
          <cell r="T578" t="str">
            <v>NA</v>
          </cell>
        </row>
        <row r="579">
          <cell r="Q579" t="str">
            <v>20150630</v>
          </cell>
          <cell r="T579" t="str">
            <v>NA</v>
          </cell>
        </row>
        <row r="580">
          <cell r="Q580" t="str">
            <v>x</v>
          </cell>
          <cell r="T580" t="str">
            <v>NA</v>
          </cell>
        </row>
        <row r="581">
          <cell r="Q581" t="str">
            <v>20150616</v>
          </cell>
          <cell r="T581" t="str">
            <v>NA</v>
          </cell>
        </row>
        <row r="582">
          <cell r="Q582" t="str">
            <v>20150325</v>
          </cell>
          <cell r="T582" t="str">
            <v>NA</v>
          </cell>
        </row>
        <row r="583">
          <cell r="Q583" t="str">
            <v>20150402</v>
          </cell>
          <cell r="T583" t="str">
            <v>NA</v>
          </cell>
        </row>
        <row r="584">
          <cell r="Q584" t="str">
            <v>X</v>
          </cell>
          <cell r="T584" t="str">
            <v>NA</v>
          </cell>
        </row>
        <row r="585">
          <cell r="Q585" t="str">
            <v>20150428</v>
          </cell>
          <cell r="T585" t="str">
            <v>NA</v>
          </cell>
        </row>
        <row r="586">
          <cell r="Q586" t="str">
            <v>20150409</v>
          </cell>
          <cell r="T586" t="str">
            <v>NA</v>
          </cell>
        </row>
        <row r="587">
          <cell r="Q587" t="str">
            <v>20150414</v>
          </cell>
          <cell r="T587" t="str">
            <v>NA</v>
          </cell>
        </row>
        <row r="588">
          <cell r="Q588" t="str">
            <v>20150501</v>
          </cell>
          <cell r="T588" t="str">
            <v>NA</v>
          </cell>
        </row>
        <row r="589">
          <cell r="Q589" t="str">
            <v>20160422</v>
          </cell>
          <cell r="T589" t="str">
            <v>NA</v>
          </cell>
        </row>
        <row r="590">
          <cell r="Q590" t="str">
            <v>0</v>
          </cell>
          <cell r="T590" t="str">
            <v>NA</v>
          </cell>
        </row>
        <row r="592">
          <cell r="Q592" t="str">
            <v>20150522</v>
          </cell>
          <cell r="T592" t="str">
            <v>NA</v>
          </cell>
        </row>
        <row r="593">
          <cell r="Q593" t="str">
            <v>20151022</v>
          </cell>
          <cell r="T593" t="str">
            <v>NA</v>
          </cell>
        </row>
        <row r="594">
          <cell r="Q594" t="str">
            <v>20150525</v>
          </cell>
          <cell r="T594" t="str">
            <v>NA</v>
          </cell>
        </row>
        <row r="595">
          <cell r="Q595" t="str">
            <v>20150601</v>
          </cell>
          <cell r="T595" t="str">
            <v>NA</v>
          </cell>
        </row>
        <row r="596">
          <cell r="Q596" t="str">
            <v>20150601</v>
          </cell>
          <cell r="T596" t="str">
            <v>NA</v>
          </cell>
        </row>
        <row r="597">
          <cell r="Q597" t="str">
            <v>20150604</v>
          </cell>
          <cell r="T597" t="str">
            <v>NA</v>
          </cell>
        </row>
        <row r="598">
          <cell r="Q598" t="str">
            <v>20150604</v>
          </cell>
          <cell r="T598" t="str">
            <v>NA</v>
          </cell>
        </row>
        <row r="599">
          <cell r="Q599" t="str">
            <v>20150609</v>
          </cell>
          <cell r="T599" t="str">
            <v>NA</v>
          </cell>
        </row>
        <row r="600">
          <cell r="Q600" t="str">
            <v>20150706</v>
          </cell>
          <cell r="T600" t="str">
            <v>NA</v>
          </cell>
        </row>
        <row r="601">
          <cell r="Q601" t="str">
            <v>20150617</v>
          </cell>
          <cell r="T601" t="str">
            <v>NA</v>
          </cell>
        </row>
        <row r="603">
          <cell r="Q603" t="str">
            <v>20150624</v>
          </cell>
          <cell r="T603" t="str">
            <v>NA</v>
          </cell>
        </row>
        <row r="604">
          <cell r="Q604" t="str">
            <v>20150701</v>
          </cell>
          <cell r="T604" t="str">
            <v>NA</v>
          </cell>
        </row>
        <row r="605">
          <cell r="Q605" t="str">
            <v>20150727</v>
          </cell>
          <cell r="T605" t="str">
            <v>NA</v>
          </cell>
        </row>
        <row r="606">
          <cell r="Q606" t="str">
            <v>20150727</v>
          </cell>
          <cell r="T606" t="str">
            <v>NA</v>
          </cell>
        </row>
        <row r="607">
          <cell r="Q607" t="str">
            <v>20150714</v>
          </cell>
          <cell r="T607" t="str">
            <v>NA</v>
          </cell>
        </row>
        <row r="608">
          <cell r="Q608" t="str">
            <v>20150724</v>
          </cell>
          <cell r="T608" t="str">
            <v>NA</v>
          </cell>
        </row>
        <row r="609">
          <cell r="Q609" t="str">
            <v>20150727</v>
          </cell>
          <cell r="T609" t="str">
            <v>NA</v>
          </cell>
        </row>
        <row r="610">
          <cell r="Q610" t="str">
            <v>20160113</v>
          </cell>
          <cell r="T610" t="str">
            <v>NA</v>
          </cell>
        </row>
        <row r="611">
          <cell r="Q611" t="str">
            <v>20150728</v>
          </cell>
          <cell r="T611" t="str">
            <v>NA</v>
          </cell>
        </row>
        <row r="612">
          <cell r="Q612" t="str">
            <v>20150810</v>
          </cell>
          <cell r="T612" t="str">
            <v>NA</v>
          </cell>
        </row>
        <row r="614">
          <cell r="Q614" t="str">
            <v>20150827</v>
          </cell>
          <cell r="T614" t="str">
            <v>NA</v>
          </cell>
        </row>
        <row r="616">
          <cell r="Q616" t="str">
            <v>20150904</v>
          </cell>
          <cell r="T616" t="str">
            <v>NA</v>
          </cell>
        </row>
        <row r="617">
          <cell r="Q617" t="str">
            <v>20150904</v>
          </cell>
          <cell r="T617" t="str">
            <v>NA</v>
          </cell>
        </row>
        <row r="618">
          <cell r="Q618" t="str">
            <v>20150916</v>
          </cell>
          <cell r="T618" t="str">
            <v>NA</v>
          </cell>
        </row>
        <row r="619">
          <cell r="Q619" t="str">
            <v>20151207</v>
          </cell>
          <cell r="T619" t="str">
            <v>NA</v>
          </cell>
        </row>
        <row r="620">
          <cell r="Q620" t="str">
            <v>20151006</v>
          </cell>
          <cell r="T620" t="str">
            <v>NA</v>
          </cell>
        </row>
        <row r="621">
          <cell r="Q621" t="str">
            <v>20150923</v>
          </cell>
          <cell r="T621" t="str">
            <v>NA</v>
          </cell>
        </row>
        <row r="622">
          <cell r="Q622" t="str">
            <v>20150930</v>
          </cell>
          <cell r="T622" t="str">
            <v>NA</v>
          </cell>
        </row>
        <row r="623">
          <cell r="Q623" t="str">
            <v>20151009</v>
          </cell>
          <cell r="T623" t="str">
            <v>NA</v>
          </cell>
        </row>
        <row r="624">
          <cell r="Q624" t="str">
            <v>20151022</v>
          </cell>
          <cell r="T624" t="str">
            <v>NA</v>
          </cell>
        </row>
        <row r="625">
          <cell r="Q625" t="str">
            <v>20151016</v>
          </cell>
          <cell r="T625" t="str">
            <v>NA</v>
          </cell>
        </row>
        <row r="626">
          <cell r="Q626" t="str">
            <v>20151023</v>
          </cell>
          <cell r="T626" t="str">
            <v>NA</v>
          </cell>
        </row>
        <row r="627">
          <cell r="Q627" t="str">
            <v>20151030</v>
          </cell>
          <cell r="T627" t="str">
            <v>NA</v>
          </cell>
        </row>
        <row r="628">
          <cell r="Q628" t="str">
            <v>20151106</v>
          </cell>
          <cell r="T628" t="str">
            <v>NA</v>
          </cell>
        </row>
        <row r="629">
          <cell r="Q629" t="str">
            <v>20151111</v>
          </cell>
          <cell r="T629" t="str">
            <v>NA</v>
          </cell>
        </row>
        <row r="630">
          <cell r="Q630" t="str">
            <v>20151120</v>
          </cell>
          <cell r="T630" t="str">
            <v>NA</v>
          </cell>
        </row>
        <row r="631">
          <cell r="Q631" t="str">
            <v>20151127</v>
          </cell>
          <cell r="T631" t="str">
            <v>NA</v>
          </cell>
        </row>
        <row r="632">
          <cell r="Q632" t="str">
            <v>0</v>
          </cell>
          <cell r="T632" t="str">
            <v>NA</v>
          </cell>
        </row>
        <row r="634">
          <cell r="Q634" t="str">
            <v>20151204</v>
          </cell>
          <cell r="T634" t="str">
            <v>NA</v>
          </cell>
        </row>
        <row r="636">
          <cell r="Q636" t="str">
            <v>20160205</v>
          </cell>
          <cell r="T636" t="str">
            <v>NA</v>
          </cell>
        </row>
        <row r="638">
          <cell r="Q638" t="str">
            <v>20160111</v>
          </cell>
          <cell r="T638" t="str">
            <v>NA</v>
          </cell>
        </row>
        <row r="640">
          <cell r="Q640" t="str">
            <v>20151217</v>
          </cell>
          <cell r="T640" t="str">
            <v>NA</v>
          </cell>
        </row>
        <row r="641">
          <cell r="Q641" t="str">
            <v>20151222</v>
          </cell>
          <cell r="T641" t="str">
            <v>NA</v>
          </cell>
        </row>
        <row r="642">
          <cell r="Q642" t="str">
            <v>20151229</v>
          </cell>
          <cell r="T642" t="str">
            <v>NA</v>
          </cell>
        </row>
        <row r="644">
          <cell r="Q644" t="str">
            <v>20160119</v>
          </cell>
          <cell r="T644" t="str">
            <v>NA</v>
          </cell>
        </row>
        <row r="645">
          <cell r="Q645" t="str">
            <v>20160116</v>
          </cell>
          <cell r="T645" t="str">
            <v>NA</v>
          </cell>
        </row>
        <row r="647">
          <cell r="Q647" t="str">
            <v>20160120</v>
          </cell>
          <cell r="T647" t="str">
            <v>NA</v>
          </cell>
        </row>
        <row r="648">
          <cell r="Q648" t="str">
            <v>20170221</v>
          </cell>
          <cell r="T648" t="str">
            <v>NA</v>
          </cell>
        </row>
        <row r="649">
          <cell r="Q649" t="str">
            <v>20160127</v>
          </cell>
          <cell r="T649" t="str">
            <v>NA</v>
          </cell>
        </row>
        <row r="650">
          <cell r="Q650" t="str">
            <v>20160203</v>
          </cell>
          <cell r="T650" t="str">
            <v>NA</v>
          </cell>
        </row>
        <row r="652">
          <cell r="Q652" t="str">
            <v>20160216</v>
          </cell>
          <cell r="T652" t="str">
            <v>NA</v>
          </cell>
        </row>
        <row r="653">
          <cell r="Q653" t="str">
            <v>0</v>
          </cell>
          <cell r="T653" t="str">
            <v>NA</v>
          </cell>
        </row>
        <row r="654">
          <cell r="Q654" t="str">
            <v>20160212</v>
          </cell>
          <cell r="T654" t="str">
            <v>NA</v>
          </cell>
        </row>
        <row r="655">
          <cell r="Q655" t="str">
            <v>20160217</v>
          </cell>
          <cell r="T655" t="str">
            <v>NA</v>
          </cell>
        </row>
        <row r="656">
          <cell r="Q656" t="str">
            <v>20160224</v>
          </cell>
          <cell r="T656" t="str">
            <v>NA</v>
          </cell>
        </row>
        <row r="657">
          <cell r="Q657" t="str">
            <v>20160226</v>
          </cell>
          <cell r="T657" t="str">
            <v>NA</v>
          </cell>
        </row>
        <row r="658">
          <cell r="Q658" t="str">
            <v>20160302</v>
          </cell>
          <cell r="T658" t="str">
            <v>NA</v>
          </cell>
        </row>
        <row r="659">
          <cell r="Q659" t="str">
            <v>20160304</v>
          </cell>
          <cell r="T659" t="str">
            <v>NA</v>
          </cell>
        </row>
        <row r="660">
          <cell r="Q660" t="str">
            <v>20160311</v>
          </cell>
          <cell r="T660" t="str">
            <v>NA</v>
          </cell>
        </row>
        <row r="661">
          <cell r="Q661" t="str">
            <v>20160321</v>
          </cell>
          <cell r="T661" t="str">
            <v>NA</v>
          </cell>
        </row>
        <row r="663">
          <cell r="Q663" t="str">
            <v>20160325</v>
          </cell>
          <cell r="T663" t="str">
            <v>NA</v>
          </cell>
        </row>
        <row r="664">
          <cell r="Q664" t="str">
            <v>20160408</v>
          </cell>
          <cell r="T664" t="str">
            <v>NA</v>
          </cell>
        </row>
        <row r="665">
          <cell r="Q665" t="str">
            <v>20160426</v>
          </cell>
          <cell r="T665" t="str">
            <v>NA</v>
          </cell>
        </row>
        <row r="666">
          <cell r="Q666" t="str">
            <v>20160429</v>
          </cell>
          <cell r="T666" t="str">
            <v>NA</v>
          </cell>
        </row>
        <row r="667">
          <cell r="Q667" t="str">
            <v>20160505</v>
          </cell>
          <cell r="T667" t="str">
            <v>NA</v>
          </cell>
        </row>
        <row r="668">
          <cell r="Q668" t="str">
            <v>20160525</v>
          </cell>
          <cell r="T668" t="str">
            <v>NA</v>
          </cell>
        </row>
        <row r="669">
          <cell r="Q669" t="str">
            <v>20160516</v>
          </cell>
          <cell r="T669" t="str">
            <v>NA</v>
          </cell>
        </row>
        <row r="670">
          <cell r="Q670" t="str">
            <v>20160513</v>
          </cell>
          <cell r="T670" t="str">
            <v>NA</v>
          </cell>
        </row>
        <row r="671">
          <cell r="Q671" t="str">
            <v>20160523</v>
          </cell>
          <cell r="T671" t="str">
            <v>NA</v>
          </cell>
        </row>
        <row r="672">
          <cell r="Q672" t="str">
            <v>20160601</v>
          </cell>
          <cell r="T672" t="str">
            <v>NA</v>
          </cell>
        </row>
        <row r="673">
          <cell r="Q673" t="str">
            <v>20160530</v>
          </cell>
          <cell r="T673" t="str">
            <v>NA</v>
          </cell>
        </row>
        <row r="674">
          <cell r="Q674" t="str">
            <v>20160607</v>
          </cell>
          <cell r="T674" t="str">
            <v>NA</v>
          </cell>
        </row>
        <row r="675">
          <cell r="Q675" t="str">
            <v>20160720</v>
          </cell>
          <cell r="T675" t="str">
            <v>NA</v>
          </cell>
        </row>
        <row r="676">
          <cell r="Q676" t="str">
            <v>20160615</v>
          </cell>
          <cell r="T676" t="str">
            <v>NA</v>
          </cell>
        </row>
        <row r="677">
          <cell r="Q677" t="str">
            <v>20160617</v>
          </cell>
          <cell r="T677" t="str">
            <v>NA</v>
          </cell>
        </row>
        <row r="678">
          <cell r="Q678" t="str">
            <v>20160622</v>
          </cell>
          <cell r="T678" t="str">
            <v>NA</v>
          </cell>
        </row>
        <row r="679">
          <cell r="Q679" t="str">
            <v>20160627</v>
          </cell>
          <cell r="T679" t="str">
            <v>NA</v>
          </cell>
        </row>
        <row r="680">
          <cell r="Q680" t="str">
            <v>20170221</v>
          </cell>
          <cell r="T680" t="str">
            <v>NA</v>
          </cell>
        </row>
        <row r="682">
          <cell r="Q682" t="str">
            <v>20160624</v>
          </cell>
          <cell r="T682" t="str">
            <v>NA</v>
          </cell>
        </row>
        <row r="683">
          <cell r="Q683" t="str">
            <v>20160712</v>
          </cell>
          <cell r="T683" t="str">
            <v>NA</v>
          </cell>
        </row>
        <row r="684">
          <cell r="Q684" t="str">
            <v>20160629</v>
          </cell>
          <cell r="T684" t="str">
            <v>NA</v>
          </cell>
        </row>
        <row r="686">
          <cell r="Q686" t="str">
            <v>20160720</v>
          </cell>
          <cell r="T686" t="str">
            <v>NA</v>
          </cell>
        </row>
        <row r="687">
          <cell r="Q687" t="str">
            <v>20160713</v>
          </cell>
          <cell r="T687" t="str">
            <v>NA</v>
          </cell>
        </row>
        <row r="688">
          <cell r="Q688" t="str">
            <v>20160720</v>
          </cell>
          <cell r="T688" t="str">
            <v>NA</v>
          </cell>
        </row>
        <row r="689">
          <cell r="Q689" t="str">
            <v>201607209</v>
          </cell>
          <cell r="T689" t="str">
            <v>NA</v>
          </cell>
        </row>
        <row r="690">
          <cell r="Q690" t="str">
            <v>20160823</v>
          </cell>
          <cell r="T690" t="str">
            <v>NA</v>
          </cell>
        </row>
        <row r="692">
          <cell r="Q692" t="str">
            <v>20160902</v>
          </cell>
          <cell r="T692" t="str">
            <v>NA</v>
          </cell>
        </row>
        <row r="694">
          <cell r="Q694" t="str">
            <v>20160908</v>
          </cell>
          <cell r="T694" t="str">
            <v>NA</v>
          </cell>
        </row>
        <row r="695">
          <cell r="Q695" t="str">
            <v>20160908</v>
          </cell>
          <cell r="T695" t="str">
            <v>NA</v>
          </cell>
        </row>
        <row r="696">
          <cell r="Q696" t="str">
            <v>20160915</v>
          </cell>
          <cell r="T696" t="str">
            <v>NA</v>
          </cell>
        </row>
        <row r="697">
          <cell r="Q697" t="str">
            <v>20160916</v>
          </cell>
          <cell r="T697" t="str">
            <v>NA</v>
          </cell>
        </row>
        <row r="698">
          <cell r="Q698" t="str">
            <v>20160922</v>
          </cell>
          <cell r="T698" t="str">
            <v>NA</v>
          </cell>
        </row>
        <row r="700">
          <cell r="Q700" t="str">
            <v>20160928</v>
          </cell>
          <cell r="T700" t="str">
            <v>NA</v>
          </cell>
        </row>
        <row r="701">
          <cell r="Q701" t="str">
            <v>20161012</v>
          </cell>
          <cell r="T701" t="str">
            <v>NA</v>
          </cell>
        </row>
        <row r="702">
          <cell r="Q702" t="str">
            <v>20161014</v>
          </cell>
          <cell r="T702" t="str">
            <v>NA</v>
          </cell>
        </row>
        <row r="704">
          <cell r="Q704" t="str">
            <v>20161027</v>
          </cell>
          <cell r="T704" t="str">
            <v>NA</v>
          </cell>
        </row>
        <row r="705">
          <cell r="Q705" t="str">
            <v>20161018</v>
          </cell>
          <cell r="T705" t="str">
            <v>NA</v>
          </cell>
        </row>
        <row r="706">
          <cell r="Q706" t="str">
            <v>20170109</v>
          </cell>
          <cell r="T706" t="str">
            <v>NA</v>
          </cell>
        </row>
        <row r="707">
          <cell r="Q707" t="str">
            <v>20161027</v>
          </cell>
          <cell r="T707" t="str">
            <v>NA</v>
          </cell>
        </row>
        <row r="709">
          <cell r="Q709" t="str">
            <v>20161109</v>
          </cell>
          <cell r="T709" t="str">
            <v>NA</v>
          </cell>
        </row>
        <row r="710">
          <cell r="Q710" t="str">
            <v>20161109</v>
          </cell>
          <cell r="T710" t="str">
            <v>NA</v>
          </cell>
        </row>
        <row r="711">
          <cell r="Q711" t="str">
            <v>20161027</v>
          </cell>
          <cell r="T711" t="str">
            <v>NA</v>
          </cell>
        </row>
        <row r="712">
          <cell r="Q712" t="str">
            <v>20161111</v>
          </cell>
          <cell r="T712" t="str">
            <v>NA</v>
          </cell>
        </row>
        <row r="713">
          <cell r="Q713" t="str">
            <v>20161111</v>
          </cell>
          <cell r="T713" t="str">
            <v>NA</v>
          </cell>
        </row>
        <row r="714">
          <cell r="Q714" t="str">
            <v>20161118</v>
          </cell>
          <cell r="T714" t="str">
            <v>NA</v>
          </cell>
        </row>
        <row r="715">
          <cell r="Q715" t="str">
            <v>20170105</v>
          </cell>
          <cell r="T715" t="str">
            <v>NA</v>
          </cell>
        </row>
        <row r="716">
          <cell r="Q716" t="str">
            <v>20161118</v>
          </cell>
          <cell r="T716" t="str">
            <v>NA</v>
          </cell>
        </row>
        <row r="717">
          <cell r="Q717" t="str">
            <v>20161128</v>
          </cell>
          <cell r="T717" t="str">
            <v>NA</v>
          </cell>
        </row>
        <row r="718">
          <cell r="Q718" t="str">
            <v>20170117</v>
          </cell>
          <cell r="T718" t="str">
            <v>NA</v>
          </cell>
        </row>
        <row r="719">
          <cell r="Q719" t="str">
            <v>20161202</v>
          </cell>
          <cell r="T719" t="str">
            <v>NA</v>
          </cell>
        </row>
        <row r="720">
          <cell r="Q720" t="str">
            <v>20161215</v>
          </cell>
          <cell r="T720" t="str">
            <v>NA</v>
          </cell>
        </row>
        <row r="721">
          <cell r="Q721" t="str">
            <v>20161215</v>
          </cell>
          <cell r="T721" t="str">
            <v>NA</v>
          </cell>
        </row>
        <row r="723">
          <cell r="Q723" t="str">
            <v>20161215</v>
          </cell>
          <cell r="T723" t="str">
            <v>NA</v>
          </cell>
        </row>
        <row r="724">
          <cell r="Q724" t="str">
            <v>20161226</v>
          </cell>
          <cell r="T724" t="str">
            <v>NA</v>
          </cell>
        </row>
        <row r="728">
          <cell r="Q728" t="str">
            <v>20161223</v>
          </cell>
          <cell r="T728" t="str">
            <v>NA</v>
          </cell>
        </row>
        <row r="729">
          <cell r="Q729" t="str">
            <v>20161223</v>
          </cell>
          <cell r="T729" t="str">
            <v>NA</v>
          </cell>
        </row>
        <row r="731">
          <cell r="Q731" t="str">
            <v>20170110</v>
          </cell>
          <cell r="T731" t="str">
            <v>NA</v>
          </cell>
        </row>
        <row r="732">
          <cell r="Q732" t="str">
            <v>20170112</v>
          </cell>
          <cell r="T732" t="str">
            <v>NA</v>
          </cell>
        </row>
        <row r="733">
          <cell r="Q733" t="str">
            <v>20170113</v>
          </cell>
          <cell r="T733" t="str">
            <v>NA</v>
          </cell>
        </row>
        <row r="734">
          <cell r="Q734" t="str">
            <v>20170120</v>
          </cell>
          <cell r="T734" t="str">
            <v>NA</v>
          </cell>
        </row>
        <row r="735">
          <cell r="Q735" t="str">
            <v>20170131</v>
          </cell>
          <cell r="T735" t="str">
            <v>NA</v>
          </cell>
        </row>
        <row r="736">
          <cell r="Q736" t="str">
            <v>20170207</v>
          </cell>
          <cell r="T736" t="str">
            <v>NA</v>
          </cell>
        </row>
        <row r="737">
          <cell r="Q737" t="str">
            <v>2016</v>
          </cell>
          <cell r="T737" t="str">
            <v>NA</v>
          </cell>
        </row>
        <row r="738">
          <cell r="Q738" t="str">
            <v>20170209</v>
          </cell>
          <cell r="T738" t="str">
            <v>NA</v>
          </cell>
        </row>
        <row r="739">
          <cell r="Q739" t="str">
            <v>20170214</v>
          </cell>
          <cell r="T739" t="str">
            <v>NA</v>
          </cell>
        </row>
        <row r="740">
          <cell r="Q740" t="str">
            <v>20170221</v>
          </cell>
          <cell r="T740" t="str">
            <v>NA</v>
          </cell>
        </row>
        <row r="741">
          <cell r="Q741" t="str">
            <v>20170222</v>
          </cell>
          <cell r="T741" t="str">
            <v>NA</v>
          </cell>
        </row>
        <row r="742">
          <cell r="Q742" t="str">
            <v>20170310</v>
          </cell>
          <cell r="T742" t="str">
            <v>NA</v>
          </cell>
        </row>
        <row r="743">
          <cell r="Q743" t="str">
            <v>20170316</v>
          </cell>
          <cell r="T743" t="str">
            <v>NA</v>
          </cell>
        </row>
        <row r="744">
          <cell r="Q744" t="str">
            <v>20170313</v>
          </cell>
          <cell r="T744" t="str">
            <v>NA</v>
          </cell>
        </row>
        <row r="745">
          <cell r="Q745" t="str">
            <v>20170328</v>
          </cell>
          <cell r="T745" t="str">
            <v>NA</v>
          </cell>
        </row>
        <row r="746">
          <cell r="Q746" t="str">
            <v>20170320</v>
          </cell>
          <cell r="T746" t="str">
            <v>NA</v>
          </cell>
        </row>
        <row r="747">
          <cell r="Q747" t="str">
            <v>20170403</v>
          </cell>
          <cell r="T747" t="str">
            <v>NA</v>
          </cell>
        </row>
        <row r="748">
          <cell r="Q748" t="str">
            <v>20170329</v>
          </cell>
          <cell r="T748" t="str">
            <v>NA</v>
          </cell>
        </row>
        <row r="750">
          <cell r="Q750" t="str">
            <v>20170330</v>
          </cell>
          <cell r="T750" t="str">
            <v>NA</v>
          </cell>
        </row>
        <row r="751">
          <cell r="Q751" t="str">
            <v>20170331</v>
          </cell>
          <cell r="T751" t="str">
            <v>NA</v>
          </cell>
        </row>
        <row r="752">
          <cell r="Q752" t="str">
            <v>20170418</v>
          </cell>
          <cell r="T752" t="str">
            <v>NA</v>
          </cell>
        </row>
        <row r="753">
          <cell r="Q753" t="str">
            <v>20170405</v>
          </cell>
          <cell r="T753" t="str">
            <v>NA</v>
          </cell>
        </row>
        <row r="754">
          <cell r="Q754" t="str">
            <v>20170407</v>
          </cell>
          <cell r="T754" t="str">
            <v>NA</v>
          </cell>
        </row>
        <row r="755">
          <cell r="Q755" t="str">
            <v>20170411</v>
          </cell>
          <cell r="T755" t="str">
            <v>NA</v>
          </cell>
        </row>
        <row r="756">
          <cell r="Q756" t="str">
            <v>20170414</v>
          </cell>
          <cell r="T756" t="str">
            <v>NA</v>
          </cell>
        </row>
        <row r="757">
          <cell r="Q757" t="str">
            <v>20170426</v>
          </cell>
          <cell r="T757" t="str">
            <v>NA</v>
          </cell>
        </row>
        <row r="758">
          <cell r="Q758" t="str">
            <v>20170516</v>
          </cell>
          <cell r="T758" t="str">
            <v>NA</v>
          </cell>
        </row>
        <row r="759">
          <cell r="Q759" t="str">
            <v>20170623</v>
          </cell>
          <cell r="T759" t="str">
            <v>NA</v>
          </cell>
        </row>
        <row r="760">
          <cell r="Q760" t="str">
            <v>20170504</v>
          </cell>
          <cell r="T760" t="str">
            <v>NA</v>
          </cell>
        </row>
        <row r="761">
          <cell r="Q761" t="str">
            <v>20170504</v>
          </cell>
          <cell r="T761" t="str">
            <v>NA</v>
          </cell>
        </row>
        <row r="762">
          <cell r="Q762" t="str">
            <v>20170516</v>
          </cell>
          <cell r="T762" t="str">
            <v>NA</v>
          </cell>
        </row>
        <row r="763">
          <cell r="Q763" t="str">
            <v>20170623</v>
          </cell>
          <cell r="T763" t="str">
            <v>NA</v>
          </cell>
        </row>
        <row r="764">
          <cell r="Q764" t="str">
            <v>20170623</v>
          </cell>
          <cell r="T764" t="str">
            <v>NA</v>
          </cell>
        </row>
        <row r="765">
          <cell r="Q765" t="str">
            <v>20170623</v>
          </cell>
          <cell r="T765" t="str">
            <v>NA</v>
          </cell>
        </row>
        <row r="768">
          <cell r="Q768" t="str">
            <v>20170519</v>
          </cell>
          <cell r="T768" t="str">
            <v>NA</v>
          </cell>
        </row>
        <row r="769">
          <cell r="Q769" t="str">
            <v>20170516</v>
          </cell>
          <cell r="T769" t="str">
            <v>NA</v>
          </cell>
        </row>
        <row r="770">
          <cell r="Q770" t="str">
            <v>20170524</v>
          </cell>
          <cell r="T770" t="str">
            <v>NA</v>
          </cell>
        </row>
        <row r="774">
          <cell r="Q774" t="str">
            <v>20170601</v>
          </cell>
          <cell r="T774" t="str">
            <v>NA</v>
          </cell>
        </row>
        <row r="775">
          <cell r="Q775" t="str">
            <v>20170531</v>
          </cell>
          <cell r="T775" t="str">
            <v>NA</v>
          </cell>
        </row>
        <row r="776">
          <cell r="Q776" t="str">
            <v>20170605</v>
          </cell>
          <cell r="T776" t="str">
            <v>NA</v>
          </cell>
        </row>
        <row r="777">
          <cell r="Q777" t="str">
            <v>20170608</v>
          </cell>
          <cell r="T777" t="str">
            <v>NA</v>
          </cell>
        </row>
        <row r="779">
          <cell r="Q779" t="str">
            <v>20170614</v>
          </cell>
          <cell r="T779" t="str">
            <v>NA</v>
          </cell>
        </row>
        <row r="780">
          <cell r="Q780" t="str">
            <v>20170619</v>
          </cell>
          <cell r="T780" t="str">
            <v>NA</v>
          </cell>
        </row>
        <row r="781">
          <cell r="Q781" t="str">
            <v>20170719</v>
          </cell>
          <cell r="T781" t="str">
            <v>NA</v>
          </cell>
        </row>
        <row r="784">
          <cell r="Q784" t="str">
            <v>20170630</v>
          </cell>
          <cell r="T784" t="str">
            <v>NA</v>
          </cell>
        </row>
        <row r="785">
          <cell r="Q785" t="str">
            <v>20170707</v>
          </cell>
          <cell r="T785" t="str">
            <v>NA</v>
          </cell>
        </row>
        <row r="786">
          <cell r="Q786" t="str">
            <v>20170711</v>
          </cell>
          <cell r="T786" t="str">
            <v>NA</v>
          </cell>
        </row>
        <row r="787">
          <cell r="Q787" t="str">
            <v>20170707</v>
          </cell>
          <cell r="T787" t="str">
            <v>NA</v>
          </cell>
        </row>
        <row r="788">
          <cell r="Q788" t="str">
            <v>20170717</v>
          </cell>
          <cell r="T788" t="str">
            <v>NA</v>
          </cell>
        </row>
        <row r="789">
          <cell r="Q789" t="str">
            <v>20170719</v>
          </cell>
          <cell r="T789" t="str">
            <v>NA</v>
          </cell>
        </row>
        <row r="790">
          <cell r="Q790" t="str">
            <v>20170724</v>
          </cell>
          <cell r="T790" t="str">
            <v>NA</v>
          </cell>
        </row>
        <row r="792">
          <cell r="Q792" t="str">
            <v>20170726</v>
          </cell>
          <cell r="T792" t="str">
            <v>NA</v>
          </cell>
        </row>
        <row r="793">
          <cell r="Q793" t="str">
            <v>20170804</v>
          </cell>
          <cell r="T793" t="str">
            <v>NA</v>
          </cell>
        </row>
        <row r="794">
          <cell r="Q794" t="str">
            <v>20170808</v>
          </cell>
          <cell r="T794" t="str">
            <v>NA</v>
          </cell>
        </row>
        <row r="795">
          <cell r="Q795" t="str">
            <v>20170915</v>
          </cell>
          <cell r="T795" t="str">
            <v>NA</v>
          </cell>
        </row>
        <row r="796">
          <cell r="Q796" t="str">
            <v>20170908</v>
          </cell>
          <cell r="T796" t="str">
            <v>NA</v>
          </cell>
        </row>
        <row r="798">
          <cell r="Q798" t="str">
            <v>20170912</v>
          </cell>
          <cell r="T798" t="str">
            <v>NA</v>
          </cell>
        </row>
        <row r="799">
          <cell r="Q799" t="str">
            <v>20170925</v>
          </cell>
          <cell r="T799" t="str">
            <v>NA</v>
          </cell>
        </row>
        <row r="801">
          <cell r="Q801" t="str">
            <v>20171003</v>
          </cell>
          <cell r="T801" t="str">
            <v>NA</v>
          </cell>
        </row>
        <row r="802">
          <cell r="Q802" t="str">
            <v>20170918</v>
          </cell>
          <cell r="T802" t="str">
            <v>NA</v>
          </cell>
        </row>
        <row r="804">
          <cell r="Q804" t="str">
            <v>20170920</v>
          </cell>
          <cell r="T804" t="str">
            <v>NA</v>
          </cell>
        </row>
        <row r="805">
          <cell r="Q805" t="str">
            <v>20170925</v>
          </cell>
          <cell r="T805" t="str">
            <v>NA</v>
          </cell>
        </row>
        <row r="806">
          <cell r="Q806" t="str">
            <v>20171004</v>
          </cell>
          <cell r="T806" t="str">
            <v>NA</v>
          </cell>
        </row>
        <row r="807">
          <cell r="Q807" t="str">
            <v>20171011</v>
          </cell>
          <cell r="T807" t="str">
            <v>NA</v>
          </cell>
        </row>
        <row r="808">
          <cell r="Q808" t="str">
            <v>20171028</v>
          </cell>
          <cell r="T808" t="str">
            <v>NA</v>
          </cell>
        </row>
        <row r="809">
          <cell r="Q809" t="str">
            <v>20171012</v>
          </cell>
          <cell r="T809" t="str">
            <v>NA</v>
          </cell>
        </row>
        <row r="810">
          <cell r="Q810" t="str">
            <v>20171024</v>
          </cell>
          <cell r="T810" t="str">
            <v>NA</v>
          </cell>
        </row>
        <row r="811">
          <cell r="Q811" t="str">
            <v>20171030</v>
          </cell>
          <cell r="T811" t="str">
            <v>NA</v>
          </cell>
        </row>
        <row r="813">
          <cell r="Q813" t="str">
            <v>20171115</v>
          </cell>
          <cell r="T813" t="str">
            <v>NA</v>
          </cell>
        </row>
        <row r="815">
          <cell r="Q815" t="str">
            <v>20171127</v>
          </cell>
          <cell r="T815" t="str">
            <v>NA</v>
          </cell>
        </row>
        <row r="816">
          <cell r="Q816" t="str">
            <v>20171128</v>
          </cell>
          <cell r="T816" t="str">
            <v>NA</v>
          </cell>
        </row>
        <row r="817">
          <cell r="Q817" t="str">
            <v>20171206</v>
          </cell>
          <cell r="T817" t="str">
            <v>NA</v>
          </cell>
        </row>
        <row r="819">
          <cell r="Q819" t="str">
            <v>20170613</v>
          </cell>
          <cell r="T819" t="str">
            <v>NA</v>
          </cell>
        </row>
        <row r="820">
          <cell r="Q820" t="str">
            <v>20170619</v>
          </cell>
          <cell r="T820" t="str">
            <v>NA</v>
          </cell>
        </row>
        <row r="824">
          <cell r="Q824" t="str">
            <v>20180117</v>
          </cell>
          <cell r="T824" t="str">
            <v>NA</v>
          </cell>
        </row>
        <row r="825">
          <cell r="Q825" t="str">
            <v>20180124</v>
          </cell>
          <cell r="T825" t="str">
            <v>NA</v>
          </cell>
        </row>
        <row r="826">
          <cell r="Q826" t="str">
            <v>20180124</v>
          </cell>
          <cell r="T826" t="str">
            <v>NA</v>
          </cell>
        </row>
        <row r="828">
          <cell r="Q828" t="str">
            <v>20180206</v>
          </cell>
          <cell r="T828" t="str">
            <v>NA</v>
          </cell>
        </row>
        <row r="830">
          <cell r="Q830" t="str">
            <v>20180206</v>
          </cell>
          <cell r="T830" t="str">
            <v>NA</v>
          </cell>
        </row>
        <row r="832">
          <cell r="Q832" t="str">
            <v>20180227</v>
          </cell>
          <cell r="T832" t="str">
            <v>NA</v>
          </cell>
        </row>
        <row r="833">
          <cell r="Q833" t="str">
            <v>OK</v>
          </cell>
          <cell r="T833" t="str">
            <v>NA</v>
          </cell>
        </row>
        <row r="834">
          <cell r="Q834" t="str">
            <v>20180323</v>
          </cell>
          <cell r="T834" t="str">
            <v>NA</v>
          </cell>
        </row>
        <row r="835">
          <cell r="Q835" t="str">
            <v>20180323</v>
          </cell>
          <cell r="T835" t="str">
            <v>NA</v>
          </cell>
        </row>
        <row r="836">
          <cell r="Q836" t="str">
            <v>20180328</v>
          </cell>
          <cell r="T836" t="str">
            <v>NA</v>
          </cell>
        </row>
        <row r="837">
          <cell r="Q837" t="str">
            <v>20180321</v>
          </cell>
          <cell r="T837" t="str">
            <v>NA</v>
          </cell>
        </row>
        <row r="838">
          <cell r="Q838" t="str">
            <v>20180328</v>
          </cell>
          <cell r="T838" t="str">
            <v>NA</v>
          </cell>
        </row>
        <row r="839">
          <cell r="Q839" t="str">
            <v>20180410</v>
          </cell>
          <cell r="T839" t="str">
            <v>NA</v>
          </cell>
        </row>
        <row r="840">
          <cell r="Q840" t="str">
            <v>30180430</v>
          </cell>
          <cell r="T840" t="str">
            <v>NA</v>
          </cell>
        </row>
        <row r="841">
          <cell r="Q841" t="str">
            <v>20180424</v>
          </cell>
          <cell r="T841" t="str">
            <v>NA</v>
          </cell>
        </row>
        <row r="842">
          <cell r="Q842" t="str">
            <v>20180425</v>
          </cell>
          <cell r="T842" t="str">
            <v>NA</v>
          </cell>
        </row>
        <row r="843">
          <cell r="Q843" t="str">
            <v>20180425</v>
          </cell>
          <cell r="T843" t="str">
            <v>NA</v>
          </cell>
        </row>
        <row r="844">
          <cell r="Q844" t="str">
            <v>20180501</v>
          </cell>
          <cell r="T844" t="str">
            <v>NA</v>
          </cell>
        </row>
        <row r="846">
          <cell r="Q846" t="str">
            <v>20180510</v>
          </cell>
          <cell r="T846" t="str">
            <v>NA</v>
          </cell>
        </row>
        <row r="847">
          <cell r="Q847" t="str">
            <v>20180516</v>
          </cell>
          <cell r="T847" t="str">
            <v>NA</v>
          </cell>
        </row>
        <row r="848">
          <cell r="Q848" t="str">
            <v>20180605</v>
          </cell>
          <cell r="T848" t="str">
            <v>NA</v>
          </cell>
        </row>
        <row r="849">
          <cell r="Q849" t="str">
            <v>20180613</v>
          </cell>
          <cell r="T849" t="str">
            <v>NA</v>
          </cell>
        </row>
        <row r="851">
          <cell r="Q851" t="str">
            <v>20180606</v>
          </cell>
          <cell r="T851" t="str">
            <v>NA</v>
          </cell>
        </row>
        <row r="852">
          <cell r="Q852" t="str">
            <v>20180611</v>
          </cell>
          <cell r="T852" t="str">
            <v>NA</v>
          </cell>
        </row>
        <row r="853">
          <cell r="Q853" t="str">
            <v>20180627</v>
          </cell>
          <cell r="T853" t="str">
            <v>NA</v>
          </cell>
        </row>
        <row r="854">
          <cell r="Q854" t="str">
            <v>20180627</v>
          </cell>
          <cell r="T854" t="str">
            <v>NA</v>
          </cell>
        </row>
        <row r="855">
          <cell r="Q855" t="str">
            <v>20180716</v>
          </cell>
          <cell r="T855" t="str">
            <v>NA</v>
          </cell>
        </row>
        <row r="856">
          <cell r="Q856" t="str">
            <v>20180711</v>
          </cell>
          <cell r="T856" t="str">
            <v>NA</v>
          </cell>
        </row>
        <row r="857">
          <cell r="Q857" t="str">
            <v>20180711</v>
          </cell>
          <cell r="T857" t="str">
            <v>NA</v>
          </cell>
        </row>
        <row r="858">
          <cell r="Q858" t="str">
            <v>20180717</v>
          </cell>
          <cell r="T858" t="str">
            <v>NA</v>
          </cell>
        </row>
        <row r="861">
          <cell r="Q861" t="str">
            <v>20180725</v>
          </cell>
          <cell r="T861" t="str">
            <v>NA</v>
          </cell>
        </row>
        <row r="862">
          <cell r="Q862" t="str">
            <v>20180720</v>
          </cell>
          <cell r="T862" t="str">
            <v>NA</v>
          </cell>
        </row>
        <row r="863">
          <cell r="Q863" t="str">
            <v>20180731</v>
          </cell>
          <cell r="T863" t="str">
            <v>NA</v>
          </cell>
        </row>
        <row r="864">
          <cell r="Q864" t="str">
            <v>20180807</v>
          </cell>
          <cell r="T864" t="str">
            <v>NA</v>
          </cell>
        </row>
        <row r="865">
          <cell r="Q865" t="str">
            <v>20180904</v>
          </cell>
          <cell r="T865" t="str">
            <v>NA</v>
          </cell>
        </row>
        <row r="866">
          <cell r="Q866" t="str">
            <v>20180911</v>
          </cell>
          <cell r="T866" t="str">
            <v>NA</v>
          </cell>
        </row>
        <row r="868">
          <cell r="Q868" t="str">
            <v>20181008</v>
          </cell>
          <cell r="T868" t="str">
            <v>NA</v>
          </cell>
        </row>
        <row r="870">
          <cell r="Q870" t="str">
            <v>20181002</v>
          </cell>
          <cell r="T870" t="str">
            <v>NA</v>
          </cell>
        </row>
        <row r="871">
          <cell r="Q871" t="str">
            <v>20180918</v>
          </cell>
          <cell r="T871" t="str">
            <v>NA</v>
          </cell>
        </row>
        <row r="872">
          <cell r="Q872" t="str">
            <v>20181002</v>
          </cell>
          <cell r="T872" t="str">
            <v>NA</v>
          </cell>
        </row>
        <row r="873">
          <cell r="Q873" t="str">
            <v>20181008</v>
          </cell>
          <cell r="T873" t="str">
            <v>NA</v>
          </cell>
        </row>
        <row r="874">
          <cell r="Q874" t="str">
            <v>20181008</v>
          </cell>
          <cell r="T874" t="str">
            <v>NA</v>
          </cell>
        </row>
        <row r="875">
          <cell r="Q875" t="str">
            <v>20181120</v>
          </cell>
          <cell r="T875" t="str">
            <v>NA</v>
          </cell>
        </row>
        <row r="876">
          <cell r="Q876" t="str">
            <v>20181008</v>
          </cell>
          <cell r="T876" t="str">
            <v>NA</v>
          </cell>
        </row>
        <row r="878">
          <cell r="Q878" t="str">
            <v>20181002</v>
          </cell>
          <cell r="T878" t="str">
            <v>NA</v>
          </cell>
        </row>
        <row r="879">
          <cell r="Q879" t="str">
            <v>20181002</v>
          </cell>
          <cell r="T879" t="str">
            <v>NA</v>
          </cell>
        </row>
        <row r="880">
          <cell r="Q880" t="str">
            <v>20181019</v>
          </cell>
          <cell r="T880" t="str">
            <v>NA</v>
          </cell>
        </row>
        <row r="881">
          <cell r="Q881" t="str">
            <v>20181120</v>
          </cell>
          <cell r="T881" t="str">
            <v>NA</v>
          </cell>
        </row>
        <row r="882">
          <cell r="Q882" t="str">
            <v>20181030</v>
          </cell>
          <cell r="T882" t="str">
            <v>NA</v>
          </cell>
        </row>
        <row r="883">
          <cell r="Q883" t="str">
            <v>20181107</v>
          </cell>
          <cell r="T883" t="str">
            <v>NA</v>
          </cell>
        </row>
        <row r="884">
          <cell r="Q884" t="str">
            <v>NA</v>
          </cell>
          <cell r="T884" t="str">
            <v>ME-20190212</v>
          </cell>
        </row>
        <row r="886">
          <cell r="Q886" t="str">
            <v>20181130</v>
          </cell>
          <cell r="T886" t="str">
            <v>NA</v>
          </cell>
        </row>
        <row r="887">
          <cell r="Q887" t="str">
            <v>20181213</v>
          </cell>
          <cell r="T887" t="str">
            <v>NA</v>
          </cell>
        </row>
        <row r="890">
          <cell r="Q890" t="str">
            <v>20181204</v>
          </cell>
          <cell r="T890" t="str">
            <v>NA</v>
          </cell>
        </row>
        <row r="891">
          <cell r="Q891" t="str">
            <v>20181213</v>
          </cell>
        </row>
        <row r="893">
          <cell r="Q893" t="str">
            <v>20181219</v>
          </cell>
          <cell r="T893" t="str">
            <v>NA</v>
          </cell>
        </row>
        <row r="895">
          <cell r="Q895" t="str">
            <v>GS-20181231</v>
          </cell>
          <cell r="T895" t="str">
            <v>ME-20190212</v>
          </cell>
        </row>
        <row r="897">
          <cell r="Q897" t="str">
            <v>GS-20181231</v>
          </cell>
          <cell r="T897" t="str">
            <v>NA</v>
          </cell>
        </row>
        <row r="899">
          <cell r="Q899" t="str">
            <v>-</v>
          </cell>
          <cell r="T899" t="str">
            <v>-</v>
          </cell>
        </row>
        <row r="900">
          <cell r="Q900" t="str">
            <v>GS-20180109</v>
          </cell>
          <cell r="T900" t="str">
            <v>NA</v>
          </cell>
        </row>
        <row r="901">
          <cell r="Q901" t="str">
            <v>ME-20190118</v>
          </cell>
          <cell r="T901" t="str">
            <v>na</v>
          </cell>
        </row>
        <row r="902">
          <cell r="Q902" t="str">
            <v>ME-20190314</v>
          </cell>
          <cell r="T902" t="str">
            <v>GS-20190319</v>
          </cell>
        </row>
        <row r="903">
          <cell r="Q903" t="str">
            <v>ME-20190314</v>
          </cell>
          <cell r="T903" t="str">
            <v>NA</v>
          </cell>
        </row>
        <row r="904">
          <cell r="Q904" t="str">
            <v>ME-20190314</v>
          </cell>
          <cell r="T904" t="str">
            <v>NA</v>
          </cell>
        </row>
        <row r="905">
          <cell r="Q905" t="str">
            <v>GS-20190115</v>
          </cell>
          <cell r="T905" t="str">
            <v>NA</v>
          </cell>
        </row>
        <row r="906">
          <cell r="Q906" t="str">
            <v>GS-20190206</v>
          </cell>
          <cell r="T906" t="str">
            <v>ME-20191009</v>
          </cell>
        </row>
        <row r="907">
          <cell r="Q907" t="str">
            <v>GS-20181219</v>
          </cell>
          <cell r="T907" t="str">
            <v>NA</v>
          </cell>
        </row>
        <row r="908">
          <cell r="Q908" t="str">
            <v>NA</v>
          </cell>
          <cell r="T908" t="str">
            <v>NA</v>
          </cell>
        </row>
        <row r="909">
          <cell r="Q909" t="str">
            <v>GS-20190215</v>
          </cell>
          <cell r="T909" t="str">
            <v>NA</v>
          </cell>
        </row>
        <row r="910">
          <cell r="Q910" t="str">
            <v>GS-20190213</v>
          </cell>
          <cell r="T910" t="str">
            <v>NA</v>
          </cell>
        </row>
        <row r="911">
          <cell r="Q911" t="str">
            <v>NA</v>
          </cell>
          <cell r="T911" t="str">
            <v>NA</v>
          </cell>
        </row>
        <row r="912">
          <cell r="Q912" t="str">
            <v>GS-20190513</v>
          </cell>
          <cell r="T912" t="str">
            <v>ME-20191010</v>
          </cell>
        </row>
        <row r="913">
          <cell r="Q913" t="str">
            <v>NA</v>
          </cell>
          <cell r="T913" t="str">
            <v>NA</v>
          </cell>
        </row>
        <row r="914">
          <cell r="Q914" t="str">
            <v>NA</v>
          </cell>
          <cell r="T914" t="str">
            <v>NA</v>
          </cell>
        </row>
        <row r="915">
          <cell r="Q915" t="str">
            <v>GS-20190319</v>
          </cell>
          <cell r="T915" t="str">
            <v>NA</v>
          </cell>
        </row>
        <row r="916">
          <cell r="Q916" t="str">
            <v>GS-20190318</v>
          </cell>
          <cell r="T916" t="str">
            <v>ME-20190327</v>
          </cell>
        </row>
        <row r="917">
          <cell r="Q917" t="str">
            <v>na</v>
          </cell>
          <cell r="T917" t="str">
            <v>NA</v>
          </cell>
        </row>
        <row r="918">
          <cell r="Q918" t="str">
            <v>GS-20190215</v>
          </cell>
          <cell r="T918" t="str">
            <v>NA</v>
          </cell>
        </row>
        <row r="919">
          <cell r="Q919" t="str">
            <v>GS-20190320</v>
          </cell>
          <cell r="T919" t="str">
            <v>NA</v>
          </cell>
        </row>
        <row r="920">
          <cell r="Q920" t="str">
            <v>GS-20190327</v>
          </cell>
          <cell r="T920" t="str">
            <v>NA</v>
          </cell>
        </row>
        <row r="921">
          <cell r="Q921" t="str">
            <v>GS-20190429</v>
          </cell>
          <cell r="T921" t="str">
            <v>NA</v>
          </cell>
        </row>
        <row r="922">
          <cell r="Q922" t="str">
            <v>GS-20190402</v>
          </cell>
          <cell r="T922" t="str">
            <v>NA</v>
          </cell>
        </row>
        <row r="923">
          <cell r="Q923" t="str">
            <v>GS-20190417</v>
          </cell>
          <cell r="T923" t="str">
            <v>NA</v>
          </cell>
        </row>
        <row r="924">
          <cell r="Q924" t="str">
            <v>ME-20190418</v>
          </cell>
          <cell r="T924" t="str">
            <v>NA</v>
          </cell>
        </row>
        <row r="925">
          <cell r="Q925" t="str">
            <v>GS-20190424</v>
          </cell>
          <cell r="T925" t="str">
            <v>NA</v>
          </cell>
        </row>
        <row r="926">
          <cell r="Q926" t="str">
            <v>GS-20190430</v>
          </cell>
          <cell r="T926" t="str">
            <v>NA</v>
          </cell>
        </row>
        <row r="927">
          <cell r="Q927" t="str">
            <v>GS-20190503</v>
          </cell>
          <cell r="T927" t="str">
            <v>ME-20191118</v>
          </cell>
        </row>
        <row r="928">
          <cell r="Q928" t="str">
            <v>NA</v>
          </cell>
          <cell r="T928" t="str">
            <v>ME-20191118</v>
          </cell>
        </row>
        <row r="929">
          <cell r="Q929" t="str">
            <v>GS-20190508</v>
          </cell>
          <cell r="T929" t="str">
            <v>NA</v>
          </cell>
        </row>
        <row r="930">
          <cell r="Q930" t="str">
            <v>GS-20190517</v>
          </cell>
          <cell r="T930" t="str">
            <v>NA</v>
          </cell>
        </row>
        <row r="931">
          <cell r="Q931" t="str">
            <v>GS-20190529</v>
          </cell>
          <cell r="T931" t="str">
            <v>NA</v>
          </cell>
        </row>
        <row r="932">
          <cell r="Q932" t="str">
            <v>GS-20190520</v>
          </cell>
          <cell r="T932" t="str">
            <v>ME-20190709</v>
          </cell>
        </row>
        <row r="933">
          <cell r="Q933" t="str">
            <v>GS-20190705</v>
          </cell>
          <cell r="T933" t="str">
            <v>ME-20190709</v>
          </cell>
        </row>
        <row r="934">
          <cell r="Q934" t="str">
            <v>TP</v>
          </cell>
          <cell r="T934" t="str">
            <v>ME-20190716</v>
          </cell>
        </row>
        <row r="935">
          <cell r="Q935" t="str">
            <v>NA</v>
          </cell>
          <cell r="T935" t="str">
            <v>NA</v>
          </cell>
        </row>
        <row r="936">
          <cell r="Q936" t="str">
            <v>NA</v>
          </cell>
          <cell r="T936" t="str">
            <v>NA</v>
          </cell>
        </row>
        <row r="937">
          <cell r="Q937" t="str">
            <v>GS-20190705</v>
          </cell>
          <cell r="T937" t="str">
            <v>NA</v>
          </cell>
        </row>
        <row r="938">
          <cell r="Q938" t="str">
            <v>GS-20190710</v>
          </cell>
          <cell r="T938" t="str">
            <v>NA</v>
          </cell>
        </row>
        <row r="939">
          <cell r="Q939" t="str">
            <v>NA</v>
          </cell>
          <cell r="T939" t="str">
            <v>NA</v>
          </cell>
        </row>
        <row r="940">
          <cell r="Q940" t="str">
            <v>GS-20191009</v>
          </cell>
          <cell r="T940" t="str">
            <v>na</v>
          </cell>
        </row>
        <row r="941">
          <cell r="Q941" t="str">
            <v>GS-20190724</v>
          </cell>
          <cell r="T941" t="str">
            <v>ME-20191001</v>
          </cell>
        </row>
        <row r="942">
          <cell r="Q942" t="str">
            <v>GS-20190731</v>
          </cell>
          <cell r="T942" t="str">
            <v>NA</v>
          </cell>
        </row>
        <row r="943">
          <cell r="Q943" t="str">
            <v>GS-20190909</v>
          </cell>
          <cell r="T943" t="str">
            <v>ME-20191002</v>
          </cell>
        </row>
        <row r="944">
          <cell r="Q944" t="str">
            <v>GS-20190806</v>
          </cell>
          <cell r="T944" t="str">
            <v>NA</v>
          </cell>
        </row>
        <row r="945">
          <cell r="Q945" t="str">
            <v>GS-20190814</v>
          </cell>
          <cell r="T945" t="str">
            <v>NA</v>
          </cell>
        </row>
        <row r="946">
          <cell r="Q946" t="str">
            <v>NA</v>
          </cell>
          <cell r="T946" t="str">
            <v>ME-20191002</v>
          </cell>
        </row>
        <row r="947">
          <cell r="Q947" t="str">
            <v>GS-20190919</v>
          </cell>
          <cell r="T947" t="str">
            <v>ME-20191002</v>
          </cell>
        </row>
        <row r="948">
          <cell r="Q948" t="str">
            <v>GS-20190916</v>
          </cell>
          <cell r="T948" t="str">
            <v>NA</v>
          </cell>
        </row>
        <row r="949">
          <cell r="Q949" t="str">
            <v>GS-20191001</v>
          </cell>
          <cell r="T949" t="str">
            <v>NA</v>
          </cell>
        </row>
        <row r="950">
          <cell r="Q950" t="str">
            <v>ME-20191011</v>
          </cell>
          <cell r="T950" t="str">
            <v>GS-20191024</v>
          </cell>
        </row>
        <row r="951">
          <cell r="Q951" t="str">
            <v>GS-20191009</v>
          </cell>
          <cell r="T951" t="str">
            <v>ME-20191016</v>
          </cell>
        </row>
        <row r="952">
          <cell r="Q952" t="str">
            <v>GS-20191009</v>
          </cell>
          <cell r="T952" t="str">
            <v>NA</v>
          </cell>
        </row>
        <row r="953">
          <cell r="Q953" t="str">
            <v>GS-20191015</v>
          </cell>
          <cell r="T953" t="str">
            <v>NA</v>
          </cell>
        </row>
        <row r="954">
          <cell r="Q954" t="str">
            <v>ME-20191024</v>
          </cell>
          <cell r="T954" t="str">
            <v>NA</v>
          </cell>
        </row>
        <row r="955">
          <cell r="Q955" t="str">
            <v>NA</v>
          </cell>
          <cell r="T955" t="str">
            <v>ME-20200129</v>
          </cell>
        </row>
        <row r="956">
          <cell r="Q956" t="str">
            <v>NA</v>
          </cell>
          <cell r="T956" t="str">
            <v>NA</v>
          </cell>
        </row>
        <row r="957">
          <cell r="Q957" t="str">
            <v>GS-20191029</v>
          </cell>
          <cell r="T957" t="str">
            <v>NA</v>
          </cell>
        </row>
        <row r="958">
          <cell r="Q958" t="str">
            <v>ME-20191104</v>
          </cell>
          <cell r="T958" t="str">
            <v>NA</v>
          </cell>
        </row>
        <row r="959">
          <cell r="Q959" t="str">
            <v>ME-20191105</v>
          </cell>
          <cell r="T959" t="str">
            <v>NA</v>
          </cell>
        </row>
        <row r="960">
          <cell r="Q960" t="str">
            <v>GS-20191113</v>
          </cell>
          <cell r="T960" t="str">
            <v>NA</v>
          </cell>
        </row>
        <row r="961">
          <cell r="Q961" t="str">
            <v>GS-20191113</v>
          </cell>
          <cell r="T961" t="str">
            <v>NA</v>
          </cell>
        </row>
        <row r="962">
          <cell r="Q962" t="str">
            <v>GS-20191122</v>
          </cell>
          <cell r="T962" t="str">
            <v>NA</v>
          </cell>
        </row>
        <row r="963">
          <cell r="Q963" t="str">
            <v>GS-20191122</v>
          </cell>
          <cell r="T963" t="str">
            <v>NA</v>
          </cell>
        </row>
        <row r="964">
          <cell r="Q964" t="str">
            <v>GS-20191127</v>
          </cell>
          <cell r="T964" t="str">
            <v>NA</v>
          </cell>
        </row>
        <row r="965">
          <cell r="Q965" t="str">
            <v>GS-20191204</v>
          </cell>
          <cell r="T965" t="str">
            <v>NA</v>
          </cell>
        </row>
        <row r="966">
          <cell r="Q966" t="str">
            <v>GS-20191213</v>
          </cell>
          <cell r="T966" t="str">
            <v>NA</v>
          </cell>
        </row>
        <row r="967">
          <cell r="Q967" t="str">
            <v>GS-20191216</v>
          </cell>
          <cell r="T967" t="str">
            <v>NA</v>
          </cell>
        </row>
        <row r="968">
          <cell r="Q968" t="str">
            <v>GS-20191218</v>
          </cell>
          <cell r="T968" t="str">
            <v>NA</v>
          </cell>
        </row>
        <row r="969">
          <cell r="Q969" t="str">
            <v>GS-20191223</v>
          </cell>
          <cell r="T969" t="str">
            <v>NA</v>
          </cell>
        </row>
        <row r="970">
          <cell r="Q970" t="str">
            <v>NA</v>
          </cell>
          <cell r="T970" t="str">
            <v>NA</v>
          </cell>
        </row>
        <row r="971">
          <cell r="Q971" t="str">
            <v>GS-20200108</v>
          </cell>
          <cell r="T971" t="str">
            <v>NA</v>
          </cell>
        </row>
        <row r="972">
          <cell r="Q972" t="str">
            <v>GS-20200129</v>
          </cell>
          <cell r="T972" t="str">
            <v>ME-20200206</v>
          </cell>
        </row>
        <row r="974">
          <cell r="Q974" t="str">
            <v>NA</v>
          </cell>
          <cell r="T974" t="str">
            <v>NA</v>
          </cell>
        </row>
        <row r="975">
          <cell r="Q975" t="str">
            <v>NA</v>
          </cell>
          <cell r="T975" t="str">
            <v>NA</v>
          </cell>
        </row>
        <row r="977">
          <cell r="Q977" t="str">
            <v>GS-20200115</v>
          </cell>
          <cell r="T977" t="str">
            <v>NA</v>
          </cell>
        </row>
        <row r="978">
          <cell r="Q978" t="str">
            <v>GS-20200204</v>
          </cell>
          <cell r="T978" t="str">
            <v>ME-20200221</v>
          </cell>
        </row>
        <row r="980">
          <cell r="Q980" t="str">
            <v>NA</v>
          </cell>
          <cell r="T980" t="str">
            <v>NA</v>
          </cell>
        </row>
        <row r="981">
          <cell r="Q981" t="str">
            <v>GS-20200206</v>
          </cell>
          <cell r="T981" t="str">
            <v>ME-20200221</v>
          </cell>
        </row>
        <row r="982">
          <cell r="Q982" t="str">
            <v>GS-20200129</v>
          </cell>
          <cell r="T982" t="str">
            <v>ME-20200206</v>
          </cell>
        </row>
        <row r="983">
          <cell r="Q983" t="str">
            <v>GS-20200129</v>
          </cell>
          <cell r="T983" t="str">
            <v>NA</v>
          </cell>
        </row>
        <row r="985">
          <cell r="Q985" t="str">
            <v>GS-20200207</v>
          </cell>
          <cell r="T985" t="str">
            <v>NA</v>
          </cell>
        </row>
        <row r="986">
          <cell r="Q986" t="str">
            <v>ME-20200311</v>
          </cell>
          <cell r="T986" t="str">
            <v>GS-20200325</v>
          </cell>
        </row>
        <row r="987">
          <cell r="Q987" t="str">
            <v>GS-20200210</v>
          </cell>
          <cell r="T987" t="str">
            <v>NA</v>
          </cell>
        </row>
        <row r="988">
          <cell r="Q988" t="str">
            <v>GS-20200402</v>
          </cell>
          <cell r="T988" t="str">
            <v>NA</v>
          </cell>
        </row>
        <row r="989">
          <cell r="Q989" t="str">
            <v>GS-20200318</v>
          </cell>
          <cell r="T989" t="str">
            <v>NA</v>
          </cell>
        </row>
        <row r="992">
          <cell r="Q992" t="str">
            <v>GS-20201005</v>
          </cell>
          <cell r="T992" t="str">
            <v>ME-20201120</v>
          </cell>
        </row>
        <row r="993">
          <cell r="Q993" t="str">
            <v>0</v>
          </cell>
          <cell r="T993" t="str">
            <v>0</v>
          </cell>
        </row>
        <row r="994">
          <cell r="Q994" t="str">
            <v>GS-20200720</v>
          </cell>
          <cell r="T994" t="str">
            <v>ME-20200827</v>
          </cell>
        </row>
        <row r="995">
          <cell r="Q995" t="str">
            <v>GS-20200930</v>
          </cell>
          <cell r="T995" t="str">
            <v>NA</v>
          </cell>
        </row>
        <row r="996">
          <cell r="Q996" t="str">
            <v>GS-20200930</v>
          </cell>
          <cell r="T996" t="str">
            <v>NA</v>
          </cell>
        </row>
        <row r="997">
          <cell r="Q997" t="str">
            <v>GS-20200930</v>
          </cell>
          <cell r="T997" t="str">
            <v>NA</v>
          </cell>
        </row>
        <row r="998">
          <cell r="Q998" t="str">
            <v>GS-20201117</v>
          </cell>
          <cell r="T998" t="str">
            <v>NA</v>
          </cell>
        </row>
        <row r="999">
          <cell r="Q999" t="str">
            <v>GS-20200930</v>
          </cell>
          <cell r="T999" t="str">
            <v>NA</v>
          </cell>
        </row>
        <row r="1001">
          <cell r="Q1001" t="str">
            <v>ME-20200730</v>
          </cell>
          <cell r="T1001" t="str">
            <v>NA</v>
          </cell>
        </row>
        <row r="1003">
          <cell r="Q1003" t="str">
            <v>GS-20200930</v>
          </cell>
          <cell r="T1003" t="str">
            <v>NA</v>
          </cell>
        </row>
        <row r="1004">
          <cell r="Q1004" t="str">
            <v>GS-20200930</v>
          </cell>
          <cell r="T1004" t="str">
            <v>NA</v>
          </cell>
        </row>
        <row r="1005">
          <cell r="Q1005" t="str">
            <v>GS-20200930</v>
          </cell>
          <cell r="T1005" t="str">
            <v>NA</v>
          </cell>
        </row>
        <row r="1006">
          <cell r="Q1006" t="str">
            <v>GS-20201117</v>
          </cell>
          <cell r="T1006" t="str">
            <v>NA</v>
          </cell>
        </row>
        <row r="1008">
          <cell r="Q1008" t="str">
            <v>ME-20200922</v>
          </cell>
          <cell r="T1008" t="str">
            <v>0</v>
          </cell>
        </row>
        <row r="1010">
          <cell r="Q1010" t="str">
            <v>GS-20201117</v>
          </cell>
          <cell r="T1010" t="str">
            <v>NA</v>
          </cell>
        </row>
        <row r="1011">
          <cell r="Q1011" t="str">
            <v>ME-20201103</v>
          </cell>
          <cell r="T1011" t="str">
            <v>na</v>
          </cell>
        </row>
        <row r="1012">
          <cell r="Q1012" t="str">
            <v>GS-20201021</v>
          </cell>
          <cell r="T1012" t="str">
            <v>0</v>
          </cell>
        </row>
        <row r="1014">
          <cell r="Q1014" t="str">
            <v>GS-20210222</v>
          </cell>
          <cell r="T1014" t="str">
            <v>NA</v>
          </cell>
        </row>
        <row r="1015">
          <cell r="Q1015" t="str">
            <v>GS-20210222</v>
          </cell>
          <cell r="T1015" t="str">
            <v>NA</v>
          </cell>
        </row>
        <row r="1016">
          <cell r="Q1016" t="str">
            <v>GS-20210222</v>
          </cell>
          <cell r="T1016" t="str">
            <v>NA</v>
          </cell>
        </row>
        <row r="1017">
          <cell r="Q1017" t="str">
            <v>GS-20210222</v>
          </cell>
          <cell r="T1017" t="str">
            <v>NA</v>
          </cell>
        </row>
        <row r="1018">
          <cell r="Q1018" t="str">
            <v>GS-20210125</v>
          </cell>
          <cell r="T1018" t="str">
            <v>ME-20210403</v>
          </cell>
        </row>
        <row r="1019">
          <cell r="Q1019" t="str">
            <v>GS-20210222</v>
          </cell>
          <cell r="T1019" t="str">
            <v>NA</v>
          </cell>
        </row>
        <row r="1020">
          <cell r="Q1020" t="str">
            <v>GS-20210226</v>
          </cell>
          <cell r="T1020" t="str">
            <v>NA</v>
          </cell>
        </row>
        <row r="1021">
          <cell r="Q1021" t="str">
            <v>GS-20210226</v>
          </cell>
          <cell r="T1021" t="str">
            <v>NA</v>
          </cell>
        </row>
        <row r="1022">
          <cell r="Q1022" t="str">
            <v>GS-20210403</v>
          </cell>
          <cell r="T1022" t="str">
            <v>ME-20210416</v>
          </cell>
        </row>
        <row r="1023">
          <cell r="Q1023" t="str">
            <v>GS-20210403</v>
          </cell>
        </row>
        <row r="1024">
          <cell r="Q1024" t="str">
            <v>GS-20210420</v>
          </cell>
          <cell r="T1024" t="str">
            <v>NA</v>
          </cell>
        </row>
        <row r="1025">
          <cell r="Q1025" t="str">
            <v>GS-20210420</v>
          </cell>
          <cell r="T1025" t="str">
            <v>NA</v>
          </cell>
        </row>
        <row r="1027">
          <cell r="Q1027" t="str">
            <v>GS-20210604</v>
          </cell>
          <cell r="T1027" t="str">
            <v>NA</v>
          </cell>
        </row>
        <row r="1028">
          <cell r="Q1028" t="str">
            <v>GS-20210714</v>
          </cell>
          <cell r="T1028" t="str">
            <v>NA</v>
          </cell>
        </row>
        <row r="1029">
          <cell r="Q1029" t="str">
            <v>GS-20210604</v>
          </cell>
          <cell r="T1029" t="str">
            <v>NA</v>
          </cell>
        </row>
        <row r="1030">
          <cell r="Q1030" t="str">
            <v>GS-20210714</v>
          </cell>
          <cell r="T1030" t="str">
            <v>NA</v>
          </cell>
        </row>
        <row r="1031">
          <cell r="Q1031" t="str">
            <v>NA</v>
          </cell>
          <cell r="T1031" t="str">
            <v>NA</v>
          </cell>
        </row>
        <row r="1032">
          <cell r="Q1032" t="str">
            <v>ME-20200106</v>
          </cell>
          <cell r="T1032" t="str">
            <v>NA</v>
          </cell>
        </row>
        <row r="1033">
          <cell r="Q1033" t="str">
            <v>ME-20200106</v>
          </cell>
          <cell r="T1033" t="str">
            <v>NA</v>
          </cell>
        </row>
        <row r="1034">
          <cell r="Q1034" t="str">
            <v>GS-20210701</v>
          </cell>
        </row>
        <row r="1035">
          <cell r="Q1035" t="str">
            <v>GS-20210714</v>
          </cell>
          <cell r="T1035" t="str">
            <v>NA</v>
          </cell>
        </row>
        <row r="1036">
          <cell r="Q1036" t="str">
            <v>GS-20210701</v>
          </cell>
          <cell r="T1036" t="str">
            <v>ME-20210712</v>
          </cell>
        </row>
        <row r="1037">
          <cell r="Q1037" t="str">
            <v>GS-20210729</v>
          </cell>
          <cell r="T1037" t="str">
            <v>NA</v>
          </cell>
        </row>
        <row r="1038">
          <cell r="Q1038" t="str">
            <v>GS-20210709</v>
          </cell>
          <cell r="T1038" t="str">
            <v>ME-20210712</v>
          </cell>
        </row>
        <row r="1039">
          <cell r="Q1039" t="str">
            <v>GS-20210729</v>
          </cell>
          <cell r="T1039" t="str">
            <v>NA</v>
          </cell>
        </row>
        <row r="1040">
          <cell r="Q1040" t="str">
            <v>GS-20210805</v>
          </cell>
          <cell r="T1040" t="str">
            <v>ME-20210820</v>
          </cell>
        </row>
        <row r="1041">
          <cell r="Q1041" t="str">
            <v>GS-20210811</v>
          </cell>
          <cell r="T1041" t="str">
            <v>GS-20210816</v>
          </cell>
        </row>
        <row r="1043">
          <cell r="Q1043" t="str">
            <v>GS-20210824</v>
          </cell>
          <cell r="T1043" t="str">
            <v>NA</v>
          </cell>
        </row>
        <row r="1044">
          <cell r="Q1044" t="str">
            <v>GS-20210927</v>
          </cell>
          <cell r="T1044" t="str">
            <v>ME-20211007</v>
          </cell>
        </row>
        <row r="1046">
          <cell r="Q1046" t="str">
            <v>GS-20210927</v>
          </cell>
          <cell r="T1046" t="str">
            <v>ME-20211007</v>
          </cell>
        </row>
        <row r="1047">
          <cell r="Q1047" t="str">
            <v>GS-20211008</v>
          </cell>
          <cell r="T1047" t="str">
            <v>NA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urnal"/>
      <sheetName val="Budget"/>
      <sheetName val="Modeles"/>
      <sheetName val="CumulDocts"/>
      <sheetName val="Rapp"/>
      <sheetName val="ReportAnnuel"/>
      <sheetName val="DepMois"/>
      <sheetName val="Set-Up"/>
      <sheetName val="Modifs"/>
      <sheetName val="Balance"/>
    </sheetNames>
    <sheetDataSet>
      <sheetData sheetId="0"/>
      <sheetData sheetId="1"/>
      <sheetData sheetId="2"/>
      <sheetData sheetId="3"/>
      <sheetData sheetId="4">
        <row r="16">
          <cell r="E16" t="str">
            <v>151008C</v>
          </cell>
        </row>
      </sheetData>
      <sheetData sheetId="5"/>
      <sheetData sheetId="6"/>
      <sheetData sheetId="7"/>
      <sheetData sheetId="8"/>
      <sheetData sheetId="9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Jouzier" id="{E3C99EE6-D37D-451D-ACE4-53373C47CB54}" userId="874eaffb4a246c07" providerId="Windows Live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81" dT="2022-12-17T18:32:28.51" personId="{E3C99EE6-D37D-451D-ACE4-53373C47CB54}" id="{0CF04385-B0C1-4A98-8473-CDDAC9E0AD73}">
    <text>A préciser : pas encore sur le site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indexed="43"/>
  </sheetPr>
  <dimension ref="A1:H70"/>
  <sheetViews>
    <sheetView topLeftCell="A57" zoomScaleNormal="100" workbookViewId="0">
      <selection activeCell="B75" sqref="B75"/>
    </sheetView>
  </sheetViews>
  <sheetFormatPr baseColWidth="10" defaultColWidth="11.54296875" defaultRowHeight="10" x14ac:dyDescent="0.2"/>
  <cols>
    <col min="1" max="1" width="18.81640625" style="12" bestFit="1" customWidth="1"/>
    <col min="2" max="2" width="64.453125" style="12" customWidth="1"/>
    <col min="3" max="3" width="34.1796875" style="10" customWidth="1"/>
    <col min="4" max="4" width="28.54296875" style="11" bestFit="1" customWidth="1"/>
    <col min="5" max="7" width="11.54296875" style="11"/>
    <col min="8" max="8" width="20.7265625" style="11" bestFit="1" customWidth="1"/>
    <col min="9" max="16384" width="11.54296875" style="11"/>
  </cols>
  <sheetData>
    <row r="1" spans="1:3" s="38" customFormat="1" ht="10.5" x14ac:dyDescent="0.25">
      <c r="A1" s="199" t="s">
        <v>0</v>
      </c>
      <c r="B1" s="200"/>
      <c r="C1" s="200"/>
    </row>
    <row r="3" spans="1:3" s="14" customFormat="1" ht="10.5" x14ac:dyDescent="0.25">
      <c r="A3" s="1" t="s">
        <v>1</v>
      </c>
      <c r="B3" s="1" t="s">
        <v>2</v>
      </c>
      <c r="C3" s="13" t="s">
        <v>3</v>
      </c>
    </row>
    <row r="4" spans="1:3" ht="20" x14ac:dyDescent="0.2">
      <c r="A4" s="40"/>
      <c r="B4" s="40" t="s">
        <v>4</v>
      </c>
      <c r="C4" s="141" t="s">
        <v>5</v>
      </c>
    </row>
    <row r="5" spans="1:3" ht="10.5" x14ac:dyDescent="0.25">
      <c r="A5" s="197" t="s">
        <v>6</v>
      </c>
      <c r="B5" s="198"/>
      <c r="C5" s="198"/>
    </row>
    <row r="6" spans="1:3" ht="10.5" x14ac:dyDescent="0.25">
      <c r="A6" s="9"/>
      <c r="B6" s="35"/>
      <c r="C6" s="36"/>
    </row>
    <row r="7" spans="1:3" s="17" customFormat="1" ht="10.5" x14ac:dyDescent="0.25">
      <c r="A7" s="1" t="s">
        <v>1</v>
      </c>
      <c r="B7" s="1" t="s">
        <v>2</v>
      </c>
      <c r="C7" s="13" t="s">
        <v>3</v>
      </c>
    </row>
    <row r="8" spans="1:3" s="17" customFormat="1" x14ac:dyDescent="0.2">
      <c r="A8" s="40">
        <v>1</v>
      </c>
      <c r="B8" s="40" t="s">
        <v>7</v>
      </c>
      <c r="C8" s="141" t="s">
        <v>8</v>
      </c>
    </row>
    <row r="9" spans="1:3" x14ac:dyDescent="0.2">
      <c r="A9" s="40">
        <v>2</v>
      </c>
      <c r="B9" s="40" t="s">
        <v>9</v>
      </c>
      <c r="C9" s="141" t="s">
        <v>10</v>
      </c>
    </row>
    <row r="10" spans="1:3" s="17" customFormat="1" x14ac:dyDescent="0.2">
      <c r="A10" s="40">
        <v>3</v>
      </c>
      <c r="B10" s="40" t="s">
        <v>9</v>
      </c>
      <c r="C10" s="141" t="s">
        <v>11</v>
      </c>
    </row>
    <row r="11" spans="1:3" s="17" customFormat="1" x14ac:dyDescent="0.2">
      <c r="A11" s="15">
        <v>4</v>
      </c>
      <c r="B11" s="15" t="s">
        <v>12</v>
      </c>
      <c r="C11" s="16" t="s">
        <v>13</v>
      </c>
    </row>
    <row r="12" spans="1:3" ht="20" x14ac:dyDescent="0.2">
      <c r="A12" s="15">
        <v>5</v>
      </c>
      <c r="B12" s="15" t="s">
        <v>7</v>
      </c>
      <c r="C12" s="16" t="s">
        <v>14</v>
      </c>
    </row>
    <row r="13" spans="1:3" x14ac:dyDescent="0.2">
      <c r="A13" s="40">
        <v>6</v>
      </c>
      <c r="B13" s="40" t="s">
        <v>15</v>
      </c>
      <c r="C13" s="141" t="s">
        <v>16</v>
      </c>
    </row>
    <row r="14" spans="1:3" ht="20" x14ac:dyDescent="0.2">
      <c r="A14" s="15">
        <v>7</v>
      </c>
      <c r="B14" s="15" t="s">
        <v>7</v>
      </c>
      <c r="C14" s="16" t="s">
        <v>17</v>
      </c>
    </row>
    <row r="15" spans="1:3" ht="20" x14ac:dyDescent="0.2">
      <c r="A15" s="15">
        <v>8</v>
      </c>
      <c r="B15" s="15" t="s">
        <v>7</v>
      </c>
      <c r="C15" s="16" t="s">
        <v>18</v>
      </c>
    </row>
    <row r="16" spans="1:3" ht="30" x14ac:dyDescent="0.2">
      <c r="A16" s="40">
        <v>9</v>
      </c>
      <c r="B16" s="40" t="s">
        <v>15</v>
      </c>
      <c r="C16" s="141" t="s">
        <v>19</v>
      </c>
    </row>
    <row r="18" spans="1:8" ht="10.5" x14ac:dyDescent="0.25">
      <c r="A18" s="197" t="s">
        <v>0</v>
      </c>
      <c r="B18" s="198"/>
      <c r="C18" s="198"/>
      <c r="D18" s="21"/>
      <c r="E18" s="21"/>
      <c r="F18" s="21"/>
      <c r="G18" s="21"/>
      <c r="H18" s="21"/>
    </row>
    <row r="20" spans="1:8" ht="10.5" x14ac:dyDescent="0.25">
      <c r="A20" s="1" t="s">
        <v>1</v>
      </c>
      <c r="B20" s="1" t="s">
        <v>2</v>
      </c>
      <c r="C20" s="13" t="s">
        <v>3</v>
      </c>
      <c r="D20" s="21"/>
      <c r="E20" s="21"/>
      <c r="F20" s="21"/>
      <c r="G20" s="21"/>
      <c r="H20" s="21"/>
    </row>
    <row r="21" spans="1:8" ht="50" x14ac:dyDescent="0.2">
      <c r="A21" s="40">
        <v>1</v>
      </c>
      <c r="B21" s="40" t="s">
        <v>20</v>
      </c>
      <c r="C21" s="141" t="s">
        <v>21</v>
      </c>
      <c r="D21" s="21"/>
      <c r="E21" s="21"/>
      <c r="F21" s="21"/>
      <c r="G21" s="21"/>
      <c r="H21" s="21"/>
    </row>
    <row r="22" spans="1:8" ht="30" x14ac:dyDescent="0.2">
      <c r="A22" s="40">
        <v>3</v>
      </c>
      <c r="B22" s="40" t="s">
        <v>7</v>
      </c>
      <c r="C22" s="141" t="s">
        <v>22</v>
      </c>
      <c r="D22" s="21"/>
      <c r="E22" s="21"/>
      <c r="F22" s="21"/>
      <c r="G22" s="21"/>
      <c r="H22" s="21"/>
    </row>
    <row r="23" spans="1:8" ht="40" x14ac:dyDescent="0.2">
      <c r="A23" s="40">
        <v>4</v>
      </c>
      <c r="B23" s="40" t="s">
        <v>7</v>
      </c>
      <c r="C23" s="141" t="s">
        <v>23</v>
      </c>
      <c r="D23" s="21"/>
      <c r="E23" s="21"/>
      <c r="F23" s="21"/>
      <c r="G23" s="21"/>
      <c r="H23" s="21"/>
    </row>
    <row r="24" spans="1:8" ht="20" x14ac:dyDescent="0.2">
      <c r="A24" s="40">
        <v>5</v>
      </c>
      <c r="B24" s="40" t="s">
        <v>7</v>
      </c>
      <c r="C24" s="141" t="s">
        <v>24</v>
      </c>
      <c r="D24" s="21"/>
      <c r="E24" s="21"/>
      <c r="F24" s="21"/>
      <c r="G24" s="21"/>
      <c r="H24" s="21"/>
    </row>
    <row r="25" spans="1:8" ht="60" x14ac:dyDescent="0.2">
      <c r="A25" s="40">
        <v>6</v>
      </c>
      <c r="B25" s="40" t="s">
        <v>7</v>
      </c>
      <c r="C25" s="141" t="s">
        <v>25</v>
      </c>
      <c r="D25" s="21"/>
      <c r="E25" s="21"/>
      <c r="F25" s="21"/>
      <c r="G25" s="21"/>
      <c r="H25" s="21"/>
    </row>
    <row r="26" spans="1:8" ht="80" x14ac:dyDescent="0.2">
      <c r="A26" s="40">
        <v>7</v>
      </c>
      <c r="B26" s="40" t="s">
        <v>7</v>
      </c>
      <c r="C26" s="141" t="s">
        <v>26</v>
      </c>
      <c r="D26" s="21"/>
      <c r="E26" s="21"/>
      <c r="F26" s="21"/>
      <c r="G26" s="21"/>
      <c r="H26" s="21"/>
    </row>
    <row r="27" spans="1:8" ht="30" x14ac:dyDescent="0.2">
      <c r="A27" s="40">
        <v>8</v>
      </c>
      <c r="B27" s="40" t="s">
        <v>7</v>
      </c>
      <c r="C27" s="141" t="s">
        <v>27</v>
      </c>
      <c r="D27" s="21"/>
      <c r="E27" s="21"/>
      <c r="F27" s="21"/>
      <c r="G27" s="21"/>
      <c r="H27" s="21"/>
    </row>
    <row r="28" spans="1:8" ht="50" x14ac:dyDescent="0.2">
      <c r="A28" s="40">
        <v>9</v>
      </c>
      <c r="B28" s="40" t="s">
        <v>28</v>
      </c>
      <c r="C28" s="141" t="s">
        <v>29</v>
      </c>
      <c r="D28" s="21"/>
      <c r="E28" s="21"/>
      <c r="F28" s="21"/>
      <c r="G28" s="21"/>
      <c r="H28" s="21"/>
    </row>
    <row r="29" spans="1:8" ht="40" x14ac:dyDescent="0.2">
      <c r="A29" s="15">
        <v>10</v>
      </c>
      <c r="B29" s="15" t="s">
        <v>30</v>
      </c>
      <c r="C29" s="16" t="s">
        <v>31</v>
      </c>
      <c r="D29" s="21"/>
      <c r="E29" s="21"/>
      <c r="F29" s="21"/>
      <c r="G29" s="21"/>
      <c r="H29" s="21"/>
    </row>
    <row r="31" spans="1:8" ht="10.5" x14ac:dyDescent="0.25">
      <c r="A31" s="29" t="s">
        <v>32</v>
      </c>
      <c r="B31" s="35"/>
      <c r="C31" s="36"/>
      <c r="D31" s="21"/>
      <c r="E31" s="21"/>
      <c r="F31" s="21"/>
      <c r="G31" s="21"/>
      <c r="H31" s="21"/>
    </row>
    <row r="32" spans="1:8" s="38" customFormat="1" ht="10.5" x14ac:dyDescent="0.25">
      <c r="A32" s="37" t="s">
        <v>33</v>
      </c>
      <c r="B32" s="142"/>
      <c r="C32" s="140"/>
      <c r="D32" s="143"/>
      <c r="E32" s="144" t="s">
        <v>34</v>
      </c>
      <c r="F32" s="144" t="s">
        <v>35</v>
      </c>
      <c r="G32" s="144" t="s">
        <v>36</v>
      </c>
      <c r="H32" s="143" t="s">
        <v>37</v>
      </c>
    </row>
    <row r="33" spans="1:8" ht="30" x14ac:dyDescent="0.2">
      <c r="A33" s="35"/>
      <c r="B33" s="145" t="s">
        <v>38</v>
      </c>
      <c r="C33" s="36" t="s">
        <v>39</v>
      </c>
      <c r="D33" s="25" t="s">
        <v>40</v>
      </c>
      <c r="E33" s="2">
        <v>350</v>
      </c>
      <c r="F33" s="2">
        <v>350</v>
      </c>
      <c r="G33" s="2">
        <v>2700</v>
      </c>
      <c r="H33" s="25"/>
    </row>
    <row r="34" spans="1:8" x14ac:dyDescent="0.2">
      <c r="A34" s="35"/>
      <c r="B34" s="145" t="s">
        <v>41</v>
      </c>
      <c r="C34" s="36" t="s">
        <v>42</v>
      </c>
      <c r="D34" s="25" t="s">
        <v>43</v>
      </c>
      <c r="E34" s="2">
        <v>24.96</v>
      </c>
      <c r="F34" s="2">
        <v>-45.49</v>
      </c>
      <c r="G34" s="2">
        <f>-SUM(E34:F34)</f>
        <v>20.53</v>
      </c>
      <c r="H34" s="25" t="s">
        <v>44</v>
      </c>
    </row>
    <row r="35" spans="1:8" ht="20" x14ac:dyDescent="0.2">
      <c r="A35" s="35"/>
      <c r="B35" s="145" t="s">
        <v>45</v>
      </c>
      <c r="C35" s="36" t="s">
        <v>46</v>
      </c>
      <c r="D35" s="25" t="s">
        <v>47</v>
      </c>
      <c r="E35" s="2">
        <f>SUM(E33:E34)</f>
        <v>374.96</v>
      </c>
      <c r="F35" s="2">
        <f>SUM(F33:F34)</f>
        <v>304.51</v>
      </c>
      <c r="G35" s="2">
        <f>SUM(G33:G34)</f>
        <v>2720.53</v>
      </c>
      <c r="H35" s="25"/>
    </row>
    <row r="36" spans="1:8" ht="20" x14ac:dyDescent="0.2">
      <c r="A36" s="35"/>
      <c r="B36" s="145"/>
      <c r="C36" s="36" t="s">
        <v>48</v>
      </c>
      <c r="D36" s="21"/>
      <c r="E36" s="21"/>
      <c r="F36" s="21"/>
      <c r="G36" s="21"/>
      <c r="H36" s="21"/>
    </row>
    <row r="37" spans="1:8" x14ac:dyDescent="0.2">
      <c r="A37" s="35"/>
      <c r="B37" s="145" t="s">
        <v>49</v>
      </c>
      <c r="C37" s="36"/>
      <c r="D37" s="21"/>
      <c r="E37" s="21"/>
      <c r="F37" s="21"/>
      <c r="G37" s="21"/>
      <c r="H37" s="21"/>
    </row>
    <row r="38" spans="1:8" x14ac:dyDescent="0.2">
      <c r="A38" s="145"/>
      <c r="B38" s="35"/>
      <c r="C38" s="36" t="s">
        <v>50</v>
      </c>
      <c r="D38" s="21"/>
      <c r="E38" s="21"/>
      <c r="F38" s="21"/>
      <c r="G38" s="21"/>
      <c r="H38" s="21"/>
    </row>
    <row r="39" spans="1:8" x14ac:dyDescent="0.2">
      <c r="A39" s="35"/>
      <c r="B39" s="35"/>
      <c r="C39" s="36" t="s">
        <v>51</v>
      </c>
      <c r="D39" s="21"/>
      <c r="E39" s="21"/>
      <c r="F39" s="21"/>
      <c r="G39" s="21"/>
      <c r="H39" s="21"/>
    </row>
    <row r="40" spans="1:8" ht="30" x14ac:dyDescent="0.2">
      <c r="A40" s="35"/>
      <c r="B40" s="35"/>
      <c r="C40" s="36" t="s">
        <v>52</v>
      </c>
      <c r="D40" s="21"/>
      <c r="E40" s="21"/>
      <c r="F40" s="21"/>
      <c r="G40" s="21"/>
      <c r="H40" s="21"/>
    </row>
    <row r="41" spans="1:8" s="38" customFormat="1" ht="10.5" x14ac:dyDescent="0.25">
      <c r="A41" s="37" t="s">
        <v>53</v>
      </c>
      <c r="B41" s="142"/>
      <c r="C41" s="140"/>
      <c r="D41" s="85"/>
      <c r="E41" s="85"/>
      <c r="F41" s="85"/>
      <c r="G41" s="85"/>
      <c r="H41" s="85"/>
    </row>
    <row r="42" spans="1:8" ht="30.5" x14ac:dyDescent="0.25">
      <c r="A42" s="29"/>
      <c r="B42" s="146" t="s">
        <v>54</v>
      </c>
      <c r="C42" s="147" t="s">
        <v>55</v>
      </c>
      <c r="D42" s="21"/>
      <c r="E42" s="21"/>
      <c r="F42" s="21"/>
      <c r="G42" s="21"/>
      <c r="H42" s="21"/>
    </row>
    <row r="43" spans="1:8" ht="40.5" x14ac:dyDescent="0.25">
      <c r="A43" s="29"/>
      <c r="B43" s="146"/>
      <c r="C43" s="36" t="s">
        <v>56</v>
      </c>
      <c r="D43" s="21"/>
      <c r="E43" s="21"/>
      <c r="F43" s="21"/>
      <c r="G43" s="21"/>
      <c r="H43" s="21"/>
    </row>
    <row r="44" spans="1:8" ht="20" x14ac:dyDescent="0.2">
      <c r="A44" s="35"/>
      <c r="B44" s="35"/>
      <c r="C44" s="36" t="s">
        <v>57</v>
      </c>
      <c r="D44" s="21"/>
      <c r="E44" s="21"/>
      <c r="F44" s="21"/>
      <c r="G44" s="21"/>
      <c r="H44" s="21"/>
    </row>
    <row r="46" spans="1:8" s="38" customFormat="1" ht="10.5" x14ac:dyDescent="0.25">
      <c r="A46" s="37" t="s">
        <v>58</v>
      </c>
      <c r="B46" s="142"/>
      <c r="C46" s="140"/>
      <c r="D46" s="85"/>
      <c r="E46" s="85"/>
      <c r="F46" s="85"/>
      <c r="G46" s="85"/>
      <c r="H46" s="85"/>
    </row>
    <row r="47" spans="1:8" ht="20" x14ac:dyDescent="0.2">
      <c r="A47" s="35"/>
      <c r="B47" s="35" t="s">
        <v>59</v>
      </c>
      <c r="C47" s="36" t="s">
        <v>60</v>
      </c>
      <c r="D47" s="21"/>
      <c r="E47" s="21"/>
      <c r="F47" s="21"/>
      <c r="G47" s="21"/>
      <c r="H47" s="21"/>
    </row>
    <row r="49" spans="1:3" s="38" customFormat="1" ht="10.5" x14ac:dyDescent="0.25">
      <c r="A49" s="37" t="s">
        <v>61</v>
      </c>
      <c r="B49" s="142"/>
      <c r="C49" s="140"/>
    </row>
    <row r="50" spans="1:3" ht="40" x14ac:dyDescent="0.2">
      <c r="A50" s="148">
        <v>40065</v>
      </c>
      <c r="B50" s="36" t="s">
        <v>62</v>
      </c>
      <c r="C50" s="36" t="s">
        <v>63</v>
      </c>
    </row>
    <row r="55" spans="1:3" x14ac:dyDescent="0.2">
      <c r="A55" s="35" t="s">
        <v>64</v>
      </c>
      <c r="B55" s="35"/>
      <c r="C55" s="36"/>
    </row>
    <row r="56" spans="1:3" x14ac:dyDescent="0.2">
      <c r="A56" s="149">
        <v>40230</v>
      </c>
      <c r="B56" s="35" t="s">
        <v>65</v>
      </c>
      <c r="C56" s="36"/>
    </row>
    <row r="59" spans="1:3" s="38" customFormat="1" ht="10.5" x14ac:dyDescent="0.25">
      <c r="A59" s="37" t="s">
        <v>66</v>
      </c>
      <c r="B59" s="142"/>
      <c r="C59" s="140"/>
    </row>
    <row r="60" spans="1:3" x14ac:dyDescent="0.2">
      <c r="A60" s="35" t="s">
        <v>67</v>
      </c>
      <c r="B60" s="35" t="s">
        <v>68</v>
      </c>
      <c r="C60" s="36"/>
    </row>
    <row r="61" spans="1:3" x14ac:dyDescent="0.2">
      <c r="A61" s="35" t="s">
        <v>69</v>
      </c>
      <c r="B61" s="35" t="s">
        <v>70</v>
      </c>
      <c r="C61" s="36"/>
    </row>
    <row r="62" spans="1:3" x14ac:dyDescent="0.2">
      <c r="A62" s="35" t="s">
        <v>71</v>
      </c>
      <c r="B62" s="35" t="s">
        <v>72</v>
      </c>
      <c r="C62" s="36"/>
    </row>
    <row r="63" spans="1:3" x14ac:dyDescent="0.2">
      <c r="A63" s="35" t="s">
        <v>73</v>
      </c>
      <c r="B63" s="35" t="s">
        <v>74</v>
      </c>
      <c r="C63" s="36"/>
    </row>
    <row r="66" spans="1:3" s="38" customFormat="1" ht="10.5" x14ac:dyDescent="0.25">
      <c r="A66" s="37" t="s">
        <v>75</v>
      </c>
      <c r="B66" s="142"/>
      <c r="C66" s="140"/>
    </row>
    <row r="67" spans="1:3" x14ac:dyDescent="0.2">
      <c r="A67" s="35" t="s">
        <v>76</v>
      </c>
      <c r="B67" s="35" t="s">
        <v>77</v>
      </c>
      <c r="C67" s="36"/>
    </row>
    <row r="68" spans="1:3" x14ac:dyDescent="0.2">
      <c r="A68" s="35" t="s">
        <v>78</v>
      </c>
      <c r="B68" s="35" t="s">
        <v>79</v>
      </c>
      <c r="C68" s="36"/>
    </row>
    <row r="69" spans="1:3" x14ac:dyDescent="0.2">
      <c r="A69" s="35" t="s">
        <v>80</v>
      </c>
      <c r="B69" s="46" t="s">
        <v>81</v>
      </c>
      <c r="C69" s="36"/>
    </row>
    <row r="70" spans="1:3" ht="40.5" x14ac:dyDescent="0.2">
      <c r="A70" s="35" t="s">
        <v>82</v>
      </c>
      <c r="B70" s="50" t="s">
        <v>83</v>
      </c>
      <c r="C70" s="36"/>
    </row>
  </sheetData>
  <mergeCells count="3">
    <mergeCell ref="A5:C5"/>
    <mergeCell ref="A18:C18"/>
    <mergeCell ref="A1:C1"/>
  </mergeCells>
  <phoneticPr fontId="3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indexed="48"/>
  </sheetPr>
  <dimension ref="A1:I313"/>
  <sheetViews>
    <sheetView zoomScaleNormal="100" workbookViewId="0">
      <pane ySplit="1" topLeftCell="A306" activePane="bottomLeft" state="frozenSplit"/>
      <selection activeCell="D979" sqref="D979"/>
      <selection pane="bottomLeft" activeCell="I302" sqref="I302"/>
    </sheetView>
  </sheetViews>
  <sheetFormatPr baseColWidth="10" defaultColWidth="11.453125" defaultRowHeight="10" x14ac:dyDescent="0.2"/>
  <cols>
    <col min="1" max="1" width="6.54296875" style="162" customWidth="1"/>
    <col min="2" max="2" width="7.26953125" style="191" bestFit="1" customWidth="1"/>
    <col min="3" max="3" width="12.26953125" style="162" customWidth="1"/>
    <col min="4" max="4" width="42.26953125" style="162" customWidth="1"/>
    <col min="5" max="5" width="11.26953125" style="196" bestFit="1" customWidth="1"/>
    <col min="6" max="16384" width="11.453125" style="162"/>
  </cols>
  <sheetData>
    <row r="1" spans="1:5" s="157" customFormat="1" ht="10.5" x14ac:dyDescent="0.25">
      <c r="A1" s="154" t="s">
        <v>84</v>
      </c>
      <c r="B1" s="155" t="s">
        <v>85</v>
      </c>
      <c r="C1" s="154" t="s">
        <v>86</v>
      </c>
      <c r="D1" s="154" t="s">
        <v>87</v>
      </c>
      <c r="E1" s="156" t="s">
        <v>88</v>
      </c>
    </row>
    <row r="2" spans="1:5" x14ac:dyDescent="0.2">
      <c r="A2" s="158" t="s">
        <v>89</v>
      </c>
      <c r="B2" s="159" t="s">
        <v>90</v>
      </c>
      <c r="C2" s="158" t="s">
        <v>91</v>
      </c>
      <c r="D2" s="160" t="s">
        <v>92</v>
      </c>
      <c r="E2" s="161">
        <f t="shared" ref="E2:E38" si="0">SUMIFS(Journal.Montant,Journal.Cpte,"="&amp;$A2,Journal.SsCpte,"="&amp;$B2,Journal.Dest,"="&amp;$C2)</f>
        <v>16585.099999999999</v>
      </c>
    </row>
    <row r="3" spans="1:5" x14ac:dyDescent="0.2">
      <c r="A3" s="158" t="s">
        <v>89</v>
      </c>
      <c r="B3" s="159" t="s">
        <v>90</v>
      </c>
      <c r="C3" s="158" t="s">
        <v>93</v>
      </c>
      <c r="D3" s="160" t="s">
        <v>92</v>
      </c>
      <c r="E3" s="161">
        <f t="shared" si="0"/>
        <v>25.91</v>
      </c>
    </row>
    <row r="4" spans="1:5" x14ac:dyDescent="0.2">
      <c r="A4" s="158" t="s">
        <v>89</v>
      </c>
      <c r="B4" s="159" t="s">
        <v>90</v>
      </c>
      <c r="C4" s="158" t="s">
        <v>94</v>
      </c>
      <c r="D4" s="163" t="s">
        <v>92</v>
      </c>
      <c r="E4" s="161">
        <f t="shared" si="0"/>
        <v>4.3899999999999997</v>
      </c>
    </row>
    <row r="5" spans="1:5" x14ac:dyDescent="0.2">
      <c r="A5" s="158" t="s">
        <v>89</v>
      </c>
      <c r="B5" s="159" t="s">
        <v>90</v>
      </c>
      <c r="C5" s="158" t="s">
        <v>95</v>
      </c>
      <c r="D5" s="160" t="s">
        <v>92</v>
      </c>
      <c r="E5" s="161">
        <f>SUMIFS(Journal.Montant,Journal.Cpte,"="&amp;$A5,Journal.SsCpte,"="&amp;$B5,Journal.Dest,"="&amp;$C5)</f>
        <v>0</v>
      </c>
    </row>
    <row r="6" spans="1:5" x14ac:dyDescent="0.2">
      <c r="A6" s="158" t="s">
        <v>89</v>
      </c>
      <c r="B6" s="159" t="s">
        <v>96</v>
      </c>
      <c r="C6" s="158" t="s">
        <v>91</v>
      </c>
      <c r="D6" s="160" t="s">
        <v>97</v>
      </c>
      <c r="E6" s="161">
        <f t="shared" si="0"/>
        <v>3228.24</v>
      </c>
    </row>
    <row r="7" spans="1:5" x14ac:dyDescent="0.2">
      <c r="A7" s="158" t="s">
        <v>89</v>
      </c>
      <c r="B7" s="159" t="s">
        <v>96</v>
      </c>
      <c r="C7" s="158" t="s">
        <v>93</v>
      </c>
      <c r="D7" s="160" t="s">
        <v>97</v>
      </c>
      <c r="E7" s="161">
        <f t="shared" si="0"/>
        <v>0</v>
      </c>
    </row>
    <row r="8" spans="1:5" x14ac:dyDescent="0.2">
      <c r="A8" s="158" t="s">
        <v>89</v>
      </c>
      <c r="B8" s="159" t="s">
        <v>96</v>
      </c>
      <c r="C8" s="158" t="s">
        <v>94</v>
      </c>
      <c r="D8" s="160" t="s">
        <v>97</v>
      </c>
      <c r="E8" s="161">
        <f t="shared" si="0"/>
        <v>0</v>
      </c>
    </row>
    <row r="9" spans="1:5" x14ac:dyDescent="0.2">
      <c r="A9" s="158" t="s">
        <v>89</v>
      </c>
      <c r="B9" s="159" t="s">
        <v>96</v>
      </c>
      <c r="C9" s="158" t="s">
        <v>98</v>
      </c>
      <c r="D9" s="160" t="s">
        <v>97</v>
      </c>
      <c r="E9" s="161">
        <f t="shared" si="0"/>
        <v>0</v>
      </c>
    </row>
    <row r="10" spans="1:5" x14ac:dyDescent="0.2">
      <c r="A10" s="158" t="s">
        <v>89</v>
      </c>
      <c r="B10" s="159" t="s">
        <v>96</v>
      </c>
      <c r="C10" s="158" t="s">
        <v>95</v>
      </c>
      <c r="D10" s="160" t="s">
        <v>97</v>
      </c>
      <c r="E10" s="161">
        <f t="shared" si="0"/>
        <v>43</v>
      </c>
    </row>
    <row r="11" spans="1:5" x14ac:dyDescent="0.2">
      <c r="A11" s="158" t="s">
        <v>89</v>
      </c>
      <c r="B11" s="159" t="s">
        <v>96</v>
      </c>
      <c r="C11" s="158" t="s">
        <v>99</v>
      </c>
      <c r="D11" s="160" t="s">
        <v>97</v>
      </c>
      <c r="E11" s="161">
        <f t="shared" si="0"/>
        <v>0</v>
      </c>
    </row>
    <row r="12" spans="1:5" x14ac:dyDescent="0.2">
      <c r="A12" s="158" t="s">
        <v>89</v>
      </c>
      <c r="B12" s="159" t="s">
        <v>96</v>
      </c>
      <c r="C12" s="158" t="s">
        <v>100</v>
      </c>
      <c r="D12" s="160" t="s">
        <v>97</v>
      </c>
      <c r="E12" s="161">
        <f t="shared" si="0"/>
        <v>30.5</v>
      </c>
    </row>
    <row r="13" spans="1:5" x14ac:dyDescent="0.2">
      <c r="A13" s="158" t="s">
        <v>89</v>
      </c>
      <c r="B13" s="159" t="s">
        <v>101</v>
      </c>
      <c r="C13" s="158" t="s">
        <v>91</v>
      </c>
      <c r="D13" s="160" t="s">
        <v>102</v>
      </c>
      <c r="E13" s="161">
        <f t="shared" si="0"/>
        <v>257.32</v>
      </c>
    </row>
    <row r="14" spans="1:5" x14ac:dyDescent="0.2">
      <c r="A14" s="158" t="s">
        <v>103</v>
      </c>
      <c r="B14" s="159" t="s">
        <v>90</v>
      </c>
      <c r="C14" s="158" t="s">
        <v>91</v>
      </c>
      <c r="D14" s="160" t="s">
        <v>104</v>
      </c>
      <c r="E14" s="161">
        <f t="shared" si="0"/>
        <v>0</v>
      </c>
    </row>
    <row r="15" spans="1:5" x14ac:dyDescent="0.2">
      <c r="A15" s="158" t="s">
        <v>105</v>
      </c>
      <c r="B15" s="159" t="s">
        <v>90</v>
      </c>
      <c r="C15" s="158" t="s">
        <v>98</v>
      </c>
      <c r="D15" s="160" t="s">
        <v>106</v>
      </c>
      <c r="E15" s="161">
        <f t="shared" si="0"/>
        <v>137.57</v>
      </c>
    </row>
    <row r="16" spans="1:5" x14ac:dyDescent="0.2">
      <c r="A16" s="158" t="s">
        <v>105</v>
      </c>
      <c r="B16" s="159" t="s">
        <v>90</v>
      </c>
      <c r="C16" s="158" t="s">
        <v>95</v>
      </c>
      <c r="D16" s="160" t="s">
        <v>106</v>
      </c>
      <c r="E16" s="161">
        <f t="shared" si="0"/>
        <v>286.2</v>
      </c>
    </row>
    <row r="17" spans="1:5" x14ac:dyDescent="0.2">
      <c r="A17" s="158" t="s">
        <v>105</v>
      </c>
      <c r="B17" s="159" t="s">
        <v>90</v>
      </c>
      <c r="C17" s="158" t="s">
        <v>100</v>
      </c>
      <c r="D17" s="160" t="s">
        <v>106</v>
      </c>
      <c r="E17" s="161">
        <f t="shared" si="0"/>
        <v>0</v>
      </c>
    </row>
    <row r="18" spans="1:5" x14ac:dyDescent="0.2">
      <c r="A18" s="158" t="s">
        <v>105</v>
      </c>
      <c r="B18" s="159" t="s">
        <v>90</v>
      </c>
      <c r="C18" s="158" t="s">
        <v>93</v>
      </c>
      <c r="D18" s="160" t="s">
        <v>106</v>
      </c>
      <c r="E18" s="161">
        <f t="shared" si="0"/>
        <v>452.81</v>
      </c>
    </row>
    <row r="19" spans="1:5" x14ac:dyDescent="0.2">
      <c r="A19" s="158" t="s">
        <v>105</v>
      </c>
      <c r="B19" s="159" t="s">
        <v>90</v>
      </c>
      <c r="C19" s="158" t="s">
        <v>94</v>
      </c>
      <c r="D19" s="160" t="s">
        <v>106</v>
      </c>
      <c r="E19" s="161">
        <f t="shared" si="0"/>
        <v>141.83000000000001</v>
      </c>
    </row>
    <row r="20" spans="1:5" x14ac:dyDescent="0.2">
      <c r="A20" s="158" t="s">
        <v>105</v>
      </c>
      <c r="B20" s="159" t="s">
        <v>90</v>
      </c>
      <c r="C20" s="158" t="s">
        <v>107</v>
      </c>
      <c r="D20" s="160" t="s">
        <v>106</v>
      </c>
      <c r="E20" s="161">
        <f t="shared" si="0"/>
        <v>22</v>
      </c>
    </row>
    <row r="21" spans="1:5" x14ac:dyDescent="0.2">
      <c r="A21" s="158" t="s">
        <v>105</v>
      </c>
      <c r="B21" s="159" t="s">
        <v>90</v>
      </c>
      <c r="C21" s="158" t="s">
        <v>99</v>
      </c>
      <c r="D21" s="160" t="s">
        <v>106</v>
      </c>
      <c r="E21" s="161">
        <f t="shared" si="0"/>
        <v>447.16</v>
      </c>
    </row>
    <row r="22" spans="1:5" x14ac:dyDescent="0.2">
      <c r="A22" s="158" t="s">
        <v>105</v>
      </c>
      <c r="B22" s="159" t="s">
        <v>90</v>
      </c>
      <c r="C22" s="158" t="s">
        <v>91</v>
      </c>
      <c r="D22" s="160" t="s">
        <v>108</v>
      </c>
      <c r="E22" s="161">
        <f t="shared" si="0"/>
        <v>1081.4000000000001</v>
      </c>
    </row>
    <row r="23" spans="1:5" x14ac:dyDescent="0.2">
      <c r="A23" s="158" t="s">
        <v>105</v>
      </c>
      <c r="B23" s="159" t="s">
        <v>90</v>
      </c>
      <c r="C23" s="158" t="s">
        <v>109</v>
      </c>
      <c r="D23" s="160" t="s">
        <v>106</v>
      </c>
      <c r="E23" s="161">
        <f t="shared" si="0"/>
        <v>0</v>
      </c>
    </row>
    <row r="24" spans="1:5" x14ac:dyDescent="0.2">
      <c r="A24" s="158" t="s">
        <v>110</v>
      </c>
      <c r="B24" s="159" t="s">
        <v>90</v>
      </c>
      <c r="C24" s="158" t="s">
        <v>91</v>
      </c>
      <c r="D24" s="160" t="s">
        <v>111</v>
      </c>
      <c r="E24" s="161">
        <f t="shared" si="0"/>
        <v>-1258.03</v>
      </c>
    </row>
    <row r="25" spans="1:5" x14ac:dyDescent="0.2">
      <c r="A25" s="158" t="s">
        <v>110</v>
      </c>
      <c r="B25" s="159" t="s">
        <v>96</v>
      </c>
      <c r="C25" s="158" t="s">
        <v>112</v>
      </c>
      <c r="D25" s="160" t="s">
        <v>113</v>
      </c>
      <c r="E25" s="161">
        <f>SUMIFS(Journal.Montant,Journal.Cpte,"="&amp;$A25,Journal.SsCpte,"="&amp;$B25,Journal.Dest,"="&amp;$C25)</f>
        <v>3735</v>
      </c>
    </row>
    <row r="26" spans="1:5" x14ac:dyDescent="0.2">
      <c r="A26" s="158" t="s">
        <v>110</v>
      </c>
      <c r="B26" s="159" t="s">
        <v>96</v>
      </c>
      <c r="C26" s="158" t="s">
        <v>852</v>
      </c>
      <c r="D26" s="160" t="s">
        <v>113</v>
      </c>
      <c r="E26" s="161">
        <f>SUMIFS(Journal.Montant,Journal.Cpte,"="&amp;$A26,Journal.SsCpte,"="&amp;$B26,Journal.Dest,"="&amp;$C26)</f>
        <v>1390</v>
      </c>
    </row>
    <row r="27" spans="1:5" x14ac:dyDescent="0.2">
      <c r="A27" s="158" t="s">
        <v>110</v>
      </c>
      <c r="B27" s="159" t="s">
        <v>96</v>
      </c>
      <c r="C27" s="158" t="s">
        <v>115</v>
      </c>
      <c r="D27" s="160" t="s">
        <v>113</v>
      </c>
      <c r="E27" s="161">
        <f>SUMIFS(Journal.Montant,Journal.Cpte,"="&amp;$A27,Journal.SsCpte,"="&amp;$B27,Journal.Dest,"="&amp;$C27)</f>
        <v>2402</v>
      </c>
    </row>
    <row r="28" spans="1:5" x14ac:dyDescent="0.2">
      <c r="A28" s="158" t="s">
        <v>110</v>
      </c>
      <c r="B28" s="159" t="s">
        <v>116</v>
      </c>
      <c r="C28" s="158" t="s">
        <v>91</v>
      </c>
      <c r="D28" s="160" t="s">
        <v>117</v>
      </c>
      <c r="E28" s="161">
        <f t="shared" si="0"/>
        <v>0</v>
      </c>
    </row>
    <row r="29" spans="1:5" x14ac:dyDescent="0.2">
      <c r="A29" s="158" t="s">
        <v>110</v>
      </c>
      <c r="B29" s="159" t="s">
        <v>116</v>
      </c>
      <c r="C29" s="158" t="s">
        <v>94</v>
      </c>
      <c r="D29" s="160" t="s">
        <v>117</v>
      </c>
      <c r="E29" s="161">
        <f t="shared" si="0"/>
        <v>0</v>
      </c>
    </row>
    <row r="30" spans="1:5" x14ac:dyDescent="0.2">
      <c r="A30" s="158" t="s">
        <v>110</v>
      </c>
      <c r="B30" s="159" t="s">
        <v>118</v>
      </c>
      <c r="C30" s="158" t="s">
        <v>91</v>
      </c>
      <c r="D30" s="160" t="s">
        <v>119</v>
      </c>
      <c r="E30" s="161">
        <f t="shared" si="0"/>
        <v>0</v>
      </c>
    </row>
    <row r="31" spans="1:5" x14ac:dyDescent="0.2">
      <c r="A31" s="158" t="s">
        <v>110</v>
      </c>
      <c r="B31" s="159" t="s">
        <v>120</v>
      </c>
      <c r="C31" s="158" t="s">
        <v>91</v>
      </c>
      <c r="D31" s="160" t="s">
        <v>121</v>
      </c>
      <c r="E31" s="161">
        <f t="shared" si="0"/>
        <v>0</v>
      </c>
    </row>
    <row r="32" spans="1:5" x14ac:dyDescent="0.2">
      <c r="A32" s="158" t="s">
        <v>110</v>
      </c>
      <c r="B32" s="159" t="s">
        <v>122</v>
      </c>
      <c r="C32" s="158" t="s">
        <v>91</v>
      </c>
      <c r="D32" s="160" t="s">
        <v>123</v>
      </c>
      <c r="E32" s="161">
        <f t="shared" si="0"/>
        <v>45</v>
      </c>
    </row>
    <row r="33" spans="1:5" x14ac:dyDescent="0.2">
      <c r="A33" s="158" t="s">
        <v>124</v>
      </c>
      <c r="B33" s="159" t="s">
        <v>90</v>
      </c>
      <c r="C33" s="158" t="s">
        <v>91</v>
      </c>
      <c r="D33" s="160" t="s">
        <v>125</v>
      </c>
      <c r="E33" s="161">
        <f t="shared" si="0"/>
        <v>4185.46</v>
      </c>
    </row>
    <row r="34" spans="1:5" x14ac:dyDescent="0.2">
      <c r="A34" s="158" t="s">
        <v>124</v>
      </c>
      <c r="B34" s="159" t="s">
        <v>116</v>
      </c>
      <c r="C34" s="158" t="s">
        <v>91</v>
      </c>
      <c r="D34" s="160" t="s">
        <v>126</v>
      </c>
      <c r="E34" s="161">
        <f t="shared" si="0"/>
        <v>0</v>
      </c>
    </row>
    <row r="35" spans="1:5" x14ac:dyDescent="0.2">
      <c r="A35" s="158" t="s">
        <v>124</v>
      </c>
      <c r="B35" s="159" t="s">
        <v>118</v>
      </c>
      <c r="C35" s="158" t="s">
        <v>91</v>
      </c>
      <c r="D35" s="160" t="s">
        <v>127</v>
      </c>
      <c r="E35" s="161">
        <f t="shared" si="0"/>
        <v>0</v>
      </c>
    </row>
    <row r="36" spans="1:5" x14ac:dyDescent="0.2">
      <c r="A36" s="158" t="s">
        <v>124</v>
      </c>
      <c r="B36" s="159" t="s">
        <v>128</v>
      </c>
      <c r="C36" s="158" t="s">
        <v>91</v>
      </c>
      <c r="D36" s="160" t="s">
        <v>129</v>
      </c>
      <c r="E36" s="161">
        <f t="shared" si="0"/>
        <v>318.08</v>
      </c>
    </row>
    <row r="37" spans="1:5" x14ac:dyDescent="0.2">
      <c r="A37" s="158" t="s">
        <v>124</v>
      </c>
      <c r="B37" s="159" t="s">
        <v>128</v>
      </c>
      <c r="C37" s="158" t="s">
        <v>93</v>
      </c>
      <c r="D37" s="160" t="s">
        <v>130</v>
      </c>
      <c r="E37" s="161">
        <f t="shared" si="0"/>
        <v>0</v>
      </c>
    </row>
    <row r="38" spans="1:5" x14ac:dyDescent="0.2">
      <c r="A38" s="158" t="s">
        <v>124</v>
      </c>
      <c r="B38" s="159" t="s">
        <v>128</v>
      </c>
      <c r="C38" s="158" t="s">
        <v>131</v>
      </c>
      <c r="D38" s="160" t="s">
        <v>132</v>
      </c>
      <c r="E38" s="161">
        <f t="shared" si="0"/>
        <v>0</v>
      </c>
    </row>
    <row r="39" spans="1:5" x14ac:dyDescent="0.2">
      <c r="A39" s="158" t="s">
        <v>124</v>
      </c>
      <c r="B39" s="159" t="s">
        <v>128</v>
      </c>
      <c r="C39" s="158" t="s">
        <v>133</v>
      </c>
      <c r="D39" s="160" t="s">
        <v>134</v>
      </c>
      <c r="E39" s="161">
        <f t="shared" ref="E39:E72" si="1">SUMIFS(Journal.Montant,Journal.Cpte,"="&amp;$A39,Journal.SsCpte,"="&amp;$B39,Journal.Dest,"="&amp;$C39)</f>
        <v>0</v>
      </c>
    </row>
    <row r="40" spans="1:5" x14ac:dyDescent="0.2">
      <c r="A40" s="158" t="s">
        <v>124</v>
      </c>
      <c r="B40" s="159" t="s">
        <v>135</v>
      </c>
      <c r="C40" s="158" t="s">
        <v>91</v>
      </c>
      <c r="D40" s="160" t="s">
        <v>136</v>
      </c>
      <c r="E40" s="161">
        <f t="shared" si="1"/>
        <v>0</v>
      </c>
    </row>
    <row r="41" spans="1:5" x14ac:dyDescent="0.2">
      <c r="A41" s="158" t="s">
        <v>124</v>
      </c>
      <c r="B41" s="159" t="s">
        <v>137</v>
      </c>
      <c r="C41" s="158" t="s">
        <v>91</v>
      </c>
      <c r="D41" s="160" t="s">
        <v>138</v>
      </c>
      <c r="E41" s="161">
        <f t="shared" si="1"/>
        <v>0</v>
      </c>
    </row>
    <row r="42" spans="1:5" x14ac:dyDescent="0.2">
      <c r="A42" s="158" t="s">
        <v>139</v>
      </c>
      <c r="B42" s="159" t="s">
        <v>90</v>
      </c>
      <c r="C42" s="158" t="s">
        <v>91</v>
      </c>
      <c r="D42" s="160" t="s">
        <v>140</v>
      </c>
      <c r="E42" s="161">
        <f t="shared" si="1"/>
        <v>57.92</v>
      </c>
    </row>
    <row r="43" spans="1:5" x14ac:dyDescent="0.2">
      <c r="A43" s="158" t="s">
        <v>139</v>
      </c>
      <c r="B43" s="159" t="s">
        <v>90</v>
      </c>
      <c r="C43" s="158" t="s">
        <v>93</v>
      </c>
      <c r="D43" s="160" t="s">
        <v>140</v>
      </c>
      <c r="E43" s="161">
        <f t="shared" si="1"/>
        <v>0</v>
      </c>
    </row>
    <row r="44" spans="1:5" x14ac:dyDescent="0.2">
      <c r="A44" s="158" t="s">
        <v>139</v>
      </c>
      <c r="B44" s="159" t="s">
        <v>90</v>
      </c>
      <c r="C44" s="158" t="s">
        <v>94</v>
      </c>
      <c r="D44" s="160" t="s">
        <v>140</v>
      </c>
      <c r="E44" s="161">
        <f t="shared" si="1"/>
        <v>0</v>
      </c>
    </row>
    <row r="45" spans="1:5" x14ac:dyDescent="0.2">
      <c r="A45" s="158" t="s">
        <v>139</v>
      </c>
      <c r="B45" s="159" t="s">
        <v>90</v>
      </c>
      <c r="C45" s="158" t="s">
        <v>98</v>
      </c>
      <c r="D45" s="160" t="s">
        <v>140</v>
      </c>
      <c r="E45" s="161">
        <f t="shared" si="1"/>
        <v>61.61</v>
      </c>
    </row>
    <row r="46" spans="1:5" x14ac:dyDescent="0.2">
      <c r="A46" s="158" t="s">
        <v>139</v>
      </c>
      <c r="B46" s="159" t="s">
        <v>90</v>
      </c>
      <c r="C46" s="158" t="s">
        <v>100</v>
      </c>
      <c r="D46" s="160" t="s">
        <v>140</v>
      </c>
      <c r="E46" s="161">
        <f t="shared" si="1"/>
        <v>0</v>
      </c>
    </row>
    <row r="47" spans="1:5" x14ac:dyDescent="0.2">
      <c r="A47" s="158" t="s">
        <v>139</v>
      </c>
      <c r="B47" s="159" t="s">
        <v>90</v>
      </c>
      <c r="C47" s="158" t="s">
        <v>95</v>
      </c>
      <c r="D47" s="160" t="s">
        <v>140</v>
      </c>
      <c r="E47" s="161">
        <f t="shared" si="1"/>
        <v>0</v>
      </c>
    </row>
    <row r="48" spans="1:5" x14ac:dyDescent="0.2">
      <c r="A48" s="158" t="s">
        <v>139</v>
      </c>
      <c r="B48" s="159" t="s">
        <v>96</v>
      </c>
      <c r="C48" s="158" t="s">
        <v>91</v>
      </c>
      <c r="D48" s="160" t="s">
        <v>141</v>
      </c>
      <c r="E48" s="161">
        <f t="shared" si="1"/>
        <v>0</v>
      </c>
    </row>
    <row r="49" spans="1:5" x14ac:dyDescent="0.2">
      <c r="A49" s="158" t="s">
        <v>139</v>
      </c>
      <c r="B49" s="159" t="s">
        <v>96</v>
      </c>
      <c r="C49" s="158" t="s">
        <v>107</v>
      </c>
      <c r="D49" s="160" t="s">
        <v>141</v>
      </c>
      <c r="E49" s="161">
        <f t="shared" si="1"/>
        <v>0</v>
      </c>
    </row>
    <row r="50" spans="1:5" x14ac:dyDescent="0.2">
      <c r="A50" s="158" t="s">
        <v>139</v>
      </c>
      <c r="B50" s="159" t="s">
        <v>96</v>
      </c>
      <c r="C50" s="158" t="s">
        <v>93</v>
      </c>
      <c r="D50" s="160" t="s">
        <v>141</v>
      </c>
      <c r="E50" s="161">
        <f t="shared" si="1"/>
        <v>0</v>
      </c>
    </row>
    <row r="51" spans="1:5" x14ac:dyDescent="0.2">
      <c r="A51" s="158" t="s">
        <v>139</v>
      </c>
      <c r="B51" s="159" t="s">
        <v>96</v>
      </c>
      <c r="C51" s="158" t="s">
        <v>94</v>
      </c>
      <c r="D51" s="160" t="s">
        <v>141</v>
      </c>
      <c r="E51" s="161">
        <f t="shared" si="1"/>
        <v>0</v>
      </c>
    </row>
    <row r="52" spans="1:5" x14ac:dyDescent="0.2">
      <c r="A52" s="158" t="s">
        <v>139</v>
      </c>
      <c r="B52" s="159" t="s">
        <v>96</v>
      </c>
      <c r="C52" s="158" t="s">
        <v>98</v>
      </c>
      <c r="D52" s="160" t="s">
        <v>141</v>
      </c>
      <c r="E52" s="161">
        <f t="shared" si="1"/>
        <v>0</v>
      </c>
    </row>
    <row r="53" spans="1:5" x14ac:dyDescent="0.2">
      <c r="A53" s="158" t="s">
        <v>139</v>
      </c>
      <c r="B53" s="159" t="s">
        <v>96</v>
      </c>
      <c r="C53" s="158" t="s">
        <v>95</v>
      </c>
      <c r="D53" s="160" t="s">
        <v>141</v>
      </c>
      <c r="E53" s="161">
        <f t="shared" si="1"/>
        <v>0</v>
      </c>
    </row>
    <row r="54" spans="1:5" x14ac:dyDescent="0.2">
      <c r="A54" s="158" t="s">
        <v>139</v>
      </c>
      <c r="B54" s="159" t="s">
        <v>96</v>
      </c>
      <c r="C54" s="158" t="s">
        <v>100</v>
      </c>
      <c r="D54" s="160" t="s">
        <v>141</v>
      </c>
      <c r="E54" s="161">
        <f t="shared" si="1"/>
        <v>0</v>
      </c>
    </row>
    <row r="55" spans="1:5" x14ac:dyDescent="0.2">
      <c r="A55" s="158" t="s">
        <v>139</v>
      </c>
      <c r="B55" s="159" t="s">
        <v>118</v>
      </c>
      <c r="C55" s="158" t="s">
        <v>91</v>
      </c>
      <c r="D55" s="160" t="s">
        <v>142</v>
      </c>
      <c r="E55" s="161">
        <f t="shared" si="1"/>
        <v>0</v>
      </c>
    </row>
    <row r="56" spans="1:5" x14ac:dyDescent="0.2">
      <c r="A56" s="158" t="s">
        <v>139</v>
      </c>
      <c r="B56" s="159" t="s">
        <v>128</v>
      </c>
      <c r="C56" s="158" t="s">
        <v>91</v>
      </c>
      <c r="D56" s="160" t="s">
        <v>143</v>
      </c>
      <c r="E56" s="161">
        <f t="shared" si="1"/>
        <v>1726.5</v>
      </c>
    </row>
    <row r="57" spans="1:5" x14ac:dyDescent="0.2">
      <c r="A57" s="158" t="s">
        <v>139</v>
      </c>
      <c r="B57" s="159" t="s">
        <v>128</v>
      </c>
      <c r="C57" s="158" t="s">
        <v>93</v>
      </c>
      <c r="D57" s="160" t="s">
        <v>143</v>
      </c>
      <c r="E57" s="161">
        <f t="shared" si="1"/>
        <v>0</v>
      </c>
    </row>
    <row r="58" spans="1:5" x14ac:dyDescent="0.2">
      <c r="A58" s="158" t="s">
        <v>139</v>
      </c>
      <c r="B58" s="159" t="s">
        <v>128</v>
      </c>
      <c r="C58" s="158" t="s">
        <v>94</v>
      </c>
      <c r="D58" s="160" t="s">
        <v>143</v>
      </c>
      <c r="E58" s="161">
        <f t="shared" si="1"/>
        <v>300</v>
      </c>
    </row>
    <row r="59" spans="1:5" x14ac:dyDescent="0.2">
      <c r="A59" s="158" t="s">
        <v>139</v>
      </c>
      <c r="B59" s="159" t="s">
        <v>128</v>
      </c>
      <c r="C59" s="158" t="s">
        <v>98</v>
      </c>
      <c r="D59" s="160" t="s">
        <v>143</v>
      </c>
      <c r="E59" s="161">
        <f t="shared" si="1"/>
        <v>40</v>
      </c>
    </row>
    <row r="60" spans="1:5" x14ac:dyDescent="0.2">
      <c r="A60" s="158" t="s">
        <v>139</v>
      </c>
      <c r="B60" s="159" t="s">
        <v>128</v>
      </c>
      <c r="C60" s="158" t="s">
        <v>95</v>
      </c>
      <c r="D60" s="160" t="s">
        <v>143</v>
      </c>
      <c r="E60" s="161">
        <f t="shared" si="1"/>
        <v>8.8000000000000007</v>
      </c>
    </row>
    <row r="61" spans="1:5" x14ac:dyDescent="0.2">
      <c r="A61" s="158" t="s">
        <v>139</v>
      </c>
      <c r="B61" s="159" t="s">
        <v>128</v>
      </c>
      <c r="C61" s="158" t="s">
        <v>99</v>
      </c>
      <c r="D61" s="160" t="s">
        <v>143</v>
      </c>
      <c r="E61" s="161">
        <f t="shared" si="1"/>
        <v>63.5</v>
      </c>
    </row>
    <row r="62" spans="1:5" x14ac:dyDescent="0.2">
      <c r="A62" s="158" t="s">
        <v>139</v>
      </c>
      <c r="B62" s="159" t="s">
        <v>128</v>
      </c>
      <c r="C62" s="158" t="s">
        <v>107</v>
      </c>
      <c r="D62" s="160" t="s">
        <v>143</v>
      </c>
      <c r="E62" s="161">
        <f t="shared" si="1"/>
        <v>0</v>
      </c>
    </row>
    <row r="63" spans="1:5" x14ac:dyDescent="0.2">
      <c r="A63" s="158" t="s">
        <v>139</v>
      </c>
      <c r="B63" s="159" t="s">
        <v>128</v>
      </c>
      <c r="C63" s="158" t="s">
        <v>100</v>
      </c>
      <c r="D63" s="160" t="s">
        <v>143</v>
      </c>
      <c r="E63" s="161">
        <f t="shared" si="1"/>
        <v>0</v>
      </c>
    </row>
    <row r="64" spans="1:5" x14ac:dyDescent="0.2">
      <c r="A64" s="158" t="s">
        <v>139</v>
      </c>
      <c r="B64" s="159" t="s">
        <v>135</v>
      </c>
      <c r="C64" s="158" t="s">
        <v>91</v>
      </c>
      <c r="D64" s="160" t="s">
        <v>144</v>
      </c>
      <c r="E64" s="161">
        <f>SUMIFS(Journal.Montant,Journal.Cpte,"="&amp;$A64,Journal.SsCpte,"="&amp;$B64,Journal.Dest,"="&amp;$C64)</f>
        <v>0</v>
      </c>
    </row>
    <row r="65" spans="1:5" x14ac:dyDescent="0.2">
      <c r="A65" s="158" t="s">
        <v>145</v>
      </c>
      <c r="B65" s="159" t="s">
        <v>90</v>
      </c>
      <c r="C65" s="158" t="s">
        <v>91</v>
      </c>
      <c r="D65" s="160" t="s">
        <v>146</v>
      </c>
      <c r="E65" s="161">
        <f t="shared" si="1"/>
        <v>0</v>
      </c>
    </row>
    <row r="66" spans="1:5" x14ac:dyDescent="0.2">
      <c r="A66" s="158" t="s">
        <v>145</v>
      </c>
      <c r="B66" s="159" t="s">
        <v>96</v>
      </c>
      <c r="C66" s="158" t="s">
        <v>91</v>
      </c>
      <c r="D66" s="160" t="s">
        <v>147</v>
      </c>
      <c r="E66" s="161">
        <f t="shared" si="1"/>
        <v>0</v>
      </c>
    </row>
    <row r="67" spans="1:5" x14ac:dyDescent="0.2">
      <c r="A67" s="158" t="s">
        <v>145</v>
      </c>
      <c r="B67" s="159" t="s">
        <v>116</v>
      </c>
      <c r="C67" s="158" t="s">
        <v>91</v>
      </c>
      <c r="D67" s="160" t="s">
        <v>148</v>
      </c>
      <c r="E67" s="161">
        <f t="shared" si="1"/>
        <v>1358.17</v>
      </c>
    </row>
    <row r="68" spans="1:5" x14ac:dyDescent="0.2">
      <c r="A68" s="158" t="s">
        <v>145</v>
      </c>
      <c r="B68" s="159" t="s">
        <v>116</v>
      </c>
      <c r="C68" s="158" t="s">
        <v>98</v>
      </c>
      <c r="D68" s="160" t="s">
        <v>148</v>
      </c>
      <c r="E68" s="161">
        <f t="shared" si="1"/>
        <v>179.81</v>
      </c>
    </row>
    <row r="69" spans="1:5" x14ac:dyDescent="0.2">
      <c r="A69" s="158" t="s">
        <v>145</v>
      </c>
      <c r="B69" s="159" t="s">
        <v>116</v>
      </c>
      <c r="C69" s="158" t="s">
        <v>95</v>
      </c>
      <c r="D69" s="160" t="s">
        <v>148</v>
      </c>
      <c r="E69" s="161">
        <f t="shared" si="1"/>
        <v>896.95</v>
      </c>
    </row>
    <row r="70" spans="1:5" x14ac:dyDescent="0.2">
      <c r="A70" s="158" t="s">
        <v>145</v>
      </c>
      <c r="B70" s="159" t="s">
        <v>116</v>
      </c>
      <c r="C70" s="158" t="s">
        <v>100</v>
      </c>
      <c r="D70" s="160" t="s">
        <v>148</v>
      </c>
      <c r="E70" s="161">
        <f t="shared" si="1"/>
        <v>0</v>
      </c>
    </row>
    <row r="71" spans="1:5" x14ac:dyDescent="0.2">
      <c r="A71" s="158" t="s">
        <v>145</v>
      </c>
      <c r="B71" s="159" t="s">
        <v>116</v>
      </c>
      <c r="C71" s="158" t="s">
        <v>93</v>
      </c>
      <c r="D71" s="160" t="s">
        <v>148</v>
      </c>
      <c r="E71" s="161">
        <f t="shared" si="1"/>
        <v>805.05</v>
      </c>
    </row>
    <row r="72" spans="1:5" x14ac:dyDescent="0.2">
      <c r="A72" s="158" t="s">
        <v>145</v>
      </c>
      <c r="B72" s="159" t="s">
        <v>116</v>
      </c>
      <c r="C72" s="158" t="s">
        <v>94</v>
      </c>
      <c r="D72" s="160" t="s">
        <v>148</v>
      </c>
      <c r="E72" s="161">
        <f t="shared" si="1"/>
        <v>551.95000000000005</v>
      </c>
    </row>
    <row r="73" spans="1:5" x14ac:dyDescent="0.2">
      <c r="A73" s="158" t="s">
        <v>145</v>
      </c>
      <c r="B73" s="159" t="s">
        <v>116</v>
      </c>
      <c r="C73" s="158" t="s">
        <v>107</v>
      </c>
      <c r="D73" s="160" t="s">
        <v>148</v>
      </c>
      <c r="E73" s="161">
        <f t="shared" ref="E73:E103" si="2">SUMIFS(Journal.Montant,Journal.Cpte,"="&amp;$A73,Journal.SsCpte,"="&amp;$B73,Journal.Dest,"="&amp;$C73)</f>
        <v>8.6</v>
      </c>
    </row>
    <row r="74" spans="1:5" x14ac:dyDescent="0.2">
      <c r="A74" s="158" t="s">
        <v>145</v>
      </c>
      <c r="B74" s="159" t="s">
        <v>116</v>
      </c>
      <c r="C74" s="158" t="s">
        <v>99</v>
      </c>
      <c r="D74" s="160" t="s">
        <v>148</v>
      </c>
      <c r="E74" s="161">
        <f t="shared" si="2"/>
        <v>235</v>
      </c>
    </row>
    <row r="75" spans="1:5" x14ac:dyDescent="0.2">
      <c r="A75" s="158" t="s">
        <v>145</v>
      </c>
      <c r="B75" s="159" t="s">
        <v>116</v>
      </c>
      <c r="C75" s="158" t="s">
        <v>149</v>
      </c>
      <c r="D75" s="160" t="s">
        <v>148</v>
      </c>
      <c r="E75" s="161">
        <f t="shared" si="2"/>
        <v>0</v>
      </c>
    </row>
    <row r="76" spans="1:5" x14ac:dyDescent="0.2">
      <c r="A76" s="158" t="s">
        <v>145</v>
      </c>
      <c r="B76" s="159" t="s">
        <v>116</v>
      </c>
      <c r="C76" s="158" t="s">
        <v>109</v>
      </c>
      <c r="D76" s="160" t="s">
        <v>148</v>
      </c>
      <c r="E76" s="161">
        <f t="shared" si="2"/>
        <v>0</v>
      </c>
    </row>
    <row r="77" spans="1:5" x14ac:dyDescent="0.2">
      <c r="A77" s="158" t="s">
        <v>145</v>
      </c>
      <c r="B77" s="159" t="s">
        <v>116</v>
      </c>
      <c r="C77" s="158" t="s">
        <v>150</v>
      </c>
      <c r="D77" s="160" t="s">
        <v>148</v>
      </c>
      <c r="E77" s="161">
        <f t="shared" si="2"/>
        <v>0</v>
      </c>
    </row>
    <row r="78" spans="1:5" x14ac:dyDescent="0.2">
      <c r="A78" s="158" t="s">
        <v>145</v>
      </c>
      <c r="B78" s="159" t="s">
        <v>118</v>
      </c>
      <c r="C78" s="158" t="s">
        <v>91</v>
      </c>
      <c r="D78" s="160" t="s">
        <v>151</v>
      </c>
      <c r="E78" s="161">
        <f t="shared" si="2"/>
        <v>0</v>
      </c>
    </row>
    <row r="79" spans="1:5" x14ac:dyDescent="0.2">
      <c r="A79" s="158" t="s">
        <v>145</v>
      </c>
      <c r="B79" s="159" t="s">
        <v>128</v>
      </c>
      <c r="C79" s="158" t="s">
        <v>91</v>
      </c>
      <c r="D79" s="160" t="s">
        <v>152</v>
      </c>
      <c r="E79" s="161">
        <f t="shared" si="2"/>
        <v>53.56</v>
      </c>
    </row>
    <row r="80" spans="1:5" x14ac:dyDescent="0.2">
      <c r="A80" s="158" t="s">
        <v>145</v>
      </c>
      <c r="B80" s="159" t="s">
        <v>128</v>
      </c>
      <c r="C80" s="158" t="s">
        <v>115</v>
      </c>
      <c r="D80" s="160" t="s">
        <v>153</v>
      </c>
      <c r="E80" s="161">
        <f t="shared" si="2"/>
        <v>343.79</v>
      </c>
    </row>
    <row r="81" spans="1:5" x14ac:dyDescent="0.2">
      <c r="A81" s="158" t="s">
        <v>145</v>
      </c>
      <c r="B81" s="159" t="s">
        <v>135</v>
      </c>
      <c r="C81" s="158" t="s">
        <v>91</v>
      </c>
      <c r="D81" s="160" t="s">
        <v>154</v>
      </c>
      <c r="E81" s="161">
        <f t="shared" si="2"/>
        <v>1872.83</v>
      </c>
    </row>
    <row r="82" spans="1:5" x14ac:dyDescent="0.2">
      <c r="A82" s="158" t="s">
        <v>145</v>
      </c>
      <c r="B82" s="159" t="s">
        <v>137</v>
      </c>
      <c r="C82" s="158" t="s">
        <v>91</v>
      </c>
      <c r="D82" s="160" t="s">
        <v>584</v>
      </c>
      <c r="E82" s="161">
        <f t="shared" si="2"/>
        <v>28.95</v>
      </c>
    </row>
    <row r="83" spans="1:5" x14ac:dyDescent="0.2">
      <c r="A83" s="158" t="s">
        <v>145</v>
      </c>
      <c r="B83" s="159" t="s">
        <v>155</v>
      </c>
      <c r="C83" s="158" t="s">
        <v>91</v>
      </c>
      <c r="D83" s="160" t="s">
        <v>156</v>
      </c>
      <c r="E83" s="161">
        <f t="shared" si="2"/>
        <v>0</v>
      </c>
    </row>
    <row r="84" spans="1:5" x14ac:dyDescent="0.2">
      <c r="A84" s="158" t="s">
        <v>157</v>
      </c>
      <c r="B84" s="159" t="s">
        <v>90</v>
      </c>
      <c r="C84" s="158" t="s">
        <v>112</v>
      </c>
      <c r="D84" s="160" t="s">
        <v>158</v>
      </c>
      <c r="E84" s="161">
        <f t="shared" si="2"/>
        <v>5000</v>
      </c>
    </row>
    <row r="85" spans="1:5" x14ac:dyDescent="0.2">
      <c r="A85" s="158" t="s">
        <v>157</v>
      </c>
      <c r="B85" s="159" t="s">
        <v>90</v>
      </c>
      <c r="C85" s="158" t="s">
        <v>115</v>
      </c>
      <c r="D85" s="160" t="s">
        <v>158</v>
      </c>
      <c r="E85" s="161">
        <f t="shared" si="2"/>
        <v>5.2</v>
      </c>
    </row>
    <row r="86" spans="1:5" x14ac:dyDescent="0.2">
      <c r="A86" s="158" t="s">
        <v>157</v>
      </c>
      <c r="B86" s="159" t="s">
        <v>90</v>
      </c>
      <c r="C86" s="158" t="s">
        <v>364</v>
      </c>
      <c r="D86" s="160" t="s">
        <v>158</v>
      </c>
      <c r="E86" s="161">
        <f>SUMIFS(Journal.Montant,Journal.Cpte,"="&amp;$A86,Journal.SsCpte,"="&amp;$B86,Journal.Dest,"="&amp;$C86)</f>
        <v>0</v>
      </c>
    </row>
    <row r="87" spans="1:5" x14ac:dyDescent="0.2">
      <c r="A87" s="158" t="s">
        <v>157</v>
      </c>
      <c r="B87" s="159" t="s">
        <v>90</v>
      </c>
      <c r="C87" s="158" t="s">
        <v>91</v>
      </c>
      <c r="D87" s="160" t="s">
        <v>158</v>
      </c>
      <c r="E87" s="161">
        <f>SUMIFS(Journal.Montant,Journal.Cpte,"="&amp;$A87,Journal.SsCpte,"="&amp;$B87,Journal.Dest,"="&amp;$C87)</f>
        <v>0</v>
      </c>
    </row>
    <row r="88" spans="1:5" x14ac:dyDescent="0.2">
      <c r="A88" s="158" t="s">
        <v>157</v>
      </c>
      <c r="B88" s="159" t="s">
        <v>96</v>
      </c>
      <c r="C88" s="158" t="s">
        <v>91</v>
      </c>
      <c r="D88" s="160" t="s">
        <v>159</v>
      </c>
      <c r="E88" s="161">
        <f t="shared" si="2"/>
        <v>1974.7</v>
      </c>
    </row>
    <row r="89" spans="1:5" x14ac:dyDescent="0.2">
      <c r="A89" s="158" t="s">
        <v>157</v>
      </c>
      <c r="B89" s="159" t="s">
        <v>96</v>
      </c>
      <c r="C89" s="158" t="s">
        <v>93</v>
      </c>
      <c r="D89" s="160" t="s">
        <v>159</v>
      </c>
      <c r="E89" s="161">
        <f t="shared" si="2"/>
        <v>83.39</v>
      </c>
    </row>
    <row r="90" spans="1:5" x14ac:dyDescent="0.2">
      <c r="A90" s="158" t="s">
        <v>157</v>
      </c>
      <c r="B90" s="159" t="s">
        <v>96</v>
      </c>
      <c r="C90" s="158" t="s">
        <v>94</v>
      </c>
      <c r="D90" s="160" t="s">
        <v>159</v>
      </c>
      <c r="E90" s="161">
        <f t="shared" si="2"/>
        <v>0</v>
      </c>
    </row>
    <row r="91" spans="1:5" x14ac:dyDescent="0.2">
      <c r="A91" s="158" t="s">
        <v>157</v>
      </c>
      <c r="B91" s="159" t="s">
        <v>96</v>
      </c>
      <c r="C91" s="158" t="s">
        <v>95</v>
      </c>
      <c r="D91" s="160" t="s">
        <v>159</v>
      </c>
      <c r="E91" s="161">
        <f t="shared" si="2"/>
        <v>0</v>
      </c>
    </row>
    <row r="92" spans="1:5" x14ac:dyDescent="0.2">
      <c r="A92" s="158" t="s">
        <v>157</v>
      </c>
      <c r="B92" s="159" t="s">
        <v>96</v>
      </c>
      <c r="C92" s="158" t="s">
        <v>100</v>
      </c>
      <c r="D92" s="160" t="s">
        <v>159</v>
      </c>
      <c r="E92" s="161">
        <f t="shared" si="2"/>
        <v>0</v>
      </c>
    </row>
    <row r="93" spans="1:5" x14ac:dyDescent="0.2">
      <c r="A93" s="158" t="s">
        <v>157</v>
      </c>
      <c r="B93" s="159" t="s">
        <v>96</v>
      </c>
      <c r="C93" s="158" t="s">
        <v>109</v>
      </c>
      <c r="D93" s="160" t="s">
        <v>159</v>
      </c>
      <c r="E93" s="161">
        <f t="shared" si="2"/>
        <v>0</v>
      </c>
    </row>
    <row r="94" spans="1:5" x14ac:dyDescent="0.2">
      <c r="A94" s="158" t="s">
        <v>157</v>
      </c>
      <c r="B94" s="159" t="s">
        <v>96</v>
      </c>
      <c r="C94" s="158" t="s">
        <v>160</v>
      </c>
      <c r="D94" s="160" t="s">
        <v>159</v>
      </c>
      <c r="E94" s="161">
        <f t="shared" si="2"/>
        <v>0</v>
      </c>
    </row>
    <row r="95" spans="1:5" x14ac:dyDescent="0.2">
      <c r="A95" s="158" t="s">
        <v>157</v>
      </c>
      <c r="B95" s="159" t="s">
        <v>96</v>
      </c>
      <c r="C95" s="158" t="s">
        <v>115</v>
      </c>
      <c r="D95" s="160" t="s">
        <v>161</v>
      </c>
      <c r="E95" s="161">
        <f t="shared" si="2"/>
        <v>38.520000000000003</v>
      </c>
    </row>
    <row r="96" spans="1:5" x14ac:dyDescent="0.2">
      <c r="A96" s="158" t="s">
        <v>157</v>
      </c>
      <c r="B96" s="159" t="s">
        <v>116</v>
      </c>
      <c r="C96" s="158" t="s">
        <v>115</v>
      </c>
      <c r="D96" s="160" t="s">
        <v>162</v>
      </c>
      <c r="E96" s="161">
        <f>SUMIFS(Journal.Montant,Journal.Cpte,"="&amp;$A96,Journal.SsCpte,"="&amp;$B96,Journal.Dest,"="&amp;$C96)</f>
        <v>0</v>
      </c>
    </row>
    <row r="97" spans="1:5" ht="10.15" customHeight="1" x14ac:dyDescent="0.2">
      <c r="A97" s="158" t="s">
        <v>157</v>
      </c>
      <c r="B97" s="159" t="s">
        <v>116</v>
      </c>
      <c r="C97" s="158" t="s">
        <v>91</v>
      </c>
      <c r="D97" s="160" t="s">
        <v>162</v>
      </c>
      <c r="E97" s="161">
        <f t="shared" si="2"/>
        <v>253.39</v>
      </c>
    </row>
    <row r="98" spans="1:5" ht="10.15" customHeight="1" x14ac:dyDescent="0.2">
      <c r="A98" s="158" t="s">
        <v>157</v>
      </c>
      <c r="B98" s="159" t="s">
        <v>116</v>
      </c>
      <c r="C98" s="158" t="s">
        <v>93</v>
      </c>
      <c r="D98" s="160" t="s">
        <v>162</v>
      </c>
      <c r="E98" s="161">
        <f>SUMIFS(Journal.Montant,Journal.Cpte,"="&amp;$A98,Journal.SsCpte,"="&amp;$B98,Journal.Dest,"="&amp;$C98)</f>
        <v>174</v>
      </c>
    </row>
    <row r="99" spans="1:5" ht="10.15" customHeight="1" x14ac:dyDescent="0.2">
      <c r="A99" s="158" t="s">
        <v>157</v>
      </c>
      <c r="B99" s="159" t="s">
        <v>116</v>
      </c>
      <c r="C99" s="158" t="s">
        <v>94</v>
      </c>
      <c r="D99" s="160" t="s">
        <v>162</v>
      </c>
      <c r="E99" s="161">
        <f>SUMIFS(Journal.Montant,Journal.Cpte,"="&amp;$A99,Journal.SsCpte,"="&amp;$B99,Journal.Dest,"="&amp;$C99)</f>
        <v>0</v>
      </c>
    </row>
    <row r="100" spans="1:5" ht="10.15" customHeight="1" x14ac:dyDescent="0.2">
      <c r="A100" s="158" t="s">
        <v>157</v>
      </c>
      <c r="B100" s="159" t="s">
        <v>116</v>
      </c>
      <c r="C100" s="158" t="s">
        <v>364</v>
      </c>
      <c r="D100" s="160" t="s">
        <v>162</v>
      </c>
      <c r="E100" s="161">
        <f>SUMIFS(Journal.Montant,Journal.Cpte,"="&amp;$A100,Journal.SsCpte,"="&amp;$B100,Journal.Dest,"="&amp;$C100)</f>
        <v>0</v>
      </c>
    </row>
    <row r="101" spans="1:5" x14ac:dyDescent="0.2">
      <c r="A101" s="158" t="s">
        <v>157</v>
      </c>
      <c r="B101" s="159" t="s">
        <v>118</v>
      </c>
      <c r="C101" s="158" t="s">
        <v>91</v>
      </c>
      <c r="D101" s="160" t="s">
        <v>163</v>
      </c>
      <c r="E101" s="161">
        <f t="shared" si="2"/>
        <v>0</v>
      </c>
    </row>
    <row r="102" spans="1:5" x14ac:dyDescent="0.2">
      <c r="A102" s="158" t="s">
        <v>157</v>
      </c>
      <c r="B102" s="159" t="s">
        <v>128</v>
      </c>
      <c r="C102" s="158" t="s">
        <v>112</v>
      </c>
      <c r="D102" s="160" t="s">
        <v>164</v>
      </c>
      <c r="E102" s="161">
        <f t="shared" si="2"/>
        <v>4247.1000000000004</v>
      </c>
    </row>
    <row r="103" spans="1:5" x14ac:dyDescent="0.2">
      <c r="A103" s="158" t="s">
        <v>157</v>
      </c>
      <c r="B103" s="159" t="s">
        <v>135</v>
      </c>
      <c r="C103" s="158" t="s">
        <v>91</v>
      </c>
      <c r="D103" s="160" t="s">
        <v>165</v>
      </c>
      <c r="E103" s="161">
        <f t="shared" si="2"/>
        <v>355.93</v>
      </c>
    </row>
    <row r="104" spans="1:5" x14ac:dyDescent="0.2">
      <c r="A104" s="158" t="s">
        <v>157</v>
      </c>
      <c r="B104" s="159" t="s">
        <v>135</v>
      </c>
      <c r="C104" s="158" t="s">
        <v>115</v>
      </c>
      <c r="D104" s="160" t="s">
        <v>166</v>
      </c>
      <c r="E104" s="161">
        <f>SUMIFS(Journal.Montant,Journal.Cpte,"="&amp;$A104,Journal.SsCpte,"="&amp;$B104,Journal.Dest,"="&amp;$C104)</f>
        <v>541.53</v>
      </c>
    </row>
    <row r="105" spans="1:5" x14ac:dyDescent="0.2">
      <c r="A105" s="158" t="s">
        <v>157</v>
      </c>
      <c r="B105" s="159" t="s">
        <v>135</v>
      </c>
      <c r="C105" s="158" t="s">
        <v>167</v>
      </c>
      <c r="D105" s="160" t="s">
        <v>168</v>
      </c>
      <c r="E105" s="161">
        <f>SUMIFS(Journal.Montant,Journal.Cpte,"="&amp;$A105,Journal.SsCpte,"="&amp;$B105,Journal.Dest,"="&amp;$C105)</f>
        <v>0</v>
      </c>
    </row>
    <row r="106" spans="1:5" x14ac:dyDescent="0.2">
      <c r="A106" s="158" t="s">
        <v>157</v>
      </c>
      <c r="B106" s="159" t="s">
        <v>137</v>
      </c>
      <c r="C106" s="158" t="s">
        <v>91</v>
      </c>
      <c r="D106" s="160" t="s">
        <v>169</v>
      </c>
      <c r="E106" s="161">
        <f t="shared" ref="E106:E150" si="3">SUMIFS(Journal.Montant,Journal.Cpte,"="&amp;$A106,Journal.SsCpte,"="&amp;$B106,Journal.Dest,"="&amp;$C106)</f>
        <v>3840.17</v>
      </c>
    </row>
    <row r="107" spans="1:5" x14ac:dyDescent="0.2">
      <c r="A107" s="158" t="s">
        <v>157</v>
      </c>
      <c r="B107" s="159" t="s">
        <v>137</v>
      </c>
      <c r="C107" s="158" t="s">
        <v>1074</v>
      </c>
      <c r="D107" s="160" t="s">
        <v>169</v>
      </c>
      <c r="E107" s="161">
        <f>SUMIFS(Journal.Montant,Journal.Cpte,"="&amp;$A107,Journal.SsCpte,"="&amp;$B107,Journal.Dest,"="&amp;$C107)</f>
        <v>0</v>
      </c>
    </row>
    <row r="108" spans="1:5" x14ac:dyDescent="0.2">
      <c r="A108" s="158" t="s">
        <v>157</v>
      </c>
      <c r="B108" s="159" t="s">
        <v>137</v>
      </c>
      <c r="C108" s="158" t="s">
        <v>1075</v>
      </c>
      <c r="D108" s="160" t="s">
        <v>169</v>
      </c>
      <c r="E108" s="161">
        <f>SUMIFS(Journal.Montant,Journal.Cpte,"="&amp;$A108,Journal.SsCpte,"="&amp;$B108,Journal.Dest,"="&amp;$C108)</f>
        <v>0</v>
      </c>
    </row>
    <row r="109" spans="1:5" x14ac:dyDescent="0.2">
      <c r="A109" s="158" t="s">
        <v>157</v>
      </c>
      <c r="B109" s="159" t="s">
        <v>137</v>
      </c>
      <c r="C109" s="158" t="s">
        <v>115</v>
      </c>
      <c r="D109" s="160" t="s">
        <v>169</v>
      </c>
      <c r="E109" s="161">
        <f>SUMIFS(Journal.Montant,Journal.Cpte,"="&amp;$A109,Journal.SsCpte,"="&amp;$B109,Journal.Dest,"="&amp;$C109)</f>
        <v>3032.71</v>
      </c>
    </row>
    <row r="110" spans="1:5" x14ac:dyDescent="0.2">
      <c r="A110" s="158" t="s">
        <v>157</v>
      </c>
      <c r="B110" s="159" t="s">
        <v>137</v>
      </c>
      <c r="C110" s="158" t="s">
        <v>364</v>
      </c>
      <c r="D110" s="160" t="s">
        <v>169</v>
      </c>
      <c r="E110" s="161">
        <f>SUMIFS(Journal.Montant,Journal.Cpte,"="&amp;$A110,Journal.SsCpte,"="&amp;$B110,Journal.Dest,"="&amp;$C110)</f>
        <v>0</v>
      </c>
    </row>
    <row r="111" spans="1:5" x14ac:dyDescent="0.2">
      <c r="A111" s="158" t="s">
        <v>157</v>
      </c>
      <c r="B111" s="159" t="s">
        <v>155</v>
      </c>
      <c r="C111" s="158" t="s">
        <v>1074</v>
      </c>
      <c r="D111" s="160" t="s">
        <v>170</v>
      </c>
      <c r="E111" s="161">
        <f t="shared" si="3"/>
        <v>0</v>
      </c>
    </row>
    <row r="112" spans="1:5" x14ac:dyDescent="0.2">
      <c r="A112" s="158" t="s">
        <v>157</v>
      </c>
      <c r="B112" s="159" t="s">
        <v>155</v>
      </c>
      <c r="C112" s="158" t="s">
        <v>1075</v>
      </c>
      <c r="D112" s="160" t="s">
        <v>170</v>
      </c>
      <c r="E112" s="161">
        <f t="shared" si="3"/>
        <v>0</v>
      </c>
    </row>
    <row r="113" spans="1:5" x14ac:dyDescent="0.2">
      <c r="A113" s="158" t="s">
        <v>157</v>
      </c>
      <c r="B113" s="159" t="s">
        <v>155</v>
      </c>
      <c r="C113" s="158" t="s">
        <v>171</v>
      </c>
      <c r="D113" s="160" t="s">
        <v>172</v>
      </c>
      <c r="E113" s="161">
        <f t="shared" si="3"/>
        <v>0</v>
      </c>
    </row>
    <row r="114" spans="1:5" x14ac:dyDescent="0.2">
      <c r="A114" s="158" t="s">
        <v>157</v>
      </c>
      <c r="B114" s="159" t="s">
        <v>155</v>
      </c>
      <c r="C114" s="158" t="s">
        <v>93</v>
      </c>
      <c r="D114" s="160" t="s">
        <v>173</v>
      </c>
      <c r="E114" s="161">
        <f t="shared" si="3"/>
        <v>0</v>
      </c>
    </row>
    <row r="115" spans="1:5" x14ac:dyDescent="0.2">
      <c r="A115" s="158" t="s">
        <v>157</v>
      </c>
      <c r="B115" s="159" t="s">
        <v>155</v>
      </c>
      <c r="C115" s="158" t="s">
        <v>94</v>
      </c>
      <c r="D115" s="160" t="s">
        <v>174</v>
      </c>
      <c r="E115" s="161">
        <f t="shared" si="3"/>
        <v>387.97</v>
      </c>
    </row>
    <row r="116" spans="1:5" x14ac:dyDescent="0.2">
      <c r="A116" s="158" t="s">
        <v>157</v>
      </c>
      <c r="B116" s="159" t="s">
        <v>155</v>
      </c>
      <c r="C116" s="158" t="s">
        <v>98</v>
      </c>
      <c r="D116" s="160" t="s">
        <v>175</v>
      </c>
      <c r="E116" s="161">
        <f t="shared" si="3"/>
        <v>239.88</v>
      </c>
    </row>
    <row r="117" spans="1:5" x14ac:dyDescent="0.2">
      <c r="A117" s="158" t="s">
        <v>157</v>
      </c>
      <c r="B117" s="159" t="s">
        <v>155</v>
      </c>
      <c r="C117" s="158" t="s">
        <v>95</v>
      </c>
      <c r="D117" s="160" t="s">
        <v>176</v>
      </c>
      <c r="E117" s="161">
        <f t="shared" si="3"/>
        <v>243.35</v>
      </c>
    </row>
    <row r="118" spans="1:5" x14ac:dyDescent="0.2">
      <c r="A118" s="158" t="s">
        <v>157</v>
      </c>
      <c r="B118" s="159" t="s">
        <v>155</v>
      </c>
      <c r="C118" s="158" t="s">
        <v>99</v>
      </c>
      <c r="D118" s="160" t="s">
        <v>177</v>
      </c>
      <c r="E118" s="161">
        <f t="shared" si="3"/>
        <v>230.69</v>
      </c>
    </row>
    <row r="119" spans="1:5" x14ac:dyDescent="0.2">
      <c r="A119" s="158" t="s">
        <v>157</v>
      </c>
      <c r="B119" s="159" t="s">
        <v>155</v>
      </c>
      <c r="C119" s="158" t="s">
        <v>91</v>
      </c>
      <c r="D119" s="160" t="s">
        <v>177</v>
      </c>
      <c r="E119" s="161">
        <f t="shared" si="3"/>
        <v>10.99</v>
      </c>
    </row>
    <row r="120" spans="1:5" x14ac:dyDescent="0.2">
      <c r="A120" s="158" t="s">
        <v>157</v>
      </c>
      <c r="B120" s="159" t="s">
        <v>155</v>
      </c>
      <c r="C120" s="158" t="s">
        <v>115</v>
      </c>
      <c r="D120" s="160" t="s">
        <v>177</v>
      </c>
      <c r="E120" s="161">
        <f>SUMIFS(Journal.Montant,Journal.Cpte,"="&amp;$A120,Journal.SsCpte,"="&amp;$B120,Journal.Dest,"="&amp;$C120)</f>
        <v>0</v>
      </c>
    </row>
    <row r="121" spans="1:5" x14ac:dyDescent="0.2">
      <c r="A121" s="158" t="s">
        <v>157</v>
      </c>
      <c r="B121" s="159" t="s">
        <v>122</v>
      </c>
      <c r="C121" s="158" t="s">
        <v>91</v>
      </c>
      <c r="D121" s="160" t="s">
        <v>178</v>
      </c>
      <c r="E121" s="161">
        <f t="shared" si="3"/>
        <v>416.22</v>
      </c>
    </row>
    <row r="122" spans="1:5" x14ac:dyDescent="0.2">
      <c r="A122" s="158" t="s">
        <v>157</v>
      </c>
      <c r="B122" s="159" t="s">
        <v>122</v>
      </c>
      <c r="C122" s="158" t="s">
        <v>93</v>
      </c>
      <c r="D122" s="160" t="s">
        <v>178</v>
      </c>
      <c r="E122" s="161">
        <f t="shared" si="3"/>
        <v>0</v>
      </c>
    </row>
    <row r="123" spans="1:5" x14ac:dyDescent="0.2">
      <c r="A123" s="158" t="s">
        <v>157</v>
      </c>
      <c r="B123" s="159" t="s">
        <v>122</v>
      </c>
      <c r="C123" s="158" t="s">
        <v>94</v>
      </c>
      <c r="D123" s="160" t="s">
        <v>178</v>
      </c>
      <c r="E123" s="161">
        <f t="shared" si="3"/>
        <v>0</v>
      </c>
    </row>
    <row r="124" spans="1:5" x14ac:dyDescent="0.2">
      <c r="A124" s="158" t="s">
        <v>157</v>
      </c>
      <c r="B124" s="159" t="s">
        <v>122</v>
      </c>
      <c r="C124" s="158" t="s">
        <v>100</v>
      </c>
      <c r="D124" s="160" t="s">
        <v>178</v>
      </c>
      <c r="E124" s="161">
        <f t="shared" si="3"/>
        <v>0</v>
      </c>
    </row>
    <row r="125" spans="1:5" x14ac:dyDescent="0.2">
      <c r="A125" s="158" t="s">
        <v>157</v>
      </c>
      <c r="B125" s="159" t="s">
        <v>179</v>
      </c>
      <c r="C125" s="158" t="s">
        <v>91</v>
      </c>
      <c r="D125" s="160" t="s">
        <v>1077</v>
      </c>
      <c r="E125" s="161">
        <f t="shared" si="3"/>
        <v>26.07</v>
      </c>
    </row>
    <row r="126" spans="1:5" x14ac:dyDescent="0.2">
      <c r="A126" s="158" t="s">
        <v>180</v>
      </c>
      <c r="B126" s="159" t="s">
        <v>90</v>
      </c>
      <c r="C126" s="158" t="s">
        <v>91</v>
      </c>
      <c r="D126" s="160" t="s">
        <v>181</v>
      </c>
      <c r="E126" s="161">
        <f t="shared" si="3"/>
        <v>1627.43</v>
      </c>
    </row>
    <row r="127" spans="1:5" x14ac:dyDescent="0.2">
      <c r="A127" s="158" t="s">
        <v>180</v>
      </c>
      <c r="B127" s="159" t="s">
        <v>96</v>
      </c>
      <c r="C127" s="158" t="s">
        <v>91</v>
      </c>
      <c r="D127" s="160" t="s">
        <v>182</v>
      </c>
      <c r="E127" s="161">
        <f t="shared" si="3"/>
        <v>105.47</v>
      </c>
    </row>
    <row r="128" spans="1:5" x14ac:dyDescent="0.2">
      <c r="A128" s="158" t="s">
        <v>180</v>
      </c>
      <c r="B128" s="159" t="s">
        <v>96</v>
      </c>
      <c r="C128" s="158" t="s">
        <v>183</v>
      </c>
      <c r="D128" s="160" t="s">
        <v>184</v>
      </c>
      <c r="E128" s="161">
        <f t="shared" si="3"/>
        <v>0</v>
      </c>
    </row>
    <row r="129" spans="1:5" x14ac:dyDescent="0.2">
      <c r="A129" s="158" t="s">
        <v>180</v>
      </c>
      <c r="B129" s="159" t="s">
        <v>96</v>
      </c>
      <c r="C129" s="158" t="s">
        <v>555</v>
      </c>
      <c r="D129" s="160" t="s">
        <v>184</v>
      </c>
      <c r="E129" s="161">
        <f t="shared" si="3"/>
        <v>296.44</v>
      </c>
    </row>
    <row r="130" spans="1:5" x14ac:dyDescent="0.2">
      <c r="A130" s="158" t="s">
        <v>180</v>
      </c>
      <c r="B130" s="159" t="s">
        <v>96</v>
      </c>
      <c r="C130" s="158" t="s">
        <v>185</v>
      </c>
      <c r="D130" s="160" t="s">
        <v>182</v>
      </c>
      <c r="E130" s="161">
        <f t="shared" si="3"/>
        <v>0</v>
      </c>
    </row>
    <row r="131" spans="1:5" x14ac:dyDescent="0.2">
      <c r="A131" s="158" t="s">
        <v>180</v>
      </c>
      <c r="B131" s="159" t="s">
        <v>96</v>
      </c>
      <c r="C131" s="158" t="s">
        <v>186</v>
      </c>
      <c r="D131" s="160" t="s">
        <v>182</v>
      </c>
      <c r="E131" s="161">
        <f t="shared" si="3"/>
        <v>2057.75</v>
      </c>
    </row>
    <row r="132" spans="1:5" x14ac:dyDescent="0.2">
      <c r="A132" s="158" t="s">
        <v>180</v>
      </c>
      <c r="B132" s="159" t="s">
        <v>96</v>
      </c>
      <c r="C132" s="158" t="s">
        <v>187</v>
      </c>
      <c r="D132" s="160" t="s">
        <v>182</v>
      </c>
      <c r="E132" s="161">
        <f t="shared" si="3"/>
        <v>542.86</v>
      </c>
    </row>
    <row r="133" spans="1:5" x14ac:dyDescent="0.2">
      <c r="A133" s="158" t="s">
        <v>180</v>
      </c>
      <c r="B133" s="159" t="s">
        <v>116</v>
      </c>
      <c r="C133" s="158" t="s">
        <v>183</v>
      </c>
      <c r="D133" s="160" t="s">
        <v>188</v>
      </c>
      <c r="E133" s="161">
        <f t="shared" si="3"/>
        <v>0</v>
      </c>
    </row>
    <row r="134" spans="1:5" x14ac:dyDescent="0.2">
      <c r="A134" s="158" t="s">
        <v>180</v>
      </c>
      <c r="B134" s="159" t="s">
        <v>116</v>
      </c>
      <c r="C134" s="158" t="s">
        <v>555</v>
      </c>
      <c r="D134" s="160" t="s">
        <v>188</v>
      </c>
      <c r="E134" s="161">
        <f t="shared" si="3"/>
        <v>490.46</v>
      </c>
    </row>
    <row r="135" spans="1:5" x14ac:dyDescent="0.2">
      <c r="A135" s="158" t="s">
        <v>180</v>
      </c>
      <c r="B135" s="159" t="s">
        <v>116</v>
      </c>
      <c r="C135" s="158" t="s">
        <v>185</v>
      </c>
      <c r="D135" s="160" t="s">
        <v>189</v>
      </c>
      <c r="E135" s="161">
        <f t="shared" si="3"/>
        <v>0</v>
      </c>
    </row>
    <row r="136" spans="1:5" x14ac:dyDescent="0.2">
      <c r="A136" s="158" t="s">
        <v>180</v>
      </c>
      <c r="B136" s="159" t="s">
        <v>116</v>
      </c>
      <c r="C136" s="158" t="s">
        <v>186</v>
      </c>
      <c r="D136" s="160" t="s">
        <v>189</v>
      </c>
      <c r="E136" s="161">
        <f t="shared" si="3"/>
        <v>1069.02</v>
      </c>
    </row>
    <row r="137" spans="1:5" x14ac:dyDescent="0.2">
      <c r="A137" s="158" t="s">
        <v>180</v>
      </c>
      <c r="B137" s="159" t="s">
        <v>116</v>
      </c>
      <c r="C137" s="158" t="s">
        <v>187</v>
      </c>
      <c r="D137" s="160" t="s">
        <v>189</v>
      </c>
      <c r="E137" s="161">
        <f t="shared" si="3"/>
        <v>0</v>
      </c>
    </row>
    <row r="138" spans="1:5" x14ac:dyDescent="0.2">
      <c r="A138" s="158" t="s">
        <v>180</v>
      </c>
      <c r="B138" s="159" t="s">
        <v>118</v>
      </c>
      <c r="C138" s="158" t="s">
        <v>91</v>
      </c>
      <c r="D138" s="160" t="s">
        <v>190</v>
      </c>
      <c r="E138" s="161">
        <f t="shared" si="3"/>
        <v>0</v>
      </c>
    </row>
    <row r="139" spans="1:5" x14ac:dyDescent="0.2">
      <c r="A139" s="158" t="s">
        <v>180</v>
      </c>
      <c r="B139" s="159" t="s">
        <v>128</v>
      </c>
      <c r="C139" s="158" t="s">
        <v>91</v>
      </c>
      <c r="D139" s="160" t="s">
        <v>889</v>
      </c>
      <c r="E139" s="161">
        <f t="shared" si="3"/>
        <v>14</v>
      </c>
    </row>
    <row r="140" spans="1:5" x14ac:dyDescent="0.2">
      <c r="A140" s="158" t="s">
        <v>180</v>
      </c>
      <c r="B140" s="159" t="s">
        <v>128</v>
      </c>
      <c r="C140" s="158" t="s">
        <v>93</v>
      </c>
      <c r="D140" s="160" t="s">
        <v>191</v>
      </c>
      <c r="E140" s="161">
        <f t="shared" si="3"/>
        <v>0</v>
      </c>
    </row>
    <row r="141" spans="1:5" x14ac:dyDescent="0.2">
      <c r="A141" s="158" t="s">
        <v>180</v>
      </c>
      <c r="B141" s="159" t="s">
        <v>128</v>
      </c>
      <c r="C141" s="158" t="s">
        <v>94</v>
      </c>
      <c r="D141" s="160" t="s">
        <v>191</v>
      </c>
      <c r="E141" s="161">
        <f t="shared" si="3"/>
        <v>50</v>
      </c>
    </row>
    <row r="142" spans="1:5" x14ac:dyDescent="0.2">
      <c r="A142" s="158" t="s">
        <v>180</v>
      </c>
      <c r="B142" s="159" t="s">
        <v>128</v>
      </c>
      <c r="C142" s="158" t="s">
        <v>100</v>
      </c>
      <c r="D142" s="160" t="s">
        <v>191</v>
      </c>
      <c r="E142" s="161">
        <f t="shared" si="3"/>
        <v>0</v>
      </c>
    </row>
    <row r="143" spans="1:5" x14ac:dyDescent="0.2">
      <c r="A143" s="158" t="s">
        <v>180</v>
      </c>
      <c r="B143" s="159" t="s">
        <v>128</v>
      </c>
      <c r="C143" s="158" t="s">
        <v>98</v>
      </c>
      <c r="D143" s="160" t="s">
        <v>191</v>
      </c>
      <c r="E143" s="161">
        <f t="shared" si="3"/>
        <v>0</v>
      </c>
    </row>
    <row r="144" spans="1:5" x14ac:dyDescent="0.2">
      <c r="A144" s="158" t="s">
        <v>180</v>
      </c>
      <c r="B144" s="159" t="s">
        <v>128</v>
      </c>
      <c r="C144" s="158" t="s">
        <v>95</v>
      </c>
      <c r="D144" s="160" t="s">
        <v>191</v>
      </c>
      <c r="E144" s="161">
        <f t="shared" si="3"/>
        <v>0</v>
      </c>
    </row>
    <row r="145" spans="1:5" x14ac:dyDescent="0.2">
      <c r="A145" s="158" t="s">
        <v>180</v>
      </c>
      <c r="B145" s="159" t="s">
        <v>128</v>
      </c>
      <c r="C145" s="158" t="s">
        <v>99</v>
      </c>
      <c r="D145" s="160" t="s">
        <v>191</v>
      </c>
      <c r="E145" s="161">
        <f t="shared" si="3"/>
        <v>76.7</v>
      </c>
    </row>
    <row r="146" spans="1:5" x14ac:dyDescent="0.2">
      <c r="A146" s="158" t="s">
        <v>180</v>
      </c>
      <c r="B146" s="159" t="s">
        <v>135</v>
      </c>
      <c r="C146" s="158" t="s">
        <v>91</v>
      </c>
      <c r="D146" s="160" t="s">
        <v>192</v>
      </c>
      <c r="E146" s="161">
        <f t="shared" si="3"/>
        <v>0</v>
      </c>
    </row>
    <row r="147" spans="1:5" x14ac:dyDescent="0.2">
      <c r="A147" s="158" t="s">
        <v>180</v>
      </c>
      <c r="B147" s="159" t="s">
        <v>137</v>
      </c>
      <c r="C147" s="158" t="s">
        <v>91</v>
      </c>
      <c r="D147" s="160" t="s">
        <v>193</v>
      </c>
      <c r="E147" s="161">
        <f t="shared" si="3"/>
        <v>0</v>
      </c>
    </row>
    <row r="148" spans="1:5" x14ac:dyDescent="0.2">
      <c r="A148" s="158" t="s">
        <v>180</v>
      </c>
      <c r="B148" s="159" t="s">
        <v>155</v>
      </c>
      <c r="C148" s="158" t="s">
        <v>91</v>
      </c>
      <c r="D148" s="160" t="s">
        <v>194</v>
      </c>
      <c r="E148" s="161">
        <f t="shared" si="3"/>
        <v>0</v>
      </c>
    </row>
    <row r="149" spans="1:5" x14ac:dyDescent="0.2">
      <c r="A149" s="158" t="s">
        <v>180</v>
      </c>
      <c r="B149" s="159" t="s">
        <v>155</v>
      </c>
      <c r="C149" s="158" t="s">
        <v>195</v>
      </c>
      <c r="D149" s="160" t="s">
        <v>196</v>
      </c>
      <c r="E149" s="161">
        <f t="shared" si="3"/>
        <v>0</v>
      </c>
    </row>
    <row r="150" spans="1:5" x14ac:dyDescent="0.2">
      <c r="A150" s="158" t="s">
        <v>197</v>
      </c>
      <c r="B150" s="159" t="s">
        <v>90</v>
      </c>
      <c r="C150" s="158" t="s">
        <v>91</v>
      </c>
      <c r="D150" s="160" t="s">
        <v>198</v>
      </c>
      <c r="E150" s="161">
        <f t="shared" si="3"/>
        <v>681.62</v>
      </c>
    </row>
    <row r="151" spans="1:5" x14ac:dyDescent="0.2">
      <c r="A151" s="158" t="s">
        <v>197</v>
      </c>
      <c r="B151" s="159" t="s">
        <v>90</v>
      </c>
      <c r="C151" s="158" t="s">
        <v>93</v>
      </c>
      <c r="D151" s="160" t="s">
        <v>198</v>
      </c>
      <c r="E151" s="161">
        <f t="shared" ref="E151:E184" si="4">SUMIFS(Journal.Montant,Journal.Cpte,"="&amp;$A151,Journal.SsCpte,"="&amp;$B151,Journal.Dest,"="&amp;$C151)</f>
        <v>76.849999999999994</v>
      </c>
    </row>
    <row r="152" spans="1:5" x14ac:dyDescent="0.2">
      <c r="A152" s="158" t="s">
        <v>197</v>
      </c>
      <c r="B152" s="159" t="s">
        <v>90</v>
      </c>
      <c r="C152" s="158" t="s">
        <v>94</v>
      </c>
      <c r="D152" s="160" t="s">
        <v>198</v>
      </c>
      <c r="E152" s="161">
        <f t="shared" si="4"/>
        <v>0</v>
      </c>
    </row>
    <row r="153" spans="1:5" x14ac:dyDescent="0.2">
      <c r="A153" s="158" t="s">
        <v>197</v>
      </c>
      <c r="B153" s="159" t="s">
        <v>90</v>
      </c>
      <c r="C153" s="158" t="s">
        <v>98</v>
      </c>
      <c r="D153" s="160" t="s">
        <v>198</v>
      </c>
      <c r="E153" s="161">
        <f t="shared" si="4"/>
        <v>0</v>
      </c>
    </row>
    <row r="154" spans="1:5" x14ac:dyDescent="0.2">
      <c r="A154" s="158" t="s">
        <v>197</v>
      </c>
      <c r="B154" s="159" t="s">
        <v>90</v>
      </c>
      <c r="C154" s="158" t="s">
        <v>95</v>
      </c>
      <c r="D154" s="160" t="s">
        <v>198</v>
      </c>
      <c r="E154" s="161">
        <f t="shared" si="4"/>
        <v>312.61</v>
      </c>
    </row>
    <row r="155" spans="1:5" x14ac:dyDescent="0.2">
      <c r="A155" s="158" t="s">
        <v>197</v>
      </c>
      <c r="B155" s="159" t="s">
        <v>90</v>
      </c>
      <c r="C155" s="158" t="s">
        <v>100</v>
      </c>
      <c r="D155" s="160" t="s">
        <v>198</v>
      </c>
      <c r="E155" s="161">
        <f t="shared" si="4"/>
        <v>23.29</v>
      </c>
    </row>
    <row r="156" spans="1:5" x14ac:dyDescent="0.2">
      <c r="A156" s="158" t="s">
        <v>197</v>
      </c>
      <c r="B156" s="159" t="s">
        <v>90</v>
      </c>
      <c r="C156" s="158" t="s">
        <v>99</v>
      </c>
      <c r="D156" s="160" t="s">
        <v>198</v>
      </c>
      <c r="E156" s="161">
        <f t="shared" si="4"/>
        <v>607.54</v>
      </c>
    </row>
    <row r="157" spans="1:5" x14ac:dyDescent="0.2">
      <c r="A157" s="158" t="s">
        <v>197</v>
      </c>
      <c r="B157" s="159" t="s">
        <v>90</v>
      </c>
      <c r="C157" s="158" t="s">
        <v>107</v>
      </c>
      <c r="D157" s="160" t="s">
        <v>198</v>
      </c>
      <c r="E157" s="161">
        <f t="shared" si="4"/>
        <v>273.41000000000003</v>
      </c>
    </row>
    <row r="158" spans="1:5" x14ac:dyDescent="0.2">
      <c r="A158" s="158" t="s">
        <v>197</v>
      </c>
      <c r="B158" s="159" t="s">
        <v>90</v>
      </c>
      <c r="C158" s="158" t="s">
        <v>109</v>
      </c>
      <c r="D158" s="160" t="s">
        <v>198</v>
      </c>
      <c r="E158" s="161">
        <f t="shared" si="4"/>
        <v>0</v>
      </c>
    </row>
    <row r="159" spans="1:5" x14ac:dyDescent="0.2">
      <c r="A159" s="158" t="s">
        <v>197</v>
      </c>
      <c r="B159" s="159" t="s">
        <v>96</v>
      </c>
      <c r="C159" s="158" t="s">
        <v>91</v>
      </c>
      <c r="D159" s="160" t="s">
        <v>199</v>
      </c>
      <c r="E159" s="161">
        <f t="shared" si="4"/>
        <v>1131.55</v>
      </c>
    </row>
    <row r="160" spans="1:5" x14ac:dyDescent="0.2">
      <c r="A160" s="158" t="s">
        <v>197</v>
      </c>
      <c r="B160" s="159" t="s">
        <v>96</v>
      </c>
      <c r="C160" s="158" t="s">
        <v>99</v>
      </c>
      <c r="D160" s="160" t="s">
        <v>199</v>
      </c>
      <c r="E160" s="161">
        <f t="shared" si="4"/>
        <v>573.9</v>
      </c>
    </row>
    <row r="161" spans="1:5" x14ac:dyDescent="0.2">
      <c r="A161" s="158" t="s">
        <v>197</v>
      </c>
      <c r="B161" s="159" t="s">
        <v>96</v>
      </c>
      <c r="C161" s="158" t="s">
        <v>107</v>
      </c>
      <c r="D161" s="160" t="s">
        <v>199</v>
      </c>
      <c r="E161" s="161">
        <f t="shared" si="4"/>
        <v>1.43</v>
      </c>
    </row>
    <row r="162" spans="1:5" x14ac:dyDescent="0.2">
      <c r="A162" s="158" t="s">
        <v>197</v>
      </c>
      <c r="B162" s="159" t="s">
        <v>96</v>
      </c>
      <c r="C162" s="158" t="s">
        <v>93</v>
      </c>
      <c r="D162" s="160" t="s">
        <v>199</v>
      </c>
      <c r="E162" s="161">
        <f t="shared" si="4"/>
        <v>381.66</v>
      </c>
    </row>
    <row r="163" spans="1:5" x14ac:dyDescent="0.2">
      <c r="A163" s="158" t="s">
        <v>197</v>
      </c>
      <c r="B163" s="159" t="s">
        <v>96</v>
      </c>
      <c r="C163" s="158" t="s">
        <v>98</v>
      </c>
      <c r="D163" s="160" t="s">
        <v>199</v>
      </c>
      <c r="E163" s="161">
        <f t="shared" si="4"/>
        <v>0</v>
      </c>
    </row>
    <row r="164" spans="1:5" x14ac:dyDescent="0.2">
      <c r="A164" s="158" t="s">
        <v>197</v>
      </c>
      <c r="B164" s="159" t="s">
        <v>96</v>
      </c>
      <c r="C164" s="158" t="s">
        <v>94</v>
      </c>
      <c r="D164" s="160" t="s">
        <v>199</v>
      </c>
      <c r="E164" s="161">
        <f t="shared" si="4"/>
        <v>24.5</v>
      </c>
    </row>
    <row r="165" spans="1:5" x14ac:dyDescent="0.2">
      <c r="A165" s="158" t="s">
        <v>197</v>
      </c>
      <c r="B165" s="159" t="s">
        <v>96</v>
      </c>
      <c r="C165" s="158" t="s">
        <v>95</v>
      </c>
      <c r="D165" s="160" t="s">
        <v>199</v>
      </c>
      <c r="E165" s="161">
        <f t="shared" si="4"/>
        <v>68</v>
      </c>
    </row>
    <row r="166" spans="1:5" x14ac:dyDescent="0.2">
      <c r="A166" s="158" t="s">
        <v>197</v>
      </c>
      <c r="B166" s="159" t="s">
        <v>96</v>
      </c>
      <c r="C166" s="158" t="s">
        <v>100</v>
      </c>
      <c r="D166" s="160" t="s">
        <v>199</v>
      </c>
      <c r="E166" s="161">
        <f t="shared" si="4"/>
        <v>0</v>
      </c>
    </row>
    <row r="167" spans="1:5" x14ac:dyDescent="0.2">
      <c r="A167" s="158" t="s">
        <v>197</v>
      </c>
      <c r="B167" s="159" t="s">
        <v>96</v>
      </c>
      <c r="C167" s="158" t="s">
        <v>109</v>
      </c>
      <c r="D167" s="160" t="s">
        <v>199</v>
      </c>
      <c r="E167" s="161">
        <f t="shared" si="4"/>
        <v>0</v>
      </c>
    </row>
    <row r="168" spans="1:5" x14ac:dyDescent="0.2">
      <c r="A168" s="158" t="s">
        <v>200</v>
      </c>
      <c r="B168" s="159" t="s">
        <v>90</v>
      </c>
      <c r="C168" s="158" t="s">
        <v>99</v>
      </c>
      <c r="D168" s="160" t="s">
        <v>201</v>
      </c>
      <c r="E168" s="161">
        <f t="shared" si="4"/>
        <v>0</v>
      </c>
    </row>
    <row r="169" spans="1:5" x14ac:dyDescent="0.2">
      <c r="A169" s="158" t="s">
        <v>200</v>
      </c>
      <c r="B169" s="159" t="s">
        <v>90</v>
      </c>
      <c r="C169" s="158" t="s">
        <v>107</v>
      </c>
      <c r="D169" s="160" t="s">
        <v>201</v>
      </c>
      <c r="E169" s="161">
        <f t="shared" si="4"/>
        <v>0</v>
      </c>
    </row>
    <row r="170" spans="1:5" x14ac:dyDescent="0.2">
      <c r="A170" s="158" t="s">
        <v>200</v>
      </c>
      <c r="B170" s="159" t="s">
        <v>90</v>
      </c>
      <c r="C170" s="158" t="s">
        <v>91</v>
      </c>
      <c r="D170" s="160" t="s">
        <v>201</v>
      </c>
      <c r="E170" s="161">
        <f t="shared" si="4"/>
        <v>0</v>
      </c>
    </row>
    <row r="171" spans="1:5" x14ac:dyDescent="0.2">
      <c r="A171" s="158" t="s">
        <v>200</v>
      </c>
      <c r="B171" s="159" t="s">
        <v>96</v>
      </c>
      <c r="C171" s="158" t="s">
        <v>91</v>
      </c>
      <c r="D171" s="160" t="s">
        <v>202</v>
      </c>
      <c r="E171" s="161">
        <f t="shared" si="4"/>
        <v>0</v>
      </c>
    </row>
    <row r="172" spans="1:5" x14ac:dyDescent="0.2">
      <c r="A172" s="158" t="s">
        <v>200</v>
      </c>
      <c r="B172" s="159" t="s">
        <v>116</v>
      </c>
      <c r="C172" s="158" t="s">
        <v>91</v>
      </c>
      <c r="D172" s="160" t="s">
        <v>203</v>
      </c>
      <c r="E172" s="161">
        <f t="shared" si="4"/>
        <v>0</v>
      </c>
    </row>
    <row r="173" spans="1:5" x14ac:dyDescent="0.2">
      <c r="A173" s="158" t="s">
        <v>200</v>
      </c>
      <c r="B173" s="159" t="s">
        <v>118</v>
      </c>
      <c r="C173" s="158" t="s">
        <v>91</v>
      </c>
      <c r="D173" s="160" t="s">
        <v>204</v>
      </c>
      <c r="E173" s="161">
        <f t="shared" si="4"/>
        <v>0</v>
      </c>
    </row>
    <row r="174" spans="1:5" x14ac:dyDescent="0.2">
      <c r="A174" s="158" t="s">
        <v>200</v>
      </c>
      <c r="B174" s="159" t="s">
        <v>128</v>
      </c>
      <c r="C174" s="158" t="s">
        <v>91</v>
      </c>
      <c r="D174" s="160" t="s">
        <v>205</v>
      </c>
      <c r="E174" s="161">
        <f t="shared" si="4"/>
        <v>0</v>
      </c>
    </row>
    <row r="175" spans="1:5" x14ac:dyDescent="0.2">
      <c r="A175" s="158" t="s">
        <v>200</v>
      </c>
      <c r="B175" s="159" t="s">
        <v>135</v>
      </c>
      <c r="C175" s="158" t="s">
        <v>91</v>
      </c>
      <c r="D175" s="160" t="s">
        <v>206</v>
      </c>
      <c r="E175" s="161">
        <f t="shared" si="4"/>
        <v>-3.15</v>
      </c>
    </row>
    <row r="176" spans="1:5" x14ac:dyDescent="0.2">
      <c r="A176" s="158" t="s">
        <v>200</v>
      </c>
      <c r="B176" s="159" t="s">
        <v>137</v>
      </c>
      <c r="C176" s="158" t="s">
        <v>207</v>
      </c>
      <c r="D176" s="160" t="s">
        <v>208</v>
      </c>
      <c r="E176" s="161">
        <f t="shared" si="4"/>
        <v>0</v>
      </c>
    </row>
    <row r="177" spans="1:5" x14ac:dyDescent="0.2">
      <c r="A177" s="158" t="s">
        <v>200</v>
      </c>
      <c r="B177" s="159" t="s">
        <v>137</v>
      </c>
      <c r="C177" s="158" t="s">
        <v>107</v>
      </c>
      <c r="D177" s="160" t="s">
        <v>209</v>
      </c>
      <c r="E177" s="161">
        <f t="shared" si="4"/>
        <v>0</v>
      </c>
    </row>
    <row r="178" spans="1:5" x14ac:dyDescent="0.2">
      <c r="A178" s="158" t="s">
        <v>200</v>
      </c>
      <c r="B178" s="159" t="s">
        <v>137</v>
      </c>
      <c r="C178" s="158" t="s">
        <v>99</v>
      </c>
      <c r="D178" s="160" t="s">
        <v>210</v>
      </c>
      <c r="E178" s="161">
        <f t="shared" si="4"/>
        <v>0</v>
      </c>
    </row>
    <row r="179" spans="1:5" x14ac:dyDescent="0.2">
      <c r="A179" s="158" t="s">
        <v>200</v>
      </c>
      <c r="B179" s="159" t="s">
        <v>137</v>
      </c>
      <c r="C179" s="158" t="s">
        <v>93</v>
      </c>
      <c r="D179" s="160" t="s">
        <v>211</v>
      </c>
      <c r="E179" s="161">
        <f t="shared" si="4"/>
        <v>0</v>
      </c>
    </row>
    <row r="180" spans="1:5" x14ac:dyDescent="0.2">
      <c r="A180" s="158" t="s">
        <v>200</v>
      </c>
      <c r="B180" s="159" t="s">
        <v>137</v>
      </c>
      <c r="C180" s="158" t="s">
        <v>94</v>
      </c>
      <c r="D180" s="160" t="s">
        <v>212</v>
      </c>
      <c r="E180" s="161">
        <f t="shared" si="4"/>
        <v>0</v>
      </c>
    </row>
    <row r="181" spans="1:5" x14ac:dyDescent="0.2">
      <c r="A181" s="158" t="s">
        <v>200</v>
      </c>
      <c r="B181" s="159" t="s">
        <v>137</v>
      </c>
      <c r="C181" s="158" t="s">
        <v>98</v>
      </c>
      <c r="D181" s="160" t="s">
        <v>211</v>
      </c>
      <c r="E181" s="161">
        <f t="shared" si="4"/>
        <v>0</v>
      </c>
    </row>
    <row r="182" spans="1:5" x14ac:dyDescent="0.2">
      <c r="A182" s="158" t="s">
        <v>200</v>
      </c>
      <c r="B182" s="159" t="s">
        <v>137</v>
      </c>
      <c r="C182" s="158" t="s">
        <v>95</v>
      </c>
      <c r="D182" s="160" t="s">
        <v>212</v>
      </c>
      <c r="E182" s="161">
        <f t="shared" si="4"/>
        <v>0</v>
      </c>
    </row>
    <row r="183" spans="1:5" x14ac:dyDescent="0.2">
      <c r="A183" s="158" t="s">
        <v>200</v>
      </c>
      <c r="B183" s="159" t="s">
        <v>155</v>
      </c>
      <c r="C183" s="158" t="s">
        <v>91</v>
      </c>
      <c r="D183" s="160" t="s">
        <v>213</v>
      </c>
      <c r="E183" s="161">
        <f t="shared" si="4"/>
        <v>0</v>
      </c>
    </row>
    <row r="184" spans="1:5" x14ac:dyDescent="0.2">
      <c r="A184" s="158" t="s">
        <v>214</v>
      </c>
      <c r="B184" s="159" t="s">
        <v>90</v>
      </c>
      <c r="C184" s="158" t="s">
        <v>99</v>
      </c>
      <c r="D184" s="160" t="s">
        <v>1073</v>
      </c>
      <c r="E184" s="161">
        <f t="shared" si="4"/>
        <v>-13557.81</v>
      </c>
    </row>
    <row r="185" spans="1:5" x14ac:dyDescent="0.2">
      <c r="A185" s="158" t="s">
        <v>214</v>
      </c>
      <c r="B185" s="159" t="s">
        <v>90</v>
      </c>
      <c r="C185" s="158" t="s">
        <v>107</v>
      </c>
      <c r="D185" s="160" t="s">
        <v>215</v>
      </c>
      <c r="E185" s="161">
        <f t="shared" ref="E185:E197" si="5">SUMIFS(Journal.Montant,Journal.Cpte,"="&amp;$A185,Journal.SsCpte,"="&amp;$B185,Journal.Dest,"="&amp;$C185)</f>
        <v>-39200</v>
      </c>
    </row>
    <row r="186" spans="1:5" x14ac:dyDescent="0.2">
      <c r="A186" s="158" t="s">
        <v>214</v>
      </c>
      <c r="B186" s="159" t="s">
        <v>96</v>
      </c>
      <c r="C186" s="158" t="s">
        <v>99</v>
      </c>
      <c r="D186" s="160" t="s">
        <v>216</v>
      </c>
      <c r="E186" s="161">
        <f t="shared" si="5"/>
        <v>-56.88</v>
      </c>
    </row>
    <row r="187" spans="1:5" x14ac:dyDescent="0.2">
      <c r="A187" s="158" t="s">
        <v>214</v>
      </c>
      <c r="B187" s="159" t="s">
        <v>116</v>
      </c>
      <c r="C187" s="158" t="s">
        <v>99</v>
      </c>
      <c r="D187" s="160" t="s">
        <v>217</v>
      </c>
      <c r="E187" s="161">
        <f t="shared" si="5"/>
        <v>0</v>
      </c>
    </row>
    <row r="188" spans="1:5" x14ac:dyDescent="0.2">
      <c r="A188" s="158" t="s">
        <v>214</v>
      </c>
      <c r="B188" s="159" t="s">
        <v>96</v>
      </c>
      <c r="C188" s="158" t="s">
        <v>107</v>
      </c>
      <c r="D188" s="160" t="s">
        <v>218</v>
      </c>
      <c r="E188" s="161">
        <f t="shared" si="5"/>
        <v>0</v>
      </c>
    </row>
    <row r="189" spans="1:5" x14ac:dyDescent="0.2">
      <c r="A189" s="158" t="s">
        <v>214</v>
      </c>
      <c r="B189" s="159" t="s">
        <v>116</v>
      </c>
      <c r="C189" s="158" t="s">
        <v>107</v>
      </c>
      <c r="D189" s="160" t="s">
        <v>219</v>
      </c>
      <c r="E189" s="161">
        <f t="shared" si="5"/>
        <v>0</v>
      </c>
    </row>
    <row r="190" spans="1:5" x14ac:dyDescent="0.2">
      <c r="A190" s="158" t="s">
        <v>214</v>
      </c>
      <c r="B190" s="159" t="s">
        <v>118</v>
      </c>
      <c r="C190" s="158" t="s">
        <v>99</v>
      </c>
      <c r="D190" s="160" t="s">
        <v>220</v>
      </c>
      <c r="E190" s="161">
        <f t="shared" si="5"/>
        <v>0</v>
      </c>
    </row>
    <row r="191" spans="1:5" x14ac:dyDescent="0.2">
      <c r="A191" s="158" t="s">
        <v>214</v>
      </c>
      <c r="B191" s="159" t="s">
        <v>128</v>
      </c>
      <c r="C191" s="158" t="s">
        <v>99</v>
      </c>
      <c r="D191" s="160" t="s">
        <v>221</v>
      </c>
      <c r="E191" s="161">
        <f t="shared" si="5"/>
        <v>-14041.07</v>
      </c>
    </row>
    <row r="192" spans="1:5" x14ac:dyDescent="0.2">
      <c r="A192" s="158" t="s">
        <v>222</v>
      </c>
      <c r="B192" s="159" t="s">
        <v>90</v>
      </c>
      <c r="C192" s="158" t="s">
        <v>223</v>
      </c>
      <c r="D192" s="160" t="s">
        <v>224</v>
      </c>
      <c r="E192" s="161">
        <f t="shared" si="5"/>
        <v>0</v>
      </c>
    </row>
    <row r="193" spans="1:5" x14ac:dyDescent="0.2">
      <c r="A193" s="158" t="s">
        <v>222</v>
      </c>
      <c r="B193" s="159" t="s">
        <v>90</v>
      </c>
      <c r="C193" s="158" t="s">
        <v>225</v>
      </c>
      <c r="D193" s="160" t="s">
        <v>226</v>
      </c>
      <c r="E193" s="161">
        <f t="shared" si="5"/>
        <v>-845.97</v>
      </c>
    </row>
    <row r="194" spans="1:5" x14ac:dyDescent="0.2">
      <c r="A194" s="158" t="s">
        <v>222</v>
      </c>
      <c r="B194" s="159" t="s">
        <v>90</v>
      </c>
      <c r="C194" s="158" t="s">
        <v>227</v>
      </c>
      <c r="D194" s="160" t="s">
        <v>228</v>
      </c>
      <c r="E194" s="161">
        <f t="shared" si="5"/>
        <v>0</v>
      </c>
    </row>
    <row r="195" spans="1:5" x14ac:dyDescent="0.2">
      <c r="A195" s="158" t="s">
        <v>222</v>
      </c>
      <c r="B195" s="159" t="s">
        <v>90</v>
      </c>
      <c r="C195" s="158" t="s">
        <v>229</v>
      </c>
      <c r="D195" s="160" t="s">
        <v>230</v>
      </c>
      <c r="E195" s="161">
        <f t="shared" si="5"/>
        <v>0</v>
      </c>
    </row>
    <row r="196" spans="1:5" x14ac:dyDescent="0.2">
      <c r="A196" s="158" t="s">
        <v>222</v>
      </c>
      <c r="B196" s="159" t="s">
        <v>90</v>
      </c>
      <c r="C196" s="158" t="s">
        <v>231</v>
      </c>
      <c r="D196" s="160" t="s">
        <v>232</v>
      </c>
      <c r="E196" s="161">
        <f t="shared" si="5"/>
        <v>0</v>
      </c>
    </row>
    <row r="197" spans="1:5" x14ac:dyDescent="0.2">
      <c r="A197" s="158" t="s">
        <v>222</v>
      </c>
      <c r="B197" s="159" t="s">
        <v>90</v>
      </c>
      <c r="C197" s="158" t="s">
        <v>233</v>
      </c>
      <c r="D197" s="160" t="s">
        <v>232</v>
      </c>
      <c r="E197" s="161">
        <f t="shared" si="5"/>
        <v>0</v>
      </c>
    </row>
    <row r="198" spans="1:5" x14ac:dyDescent="0.2">
      <c r="A198" s="158" t="s">
        <v>222</v>
      </c>
      <c r="B198" s="159" t="s">
        <v>90</v>
      </c>
      <c r="C198" s="158" t="s">
        <v>577</v>
      </c>
      <c r="D198" s="160" t="s">
        <v>578</v>
      </c>
      <c r="E198" s="161">
        <f>SUMIFS(Journal.Montant,Journal.Cpte,"="&amp;$A198,Journal.SsCpte,"="&amp;$B198,Journal.Dest,"="&amp;$C198)</f>
        <v>1456</v>
      </c>
    </row>
    <row r="199" spans="1:5" s="164" customFormat="1" ht="10.5" x14ac:dyDescent="0.25">
      <c r="B199" s="165"/>
      <c r="D199" s="166" t="s">
        <v>234</v>
      </c>
      <c r="E199" s="167">
        <f>-SUM(E2:E198)</f>
        <v>-7493.35</v>
      </c>
    </row>
    <row r="200" spans="1:5" x14ac:dyDescent="0.2">
      <c r="A200" s="158" t="s">
        <v>235</v>
      </c>
      <c r="B200" s="159" t="s">
        <v>236</v>
      </c>
      <c r="C200" s="158" t="s">
        <v>237</v>
      </c>
      <c r="D200" s="160" t="s">
        <v>238</v>
      </c>
      <c r="E200" s="161">
        <f>SUMIFS(Journal.Montant,Journal.Cpte,"="&amp;$A200,Journal.SsCpte,"="&amp;$B200,Journal.Dest,"="&amp;$C200)</f>
        <v>0</v>
      </c>
    </row>
    <row r="201" spans="1:5" x14ac:dyDescent="0.2">
      <c r="A201" s="158" t="s">
        <v>235</v>
      </c>
      <c r="B201" s="159" t="s">
        <v>239</v>
      </c>
      <c r="C201" s="158" t="s">
        <v>237</v>
      </c>
      <c r="D201" s="160" t="s">
        <v>240</v>
      </c>
      <c r="E201" s="161">
        <f>SUMIFS(Journal.Montant,Journal.Cpte,"="&amp;$A201,Journal.SsCpte,"="&amp;$B201,Journal.Dest,"="&amp;$C201)</f>
        <v>0</v>
      </c>
    </row>
    <row r="202" spans="1:5" x14ac:dyDescent="0.2">
      <c r="A202" s="158" t="s">
        <v>235</v>
      </c>
      <c r="B202" s="159" t="s">
        <v>241</v>
      </c>
      <c r="C202" s="158" t="s">
        <v>237</v>
      </c>
      <c r="D202" s="160" t="s">
        <v>242</v>
      </c>
      <c r="E202" s="161">
        <f>SUMIFS(Journal.Montant,Journal.Cpte,"="&amp;$A202,Journal.SsCpte,"="&amp;$B202,Journal.Dest,"="&amp;$C202)</f>
        <v>0</v>
      </c>
    </row>
    <row r="203" spans="1:5" x14ac:dyDescent="0.2">
      <c r="A203" s="158"/>
      <c r="B203" s="159"/>
      <c r="C203" s="158"/>
      <c r="D203" s="168" t="s">
        <v>243</v>
      </c>
      <c r="E203" s="168"/>
    </row>
    <row r="204" spans="1:5" x14ac:dyDescent="0.2">
      <c r="A204" s="158" t="s">
        <v>244</v>
      </c>
      <c r="B204" s="159" t="s">
        <v>90</v>
      </c>
      <c r="C204" s="158" t="s">
        <v>114</v>
      </c>
      <c r="D204" s="160" t="s">
        <v>245</v>
      </c>
      <c r="E204" s="161">
        <f>SUMIFS(Journal.Montant,Journal.Cpte,"="&amp;$A204,Journal.SsCpte,"="&amp;$B204,Journal.Dest,"="&amp;$C204)</f>
        <v>-12833.5</v>
      </c>
    </row>
    <row r="205" spans="1:5" x14ac:dyDescent="0.2">
      <c r="A205" s="158" t="s">
        <v>244</v>
      </c>
      <c r="B205" s="159" t="s">
        <v>90</v>
      </c>
      <c r="C205" s="158" t="s">
        <v>115</v>
      </c>
      <c r="D205" s="160" t="s">
        <v>246</v>
      </c>
      <c r="E205" s="161">
        <f>SUMIFS(Journal.Montant,Journal.Cpte,"="&amp;$A205,Journal.SsCpte,"="&amp;$B205,Journal.Dest,"="&amp;$C205)</f>
        <v>-1210</v>
      </c>
    </row>
    <row r="206" spans="1:5" x14ac:dyDescent="0.2">
      <c r="A206" s="158"/>
      <c r="B206" s="159"/>
      <c r="C206" s="158"/>
      <c r="D206" s="168" t="s">
        <v>247</v>
      </c>
      <c r="E206" s="168"/>
    </row>
    <row r="207" spans="1:5" x14ac:dyDescent="0.2">
      <c r="A207" s="158" t="s">
        <v>244</v>
      </c>
      <c r="B207" s="159" t="s">
        <v>248</v>
      </c>
      <c r="C207" s="158" t="s">
        <v>107</v>
      </c>
      <c r="D207" s="160" t="s">
        <v>249</v>
      </c>
      <c r="E207" s="161">
        <f t="shared" ref="E207:E215" si="6">SUMIFS(Journal.Montant,Journal.Cpte,"="&amp;$A207,Journal.SsCpte,"="&amp;$B207,Journal.Dest,"="&amp;$C207)</f>
        <v>0</v>
      </c>
    </row>
    <row r="208" spans="1:5" x14ac:dyDescent="0.2">
      <c r="A208" s="158" t="s">
        <v>244</v>
      </c>
      <c r="B208" s="159" t="s">
        <v>248</v>
      </c>
      <c r="C208" s="158" t="s">
        <v>99</v>
      </c>
      <c r="D208" s="160" t="s">
        <v>250</v>
      </c>
      <c r="E208" s="161">
        <f>SUMIFS(Journal.Montant,Journal.Cpte,"="&amp;$A208,Journal.SsCpte,"="&amp;$B208,Journal.Dest,"="&amp;$C208)</f>
        <v>0</v>
      </c>
    </row>
    <row r="209" spans="1:6" x14ac:dyDescent="0.2">
      <c r="A209" s="158" t="s">
        <v>244</v>
      </c>
      <c r="B209" s="159" t="s">
        <v>135</v>
      </c>
      <c r="C209" s="158" t="s">
        <v>251</v>
      </c>
      <c r="D209" s="160" t="s">
        <v>252</v>
      </c>
      <c r="E209" s="161">
        <f t="shared" si="6"/>
        <v>-680.47</v>
      </c>
    </row>
    <row r="210" spans="1:6" x14ac:dyDescent="0.2">
      <c r="A210" s="158" t="s">
        <v>244</v>
      </c>
      <c r="B210" s="159" t="s">
        <v>135</v>
      </c>
      <c r="C210" s="158" t="s">
        <v>253</v>
      </c>
      <c r="D210" s="160" t="s">
        <v>252</v>
      </c>
      <c r="E210" s="161">
        <f t="shared" si="6"/>
        <v>-720.53</v>
      </c>
    </row>
    <row r="211" spans="1:6" x14ac:dyDescent="0.2">
      <c r="A211" s="158" t="s">
        <v>244</v>
      </c>
      <c r="B211" s="159" t="s">
        <v>135</v>
      </c>
      <c r="C211" s="158" t="s">
        <v>254</v>
      </c>
      <c r="D211" s="160" t="s">
        <v>252</v>
      </c>
      <c r="E211" s="161">
        <f t="shared" si="6"/>
        <v>0</v>
      </c>
    </row>
    <row r="212" spans="1:6" x14ac:dyDescent="0.2">
      <c r="A212" s="158" t="s">
        <v>244</v>
      </c>
      <c r="B212" s="159" t="s">
        <v>135</v>
      </c>
      <c r="C212" s="158" t="s">
        <v>255</v>
      </c>
      <c r="D212" s="160" t="s">
        <v>252</v>
      </c>
      <c r="E212" s="161">
        <f t="shared" si="6"/>
        <v>0</v>
      </c>
      <c r="F212" s="162">
        <f>9969.3*0.3</f>
        <v>2990.79</v>
      </c>
    </row>
    <row r="213" spans="1:6" x14ac:dyDescent="0.2">
      <c r="A213" s="158" t="s">
        <v>244</v>
      </c>
      <c r="B213" s="159" t="s">
        <v>135</v>
      </c>
      <c r="C213" s="158" t="s">
        <v>256</v>
      </c>
      <c r="D213" s="160" t="s">
        <v>252</v>
      </c>
      <c r="E213" s="161">
        <f t="shared" si="6"/>
        <v>0</v>
      </c>
    </row>
    <row r="214" spans="1:6" x14ac:dyDescent="0.2">
      <c r="A214" s="158" t="s">
        <v>244</v>
      </c>
      <c r="B214" s="159" t="s">
        <v>135</v>
      </c>
      <c r="C214" s="158" t="s">
        <v>257</v>
      </c>
      <c r="D214" s="160" t="s">
        <v>252</v>
      </c>
      <c r="E214" s="161">
        <f t="shared" si="6"/>
        <v>0</v>
      </c>
    </row>
    <row r="215" spans="1:6" x14ac:dyDescent="0.2">
      <c r="A215" s="158" t="s">
        <v>244</v>
      </c>
      <c r="B215" s="159" t="s">
        <v>135</v>
      </c>
      <c r="C215" s="158" t="s">
        <v>258</v>
      </c>
      <c r="D215" s="160" t="s">
        <v>252</v>
      </c>
      <c r="E215" s="161">
        <f t="shared" si="6"/>
        <v>0</v>
      </c>
    </row>
    <row r="216" spans="1:6" x14ac:dyDescent="0.2">
      <c r="A216" s="158"/>
      <c r="B216" s="159"/>
      <c r="C216" s="158"/>
      <c r="D216" s="168" t="s">
        <v>259</v>
      </c>
      <c r="E216" s="168"/>
    </row>
    <row r="217" spans="1:6" x14ac:dyDescent="0.2">
      <c r="A217" s="158" t="s">
        <v>260</v>
      </c>
      <c r="B217" s="159" t="s">
        <v>179</v>
      </c>
      <c r="C217" s="158" t="s">
        <v>261</v>
      </c>
      <c r="D217" s="160" t="s">
        <v>262</v>
      </c>
      <c r="E217" s="161">
        <f t="shared" ref="E217:E228" si="7">SUMIFS(Journal.Montant,Journal.Cpte,"="&amp;$A217,Journal.SsCpte,"="&amp;$B217,Journal.Dest,"="&amp;$C217)</f>
        <v>0</v>
      </c>
    </row>
    <row r="218" spans="1:6" x14ac:dyDescent="0.2">
      <c r="A218" s="158" t="s">
        <v>260</v>
      </c>
      <c r="B218" s="159" t="s">
        <v>179</v>
      </c>
      <c r="C218" s="158" t="s">
        <v>263</v>
      </c>
      <c r="D218" s="160" t="s">
        <v>262</v>
      </c>
      <c r="E218" s="161">
        <f t="shared" si="7"/>
        <v>0</v>
      </c>
    </row>
    <row r="219" spans="1:6" x14ac:dyDescent="0.2">
      <c r="A219" s="158" t="s">
        <v>260</v>
      </c>
      <c r="B219" s="159" t="s">
        <v>179</v>
      </c>
      <c r="C219" s="158" t="s">
        <v>264</v>
      </c>
      <c r="D219" s="160" t="s">
        <v>262</v>
      </c>
      <c r="E219" s="161">
        <f t="shared" si="7"/>
        <v>0</v>
      </c>
    </row>
    <row r="220" spans="1:6" x14ac:dyDescent="0.2">
      <c r="A220" s="158" t="s">
        <v>260</v>
      </c>
      <c r="B220" s="159" t="s">
        <v>265</v>
      </c>
      <c r="C220" s="158" t="s">
        <v>261</v>
      </c>
      <c r="D220" s="160" t="s">
        <v>266</v>
      </c>
      <c r="E220" s="161">
        <f t="shared" si="7"/>
        <v>0</v>
      </c>
    </row>
    <row r="221" spans="1:6" x14ac:dyDescent="0.2">
      <c r="A221" s="158" t="s">
        <v>260</v>
      </c>
      <c r="B221" s="159" t="s">
        <v>236</v>
      </c>
      <c r="C221" s="158" t="s">
        <v>263</v>
      </c>
      <c r="D221" s="160" t="s">
        <v>267</v>
      </c>
      <c r="E221" s="161">
        <f t="shared" si="7"/>
        <v>0</v>
      </c>
    </row>
    <row r="222" spans="1:6" x14ac:dyDescent="0.2">
      <c r="A222" s="158" t="s">
        <v>260</v>
      </c>
      <c r="B222" s="159" t="s">
        <v>239</v>
      </c>
      <c r="C222" s="158" t="s">
        <v>268</v>
      </c>
      <c r="D222" s="160" t="s">
        <v>269</v>
      </c>
      <c r="E222" s="161">
        <f t="shared" si="7"/>
        <v>0</v>
      </c>
    </row>
    <row r="223" spans="1:6" x14ac:dyDescent="0.2">
      <c r="A223" s="158" t="s">
        <v>260</v>
      </c>
      <c r="B223" s="159" t="s">
        <v>179</v>
      </c>
      <c r="C223" s="158" t="s">
        <v>270</v>
      </c>
      <c r="D223" s="160" t="s">
        <v>262</v>
      </c>
      <c r="E223" s="161">
        <f t="shared" si="7"/>
        <v>0</v>
      </c>
    </row>
    <row r="224" spans="1:6" x14ac:dyDescent="0.2">
      <c r="A224" s="158" t="s">
        <v>260</v>
      </c>
      <c r="B224" s="159" t="s">
        <v>239</v>
      </c>
      <c r="C224" s="158" t="s">
        <v>270</v>
      </c>
      <c r="D224" s="160" t="s">
        <v>269</v>
      </c>
      <c r="E224" s="161">
        <f t="shared" si="7"/>
        <v>0</v>
      </c>
    </row>
    <row r="225" spans="1:5" x14ac:dyDescent="0.2">
      <c r="A225" s="158" t="s">
        <v>260</v>
      </c>
      <c r="B225" s="159" t="s">
        <v>179</v>
      </c>
      <c r="C225" s="158" t="s">
        <v>271</v>
      </c>
      <c r="D225" s="160" t="s">
        <v>272</v>
      </c>
      <c r="E225" s="161">
        <f t="shared" si="7"/>
        <v>0</v>
      </c>
    </row>
    <row r="226" spans="1:5" x14ac:dyDescent="0.2">
      <c r="A226" s="158" t="s">
        <v>260</v>
      </c>
      <c r="B226" s="159" t="s">
        <v>179</v>
      </c>
      <c r="C226" s="158" t="s">
        <v>273</v>
      </c>
      <c r="D226" s="160" t="s">
        <v>272</v>
      </c>
      <c r="E226" s="161">
        <f>SUMIFS(Journal.Montant,Journal.Cpte,"="&amp;$A226,Journal.SsCpte,"="&amp;$B226,Journal.Dest,"="&amp;$C226)</f>
        <v>0</v>
      </c>
    </row>
    <row r="227" spans="1:5" x14ac:dyDescent="0.2">
      <c r="A227" s="158" t="s">
        <v>260</v>
      </c>
      <c r="B227" s="159" t="s">
        <v>274</v>
      </c>
      <c r="C227" s="158" t="s">
        <v>275</v>
      </c>
      <c r="D227" s="160" t="s">
        <v>276</v>
      </c>
      <c r="E227" s="161">
        <f t="shared" si="7"/>
        <v>0</v>
      </c>
    </row>
    <row r="228" spans="1:5" x14ac:dyDescent="0.2">
      <c r="A228" s="158" t="s">
        <v>260</v>
      </c>
      <c r="B228" s="159" t="s">
        <v>277</v>
      </c>
      <c r="C228" s="158" t="s">
        <v>99</v>
      </c>
      <c r="D228" s="160" t="s">
        <v>278</v>
      </c>
      <c r="E228" s="161">
        <f t="shared" si="7"/>
        <v>0</v>
      </c>
    </row>
    <row r="229" spans="1:5" x14ac:dyDescent="0.2">
      <c r="A229" s="158"/>
      <c r="B229" s="159"/>
      <c r="C229" s="158"/>
      <c r="D229" s="168" t="s">
        <v>279</v>
      </c>
      <c r="E229" s="168"/>
    </row>
    <row r="230" spans="1:5" x14ac:dyDescent="0.2">
      <c r="A230" s="158" t="s">
        <v>280</v>
      </c>
      <c r="B230" s="159" t="s">
        <v>349</v>
      </c>
      <c r="C230" s="158" t="s">
        <v>588</v>
      </c>
      <c r="D230" s="160" t="s">
        <v>595</v>
      </c>
      <c r="E230" s="161">
        <f t="shared" ref="E230:E239" si="8">SUMIFS(Journal.Montant,Journal.Cpte,"="&amp;$A230,Journal.SsCpte,"="&amp;$B230,Journal.Dest,"="&amp;$C230)</f>
        <v>0</v>
      </c>
    </row>
    <row r="231" spans="1:5" x14ac:dyDescent="0.2">
      <c r="A231" s="158" t="s">
        <v>280</v>
      </c>
      <c r="B231" s="159" t="s">
        <v>281</v>
      </c>
      <c r="C231" s="158" t="s">
        <v>282</v>
      </c>
      <c r="D231" s="160" t="s">
        <v>283</v>
      </c>
      <c r="E231" s="161">
        <f t="shared" si="8"/>
        <v>0</v>
      </c>
    </row>
    <row r="232" spans="1:5" x14ac:dyDescent="0.2">
      <c r="A232" s="158" t="s">
        <v>280</v>
      </c>
      <c r="B232" s="159" t="s">
        <v>241</v>
      </c>
      <c r="C232" s="158" t="s">
        <v>282</v>
      </c>
      <c r="D232" s="160" t="s">
        <v>284</v>
      </c>
      <c r="E232" s="161">
        <f t="shared" si="8"/>
        <v>0</v>
      </c>
    </row>
    <row r="233" spans="1:5" x14ac:dyDescent="0.2">
      <c r="A233" s="158" t="s">
        <v>280</v>
      </c>
      <c r="B233" s="159" t="s">
        <v>281</v>
      </c>
      <c r="C233" s="158" t="s">
        <v>285</v>
      </c>
      <c r="D233" s="160" t="s">
        <v>283</v>
      </c>
      <c r="E233" s="161">
        <f t="shared" si="8"/>
        <v>0</v>
      </c>
    </row>
    <row r="234" spans="1:5" x14ac:dyDescent="0.2">
      <c r="A234" s="158" t="s">
        <v>280</v>
      </c>
      <c r="B234" s="159" t="s">
        <v>241</v>
      </c>
      <c r="C234" s="158" t="s">
        <v>285</v>
      </c>
      <c r="D234" s="160" t="s">
        <v>284</v>
      </c>
      <c r="E234" s="161">
        <f t="shared" si="8"/>
        <v>0</v>
      </c>
    </row>
    <row r="235" spans="1:5" x14ac:dyDescent="0.2">
      <c r="A235" s="158" t="s">
        <v>280</v>
      </c>
      <c r="B235" s="159" t="s">
        <v>241</v>
      </c>
      <c r="C235" s="158" t="s">
        <v>286</v>
      </c>
      <c r="D235" s="160" t="s">
        <v>283</v>
      </c>
      <c r="E235" s="161">
        <f t="shared" si="8"/>
        <v>0</v>
      </c>
    </row>
    <row r="236" spans="1:5" x14ac:dyDescent="0.2">
      <c r="A236" s="158" t="s">
        <v>280</v>
      </c>
      <c r="B236" s="159" t="s">
        <v>281</v>
      </c>
      <c r="C236" s="158" t="s">
        <v>271</v>
      </c>
      <c r="D236" s="160" t="s">
        <v>283</v>
      </c>
      <c r="E236" s="161">
        <f t="shared" si="8"/>
        <v>0</v>
      </c>
    </row>
    <row r="237" spans="1:5" x14ac:dyDescent="0.2">
      <c r="A237" s="158" t="s">
        <v>280</v>
      </c>
      <c r="B237" s="159" t="s">
        <v>179</v>
      </c>
      <c r="C237" s="158" t="s">
        <v>273</v>
      </c>
      <c r="D237" s="160" t="s">
        <v>272</v>
      </c>
      <c r="E237" s="161">
        <f t="shared" si="8"/>
        <v>0</v>
      </c>
    </row>
    <row r="238" spans="1:5" x14ac:dyDescent="0.2">
      <c r="A238" s="158" t="s">
        <v>280</v>
      </c>
      <c r="B238" s="159" t="s">
        <v>281</v>
      </c>
      <c r="C238" s="158" t="s">
        <v>273</v>
      </c>
      <c r="D238" s="160" t="s">
        <v>287</v>
      </c>
      <c r="E238" s="161">
        <f t="shared" si="8"/>
        <v>0</v>
      </c>
    </row>
    <row r="239" spans="1:5" x14ac:dyDescent="0.2">
      <c r="A239" s="158" t="s">
        <v>280</v>
      </c>
      <c r="B239" s="159" t="s">
        <v>274</v>
      </c>
      <c r="C239" s="158" t="s">
        <v>273</v>
      </c>
      <c r="D239" s="160" t="s">
        <v>276</v>
      </c>
      <c r="E239" s="161">
        <f t="shared" si="8"/>
        <v>0</v>
      </c>
    </row>
    <row r="240" spans="1:5" x14ac:dyDescent="0.2">
      <c r="A240" s="158"/>
      <c r="B240" s="159"/>
      <c r="C240" s="158"/>
      <c r="D240" s="168" t="s">
        <v>288</v>
      </c>
      <c r="E240" s="168"/>
    </row>
    <row r="241" spans="1:7" s="164" customFormat="1" ht="10.5" x14ac:dyDescent="0.25">
      <c r="B241" s="165"/>
      <c r="D241" s="166" t="s">
        <v>289</v>
      </c>
      <c r="E241" s="167">
        <f>-SUM(E200:E239)</f>
        <v>15444.5</v>
      </c>
    </row>
    <row r="242" spans="1:7" x14ac:dyDescent="0.2">
      <c r="A242" s="158" t="s">
        <v>290</v>
      </c>
      <c r="B242" s="158" t="s">
        <v>90</v>
      </c>
      <c r="C242" s="158" t="s">
        <v>112</v>
      </c>
      <c r="D242" s="158" t="s">
        <v>291</v>
      </c>
      <c r="E242" s="161">
        <f>SUMIFS(Journal.Montant,Journal.Cpte,"="&amp;$A242,Journal.SsCpte,"="&amp;$B242,Journal.Dest,"="&amp;$C242)</f>
        <v>0</v>
      </c>
    </row>
    <row r="243" spans="1:7" ht="20" x14ac:dyDescent="0.2">
      <c r="A243" s="158" t="s">
        <v>290</v>
      </c>
      <c r="B243" s="158" t="s">
        <v>90</v>
      </c>
      <c r="C243" s="158" t="s">
        <v>91</v>
      </c>
      <c r="D243" s="158" t="s">
        <v>683</v>
      </c>
      <c r="E243" s="161">
        <f>SUMIFS(Journal.Montant,Journal.Cpte,"="&amp;$A243,Journal.SsCpte,"="&amp;$B243,Journal.Dest,"="&amp;$C243)</f>
        <v>179.74</v>
      </c>
    </row>
    <row r="244" spans="1:7" x14ac:dyDescent="0.2">
      <c r="A244" s="158" t="s">
        <v>290</v>
      </c>
      <c r="B244" s="158" t="s">
        <v>90</v>
      </c>
      <c r="C244" s="158" t="s">
        <v>292</v>
      </c>
      <c r="D244" s="158" t="s">
        <v>293</v>
      </c>
      <c r="E244" s="161">
        <f>SUMIFS(Journal.Montant,Journal.Cpte,"="&amp;$A244,Journal.SsCpte,"="&amp;$B244,Journal.Dest,"="&amp;$C244)</f>
        <v>0</v>
      </c>
    </row>
    <row r="245" spans="1:7" x14ac:dyDescent="0.2">
      <c r="A245" s="158" t="s">
        <v>294</v>
      </c>
      <c r="B245" s="158" t="s">
        <v>90</v>
      </c>
      <c r="C245" s="158" t="s">
        <v>91</v>
      </c>
      <c r="D245" s="158" t="s">
        <v>295</v>
      </c>
      <c r="E245" s="161">
        <f>SUMIFS(Journal.Montant,Journal.Cpte,"="&amp;$A245,Journal.SsCpte,"="&amp;$B245,Journal.Dest,"="&amp;$C245)</f>
        <v>-208.52</v>
      </c>
    </row>
    <row r="246" spans="1:7" s="164" customFormat="1" ht="10.5" x14ac:dyDescent="0.25">
      <c r="B246" s="165"/>
      <c r="D246" s="166" t="s">
        <v>296</v>
      </c>
      <c r="E246" s="167">
        <f>-SUM(E242:E245)</f>
        <v>28.78</v>
      </c>
    </row>
    <row r="247" spans="1:7" x14ac:dyDescent="0.2">
      <c r="A247" s="158">
        <v>999</v>
      </c>
      <c r="B247" s="158">
        <v>99</v>
      </c>
      <c r="C247" s="158" t="s">
        <v>91</v>
      </c>
      <c r="D247" s="158" t="s">
        <v>1079</v>
      </c>
      <c r="E247" s="161">
        <f>-SUM(E243:E246)</f>
        <v>0</v>
      </c>
    </row>
    <row r="248" spans="1:7" s="170" customFormat="1" ht="10.5" x14ac:dyDescent="0.25">
      <c r="A248" s="201" t="s">
        <v>297</v>
      </c>
      <c r="B248" s="202"/>
      <c r="C248" s="202"/>
      <c r="D248" s="203"/>
      <c r="E248" s="169">
        <f>E199+E241+E246</f>
        <v>7979.93</v>
      </c>
    </row>
    <row r="249" spans="1:7" s="171" customFormat="1" ht="10.5" x14ac:dyDescent="0.25">
      <c r="A249" s="204" t="s">
        <v>298</v>
      </c>
      <c r="B249" s="205"/>
      <c r="C249" s="205"/>
      <c r="D249" s="205"/>
      <c r="E249" s="206"/>
    </row>
    <row r="250" spans="1:7" x14ac:dyDescent="0.2">
      <c r="A250" s="172" t="s">
        <v>299</v>
      </c>
      <c r="B250" s="173" t="s">
        <v>101</v>
      </c>
      <c r="C250" s="172" t="s">
        <v>91</v>
      </c>
      <c r="D250" s="174" t="s">
        <v>300</v>
      </c>
      <c r="E250" s="175">
        <f>SUMIFS(Journal.Montant,Journal.Cpte,"="&amp;$A250,Journal.SsCpte,"="&amp;$B250,Journal.Dest,"="&amp;$C250)</f>
        <v>-6.5</v>
      </c>
    </row>
    <row r="251" spans="1:7" ht="10.5" x14ac:dyDescent="0.25">
      <c r="A251" s="172" t="s">
        <v>299</v>
      </c>
      <c r="B251" s="173" t="s">
        <v>101</v>
      </c>
      <c r="C251" s="172" t="s">
        <v>301</v>
      </c>
      <c r="D251" s="174" t="s">
        <v>302</v>
      </c>
      <c r="E251" s="175">
        <f t="shared" ref="E251:E270" si="9">SUMIFS(Journal.Montant,Journal.Cpte,"="&amp;$A251,Journal.SsCpte,"="&amp;$B251,Journal.Dest,"="&amp;$C251)</f>
        <v>0</v>
      </c>
      <c r="G251" s="176" t="s">
        <v>303</v>
      </c>
    </row>
    <row r="252" spans="1:7" ht="13.9" customHeight="1" x14ac:dyDescent="0.25">
      <c r="A252" s="172" t="s">
        <v>299</v>
      </c>
      <c r="B252" s="173" t="s">
        <v>90</v>
      </c>
      <c r="C252" s="172" t="s">
        <v>91</v>
      </c>
      <c r="D252" s="174" t="s">
        <v>304</v>
      </c>
      <c r="E252" s="176">
        <f>SUMIFS(Journal.Montant,Journal.Cpte,"="&amp;$A252,Journal.SsCpte,"="&amp;$B252,Journal.Dest,"="&amp;$C252)</f>
        <v>14771.42</v>
      </c>
      <c r="G252" s="176">
        <f>E252+E253</f>
        <v>12274.73</v>
      </c>
    </row>
    <row r="253" spans="1:7" ht="13.9" customHeight="1" x14ac:dyDescent="0.2">
      <c r="A253" s="172" t="s">
        <v>299</v>
      </c>
      <c r="B253" s="173" t="s">
        <v>90</v>
      </c>
      <c r="C253" s="172" t="s">
        <v>305</v>
      </c>
      <c r="D253" s="174" t="s">
        <v>306</v>
      </c>
      <c r="E253" s="161">
        <f>SUMIFS(Journal.Montant,Journal.Cpte,"="&amp;$A253,Journal.SsCpte,"="&amp;$B253,Journal.Dest,"="&amp;$C253)</f>
        <v>-2496.69</v>
      </c>
      <c r="G253" s="161"/>
    </row>
    <row r="254" spans="1:7" x14ac:dyDescent="0.2">
      <c r="A254" s="172" t="s">
        <v>299</v>
      </c>
      <c r="B254" s="173" t="s">
        <v>307</v>
      </c>
      <c r="C254" s="172" t="s">
        <v>91</v>
      </c>
      <c r="D254" s="174" t="s">
        <v>308</v>
      </c>
      <c r="E254" s="161">
        <f t="shared" si="9"/>
        <v>0</v>
      </c>
    </row>
    <row r="255" spans="1:7" x14ac:dyDescent="0.2">
      <c r="A255" s="172" t="s">
        <v>299</v>
      </c>
      <c r="B255" s="173" t="s">
        <v>309</v>
      </c>
      <c r="C255" s="172" t="s">
        <v>91</v>
      </c>
      <c r="D255" s="174" t="s">
        <v>310</v>
      </c>
      <c r="E255" s="161">
        <f t="shared" si="9"/>
        <v>-2.0499999999999998</v>
      </c>
    </row>
    <row r="256" spans="1:7" x14ac:dyDescent="0.2">
      <c r="A256" s="172" t="s">
        <v>299</v>
      </c>
      <c r="B256" s="173" t="s">
        <v>311</v>
      </c>
      <c r="C256" s="172" t="s">
        <v>312</v>
      </c>
      <c r="D256" s="174" t="s">
        <v>313</v>
      </c>
      <c r="E256" s="161">
        <f t="shared" si="9"/>
        <v>25</v>
      </c>
    </row>
    <row r="257" spans="1:7" x14ac:dyDescent="0.2">
      <c r="A257" s="172" t="s">
        <v>299</v>
      </c>
      <c r="B257" s="173" t="s">
        <v>311</v>
      </c>
      <c r="C257" s="172" t="s">
        <v>314</v>
      </c>
      <c r="D257" s="174" t="s">
        <v>315</v>
      </c>
      <c r="E257" s="161">
        <f t="shared" si="9"/>
        <v>-8</v>
      </c>
    </row>
    <row r="258" spans="1:7" x14ac:dyDescent="0.2">
      <c r="A258" s="172" t="s">
        <v>299</v>
      </c>
      <c r="B258" s="173" t="s">
        <v>311</v>
      </c>
      <c r="C258" s="172" t="s">
        <v>316</v>
      </c>
      <c r="D258" s="174" t="s">
        <v>317</v>
      </c>
      <c r="E258" s="161">
        <f t="shared" si="9"/>
        <v>-270</v>
      </c>
    </row>
    <row r="259" spans="1:7" x14ac:dyDescent="0.2">
      <c r="A259" s="172" t="s">
        <v>299</v>
      </c>
      <c r="B259" s="173" t="s">
        <v>311</v>
      </c>
      <c r="C259" s="172" t="s">
        <v>318</v>
      </c>
      <c r="D259" s="174" t="s">
        <v>319</v>
      </c>
      <c r="E259" s="161">
        <f t="shared" si="9"/>
        <v>-45</v>
      </c>
    </row>
    <row r="260" spans="1:7" x14ac:dyDescent="0.2">
      <c r="A260" s="172" t="s">
        <v>299</v>
      </c>
      <c r="B260" s="173" t="s">
        <v>311</v>
      </c>
      <c r="C260" s="172" t="s">
        <v>320</v>
      </c>
      <c r="D260" s="174" t="s">
        <v>220</v>
      </c>
      <c r="E260" s="161">
        <f t="shared" si="9"/>
        <v>0</v>
      </c>
      <c r="G260" s="177"/>
    </row>
    <row r="261" spans="1:7" x14ac:dyDescent="0.2">
      <c r="A261" s="172" t="s">
        <v>299</v>
      </c>
      <c r="B261" s="173" t="s">
        <v>321</v>
      </c>
      <c r="C261" s="172" t="s">
        <v>93</v>
      </c>
      <c r="D261" s="174" t="s">
        <v>322</v>
      </c>
      <c r="E261" s="161">
        <f>SUMIFS(Journal.Montant,Journal.Cpte,"="&amp;$A261,Journal.SsCpte,"="&amp;$B261,Journal.Dest,"="&amp;$C261)</f>
        <v>0</v>
      </c>
    </row>
    <row r="262" spans="1:7" x14ac:dyDescent="0.2">
      <c r="A262" s="172" t="s">
        <v>299</v>
      </c>
      <c r="B262" s="173" t="s">
        <v>321</v>
      </c>
      <c r="C262" s="172" t="s">
        <v>94</v>
      </c>
      <c r="D262" s="174" t="s">
        <v>322</v>
      </c>
      <c r="E262" s="161">
        <f t="shared" si="9"/>
        <v>0</v>
      </c>
    </row>
    <row r="263" spans="1:7" x14ac:dyDescent="0.2">
      <c r="A263" s="172" t="s">
        <v>299</v>
      </c>
      <c r="B263" s="173" t="s">
        <v>321</v>
      </c>
      <c r="C263" s="172" t="s">
        <v>98</v>
      </c>
      <c r="D263" s="174" t="s">
        <v>322</v>
      </c>
      <c r="E263" s="161">
        <f t="shared" si="9"/>
        <v>0</v>
      </c>
    </row>
    <row r="264" spans="1:7" x14ac:dyDescent="0.2">
      <c r="A264" s="172" t="s">
        <v>299</v>
      </c>
      <c r="B264" s="173" t="s">
        <v>321</v>
      </c>
      <c r="C264" s="172" t="s">
        <v>95</v>
      </c>
      <c r="D264" s="174" t="s">
        <v>322</v>
      </c>
      <c r="E264" s="161">
        <f t="shared" si="9"/>
        <v>0</v>
      </c>
    </row>
    <row r="265" spans="1:7" x14ac:dyDescent="0.2">
      <c r="A265" s="172" t="s">
        <v>299</v>
      </c>
      <c r="B265" s="173" t="s">
        <v>321</v>
      </c>
      <c r="C265" s="172" t="s">
        <v>99</v>
      </c>
      <c r="D265" s="174" t="s">
        <v>323</v>
      </c>
      <c r="E265" s="161">
        <f>SUMIFS(Journal.Montant,Journal.Cpte,"="&amp;$A265,Journal.SsCpte,"="&amp;$B265,Journal.Dest,"="&amp;$C265)</f>
        <v>-743.34</v>
      </c>
    </row>
    <row r="266" spans="1:7" x14ac:dyDescent="0.2">
      <c r="A266" s="172" t="s">
        <v>299</v>
      </c>
      <c r="B266" s="173" t="s">
        <v>321</v>
      </c>
      <c r="C266" s="172" t="s">
        <v>107</v>
      </c>
      <c r="D266" s="174" t="s">
        <v>324</v>
      </c>
      <c r="E266" s="161">
        <f t="shared" si="9"/>
        <v>-19.28</v>
      </c>
    </row>
    <row r="267" spans="1:7" x14ac:dyDescent="0.2">
      <c r="A267" s="172" t="s">
        <v>299</v>
      </c>
      <c r="B267" s="173" t="s">
        <v>321</v>
      </c>
      <c r="C267" s="172" t="s">
        <v>325</v>
      </c>
      <c r="D267" s="174" t="s">
        <v>324</v>
      </c>
      <c r="E267" s="161">
        <f>SUMIFS(Journal.Montant,Journal.Cpte,"="&amp;$A267,Journal.SsCpte,"="&amp;$B267,Journal.Dest,"="&amp;$C267)</f>
        <v>0</v>
      </c>
    </row>
    <row r="268" spans="1:7" x14ac:dyDescent="0.2">
      <c r="A268" s="172" t="s">
        <v>299</v>
      </c>
      <c r="B268" s="173" t="s">
        <v>321</v>
      </c>
      <c r="C268" s="172" t="s">
        <v>565</v>
      </c>
      <c r="D268" s="174" t="s">
        <v>569</v>
      </c>
      <c r="E268" s="161">
        <f t="shared" si="9"/>
        <v>0</v>
      </c>
    </row>
    <row r="269" spans="1:7" x14ac:dyDescent="0.2">
      <c r="A269" s="172" t="s">
        <v>299</v>
      </c>
      <c r="B269" s="173" t="s">
        <v>321</v>
      </c>
      <c r="C269" s="172" t="s">
        <v>326</v>
      </c>
      <c r="D269" s="174" t="s">
        <v>327</v>
      </c>
      <c r="E269" s="161">
        <f>SUMIFS(Journal.Montant,Journal.Cpte,"="&amp;$A269,Journal.SsCpte,"="&amp;$B269,Journal.Dest,"="&amp;$C269)</f>
        <v>0</v>
      </c>
    </row>
    <row r="270" spans="1:7" x14ac:dyDescent="0.2">
      <c r="A270" s="172" t="s">
        <v>299</v>
      </c>
      <c r="B270" s="173" t="s">
        <v>321</v>
      </c>
      <c r="C270" s="172" t="s">
        <v>328</v>
      </c>
      <c r="D270" s="174" t="s">
        <v>329</v>
      </c>
      <c r="E270" s="161">
        <f t="shared" si="9"/>
        <v>0</v>
      </c>
    </row>
    <row r="271" spans="1:7" ht="10.5" x14ac:dyDescent="0.25">
      <c r="A271" s="178"/>
      <c r="B271" s="179"/>
      <c r="C271" s="178"/>
      <c r="D271" s="180" t="s">
        <v>330</v>
      </c>
      <c r="E271" s="181">
        <f>SUM(E250:E270)</f>
        <v>11205.56</v>
      </c>
    </row>
    <row r="272" spans="1:7" x14ac:dyDescent="0.2">
      <c r="A272" s="172" t="s">
        <v>299</v>
      </c>
      <c r="B272" s="173" t="s">
        <v>179</v>
      </c>
      <c r="C272" s="172" t="s">
        <v>256</v>
      </c>
      <c r="D272" s="174" t="s">
        <v>331</v>
      </c>
      <c r="E272" s="161">
        <f t="shared" ref="E272:E280" si="10">SUMIFS(Journal.Montant,Journal.Cpte,"="&amp;$A272,Journal.SsCpte,"="&amp;$B272,Journal.Dest,"="&amp;$C272)</f>
        <v>12000</v>
      </c>
    </row>
    <row r="273" spans="1:9" x14ac:dyDescent="0.2">
      <c r="A273" s="172" t="s">
        <v>299</v>
      </c>
      <c r="B273" s="173" t="s">
        <v>179</v>
      </c>
      <c r="C273" s="172" t="s">
        <v>255</v>
      </c>
      <c r="D273" s="174" t="s">
        <v>332</v>
      </c>
      <c r="E273" s="161">
        <f t="shared" si="10"/>
        <v>12000</v>
      </c>
    </row>
    <row r="274" spans="1:9" ht="15" customHeight="1" x14ac:dyDescent="0.2">
      <c r="A274" s="172" t="s">
        <v>299</v>
      </c>
      <c r="B274" s="173" t="s">
        <v>333</v>
      </c>
      <c r="C274" s="172" t="s">
        <v>253</v>
      </c>
      <c r="D274" s="174" t="s">
        <v>334</v>
      </c>
      <c r="E274" s="161">
        <f t="shared" si="10"/>
        <v>22942.02</v>
      </c>
      <c r="I274" s="182"/>
    </row>
    <row r="275" spans="1:9" x14ac:dyDescent="0.2">
      <c r="A275" s="172" t="s">
        <v>299</v>
      </c>
      <c r="B275" s="173" t="s">
        <v>333</v>
      </c>
      <c r="C275" s="172" t="s">
        <v>251</v>
      </c>
      <c r="D275" s="174" t="s">
        <v>335</v>
      </c>
      <c r="E275" s="161">
        <f t="shared" si="10"/>
        <v>22941.79</v>
      </c>
      <c r="I275" s="182"/>
    </row>
    <row r="276" spans="1:9" x14ac:dyDescent="0.2">
      <c r="A276" s="172" t="s">
        <v>299</v>
      </c>
      <c r="B276" s="173" t="s">
        <v>265</v>
      </c>
      <c r="C276" s="172" t="s">
        <v>254</v>
      </c>
      <c r="D276" s="174" t="s">
        <v>336</v>
      </c>
      <c r="E276" s="161">
        <f t="shared" si="10"/>
        <v>0</v>
      </c>
      <c r="I276" s="182"/>
    </row>
    <row r="277" spans="1:9" x14ac:dyDescent="0.2">
      <c r="A277" s="172" t="s">
        <v>299</v>
      </c>
      <c r="B277" s="173" t="s">
        <v>337</v>
      </c>
      <c r="C277" s="172" t="s">
        <v>257</v>
      </c>
      <c r="D277" s="174" t="s">
        <v>338</v>
      </c>
      <c r="E277" s="161">
        <f t="shared" si="10"/>
        <v>4924.43</v>
      </c>
      <c r="I277" s="182"/>
    </row>
    <row r="278" spans="1:9" x14ac:dyDescent="0.2">
      <c r="A278" s="172" t="s">
        <v>299</v>
      </c>
      <c r="B278" s="173" t="s">
        <v>337</v>
      </c>
      <c r="C278" s="172" t="s">
        <v>258</v>
      </c>
      <c r="D278" s="174" t="s">
        <v>339</v>
      </c>
      <c r="E278" s="161">
        <f t="shared" si="10"/>
        <v>5043.0200000000004</v>
      </c>
      <c r="I278" s="182"/>
    </row>
    <row r="279" spans="1:9" x14ac:dyDescent="0.2">
      <c r="A279" s="172" t="s">
        <v>299</v>
      </c>
      <c r="B279" s="173" t="s">
        <v>349</v>
      </c>
      <c r="C279" s="172" t="s">
        <v>271</v>
      </c>
      <c r="D279" s="174" t="s">
        <v>351</v>
      </c>
      <c r="E279" s="161">
        <f t="shared" si="10"/>
        <v>41345.910000000003</v>
      </c>
    </row>
    <row r="280" spans="1:9" x14ac:dyDescent="0.2">
      <c r="A280" s="172" t="s">
        <v>299</v>
      </c>
      <c r="B280" s="173" t="s">
        <v>349</v>
      </c>
      <c r="C280" s="172" t="s">
        <v>273</v>
      </c>
      <c r="D280" s="174" t="s">
        <v>352</v>
      </c>
      <c r="E280" s="161">
        <f t="shared" si="10"/>
        <v>12766.9</v>
      </c>
    </row>
    <row r="281" spans="1:9" ht="10.5" x14ac:dyDescent="0.25">
      <c r="A281" s="178"/>
      <c r="B281" s="179"/>
      <c r="C281" s="178"/>
      <c r="D281" s="180" t="s">
        <v>340</v>
      </c>
      <c r="E281" s="181">
        <f>SUM(E272:E280)</f>
        <v>133964.07</v>
      </c>
    </row>
    <row r="282" spans="1:9" x14ac:dyDescent="0.2">
      <c r="A282" s="172" t="s">
        <v>299</v>
      </c>
      <c r="B282" s="173" t="s">
        <v>341</v>
      </c>
      <c r="C282" s="172" t="s">
        <v>99</v>
      </c>
      <c r="D282" s="174" t="s">
        <v>342</v>
      </c>
      <c r="E282" s="161">
        <f>SUMIFS(Journal.Montant,Journal.Cpte,"="&amp;$A282,Journal.SsCpte,"="&amp;$B282,Journal.Dest,"="&amp;$C282)</f>
        <v>4399.99</v>
      </c>
    </row>
    <row r="283" spans="1:9" x14ac:dyDescent="0.2">
      <c r="A283" s="172" t="s">
        <v>299</v>
      </c>
      <c r="B283" s="173" t="s">
        <v>248</v>
      </c>
      <c r="C283" s="172" t="s">
        <v>107</v>
      </c>
      <c r="D283" s="174" t="s">
        <v>343</v>
      </c>
      <c r="E283" s="161">
        <f>SUMIFS(Journal.Montant,Journal.Cpte,"="&amp;$A283,Journal.SsCpte,"="&amp;$B283,Journal.Dest,"="&amp;$C283)</f>
        <v>1099.45</v>
      </c>
    </row>
    <row r="284" spans="1:9" x14ac:dyDescent="0.2">
      <c r="A284" s="172" t="s">
        <v>299</v>
      </c>
      <c r="B284" s="173" t="s">
        <v>248</v>
      </c>
      <c r="C284" s="172" t="s">
        <v>99</v>
      </c>
      <c r="D284" s="174" t="s">
        <v>344</v>
      </c>
      <c r="E284" s="161">
        <f>SUMIFS(Journal.Montant,Journal.Cpte,"="&amp;$A284,Journal.SsCpte,"="&amp;$B284,Journal.Dest,"="&amp;$C284)</f>
        <v>4261.3900000000003</v>
      </c>
    </row>
    <row r="285" spans="1:9" x14ac:dyDescent="0.2">
      <c r="A285" s="172" t="s">
        <v>299</v>
      </c>
      <c r="B285" s="173" t="s">
        <v>345</v>
      </c>
      <c r="C285" s="172" t="s">
        <v>91</v>
      </c>
      <c r="D285" s="174" t="s">
        <v>346</v>
      </c>
      <c r="E285" s="161">
        <f>SUMIFS(Journal.Montant,Journal.Cpte,"="&amp;$A285,Journal.SsCpte,"="&amp;$B285,Journal.Dest,"="&amp;$C285)</f>
        <v>0</v>
      </c>
    </row>
    <row r="286" spans="1:9" x14ac:dyDescent="0.2">
      <c r="A286" s="172" t="s">
        <v>299</v>
      </c>
      <c r="B286" s="173" t="s">
        <v>277</v>
      </c>
      <c r="C286" s="172" t="s">
        <v>99</v>
      </c>
      <c r="D286" s="174" t="s">
        <v>347</v>
      </c>
      <c r="E286" s="161">
        <f>SUMIFS(Journal.Montant,Journal.Cpte,"="&amp;$A286,Journal.SsCpte,"="&amp;$B286,Journal.Dest,"="&amp;$C286)</f>
        <v>328.6</v>
      </c>
    </row>
    <row r="287" spans="1:9" s="187" customFormat="1" x14ac:dyDescent="0.2">
      <c r="A287" s="183"/>
      <c r="B287" s="184"/>
      <c r="C287" s="183"/>
      <c r="D287" s="185" t="s">
        <v>348</v>
      </c>
      <c r="E287" s="186">
        <f>SUM(E282:E286)</f>
        <v>10089.43</v>
      </c>
    </row>
    <row r="288" spans="1:9" x14ac:dyDescent="0.2">
      <c r="A288" s="172" t="s">
        <v>299</v>
      </c>
      <c r="B288" s="173" t="s">
        <v>349</v>
      </c>
      <c r="C288" s="172" t="s">
        <v>286</v>
      </c>
      <c r="D288" s="174" t="s">
        <v>350</v>
      </c>
      <c r="E288" s="161">
        <f t="shared" ref="E288" si="11">SUMIFS(Journal.Montant,Journal.Cpte,"="&amp;$A288,Journal.SsCpte,"="&amp;$B288,Journal.Dest,"="&amp;$C288)</f>
        <v>106.15</v>
      </c>
    </row>
    <row r="289" spans="1:5" x14ac:dyDescent="0.2">
      <c r="A289" s="172" t="s">
        <v>299</v>
      </c>
      <c r="B289" s="173" t="s">
        <v>349</v>
      </c>
      <c r="C289" s="172" t="s">
        <v>588</v>
      </c>
      <c r="D289" s="174" t="s">
        <v>589</v>
      </c>
      <c r="E289" s="161">
        <f>SUMIFS(Journal.Montant,Journal.Cpte,"="&amp;$A289,Journal.SsCpte,"="&amp;$B289,Journal.Dest,"="&amp;$C289)</f>
        <v>22929.5</v>
      </c>
    </row>
    <row r="290" spans="1:5" x14ac:dyDescent="0.2">
      <c r="A290" s="172" t="s">
        <v>299</v>
      </c>
      <c r="B290" s="173" t="s">
        <v>349</v>
      </c>
      <c r="C290" s="172" t="s">
        <v>1005</v>
      </c>
      <c r="D290" s="174" t="s">
        <v>589</v>
      </c>
      <c r="E290" s="161">
        <f>SUMIFS(Journal.Montant,Journal.Cpte,"="&amp;$A290,Journal.SsCpte,"="&amp;$B290,Journal.Dest,"="&amp;$C290)</f>
        <v>8079.5</v>
      </c>
    </row>
    <row r="291" spans="1:5" s="187" customFormat="1" x14ac:dyDescent="0.2">
      <c r="A291" s="183"/>
      <c r="B291" s="184"/>
      <c r="C291" s="183"/>
      <c r="D291" s="185" t="s">
        <v>353</v>
      </c>
      <c r="E291" s="186">
        <f>SUM(E288:E290)</f>
        <v>31115.15</v>
      </c>
    </row>
    <row r="292" spans="1:5" ht="10.5" x14ac:dyDescent="0.25">
      <c r="A292" s="178"/>
      <c r="B292" s="179"/>
      <c r="C292" s="178"/>
      <c r="D292" s="180" t="s">
        <v>354</v>
      </c>
      <c r="E292" s="181">
        <f>E287+E291</f>
        <v>41204.58</v>
      </c>
    </row>
    <row r="293" spans="1:5" x14ac:dyDescent="0.2">
      <c r="A293" s="172" t="s">
        <v>299</v>
      </c>
      <c r="B293" s="173" t="s">
        <v>274</v>
      </c>
      <c r="C293" s="172" t="s">
        <v>91</v>
      </c>
      <c r="D293" s="174" t="s">
        <v>355</v>
      </c>
      <c r="E293" s="161">
        <f>SUMIFS(Journal.Montant,Journal.Cpte,"="&amp;$A293,Journal.SsCpte,"="&amp;$B293,Journal.Dest,"="&amp;$C293)</f>
        <v>0</v>
      </c>
    </row>
    <row r="294" spans="1:5" x14ac:dyDescent="0.2">
      <c r="A294" s="172" t="s">
        <v>299</v>
      </c>
      <c r="B294" s="173" t="s">
        <v>239</v>
      </c>
      <c r="C294" s="172" t="s">
        <v>91</v>
      </c>
      <c r="D294" s="174" t="s">
        <v>356</v>
      </c>
      <c r="E294" s="161">
        <f>SUMIFS(Journal.Montant,Journal.Cpte,"="&amp;$A294,Journal.SsCpte,"="&amp;$B294,Journal.Dest,"="&amp;$C294)</f>
        <v>0</v>
      </c>
    </row>
    <row r="295" spans="1:5" x14ac:dyDescent="0.2">
      <c r="A295" s="172" t="s">
        <v>299</v>
      </c>
      <c r="B295" s="173" t="s">
        <v>357</v>
      </c>
      <c r="C295" s="172" t="s">
        <v>91</v>
      </c>
      <c r="D295" s="174" t="s">
        <v>358</v>
      </c>
      <c r="E295" s="161">
        <f>SUMIFS(Journal.Montant,Journal.Cpte,"="&amp;$A295,Journal.SsCpte,"="&amp;$B295,Journal.Dest,"="&amp;$C295)</f>
        <v>0</v>
      </c>
    </row>
    <row r="296" spans="1:5" x14ac:dyDescent="0.2">
      <c r="A296" s="172" t="s">
        <v>299</v>
      </c>
      <c r="B296" s="173" t="s">
        <v>236</v>
      </c>
      <c r="C296" s="172" t="s">
        <v>237</v>
      </c>
      <c r="D296" s="174" t="s">
        <v>359</v>
      </c>
      <c r="E296" s="161">
        <f>SUMIFS(Journal.Montant,Journal.Cpte,"="&amp;$A296,Journal.SsCpte,"="&amp;$B296,Journal.Dest,"="&amp;$C296)</f>
        <v>0</v>
      </c>
    </row>
    <row r="297" spans="1:5" s="187" customFormat="1" x14ac:dyDescent="0.2">
      <c r="A297" s="183"/>
      <c r="B297" s="184"/>
      <c r="C297" s="183"/>
      <c r="D297" s="185" t="s">
        <v>360</v>
      </c>
      <c r="E297" s="186">
        <f>SUM(E293:E296)</f>
        <v>0</v>
      </c>
    </row>
    <row r="298" spans="1:5" x14ac:dyDescent="0.2">
      <c r="A298" s="172" t="s">
        <v>299</v>
      </c>
      <c r="B298" s="173" t="s">
        <v>281</v>
      </c>
      <c r="C298" s="172" t="s">
        <v>91</v>
      </c>
      <c r="D298" s="174" t="s">
        <v>361</v>
      </c>
      <c r="E298" s="161">
        <f>SUMIFS(Journal.Montant,Journal.Cpte,"="&amp;$A298,Journal.SsCpte,"="&amp;$B298,Journal.Dest,"="&amp;$C298)</f>
        <v>130000</v>
      </c>
    </row>
    <row r="299" spans="1:5" x14ac:dyDescent="0.2">
      <c r="A299" s="172" t="s">
        <v>299</v>
      </c>
      <c r="B299" s="173" t="s">
        <v>362</v>
      </c>
      <c r="C299" s="172" t="s">
        <v>91</v>
      </c>
      <c r="D299" s="174" t="s">
        <v>363</v>
      </c>
      <c r="E299" s="161">
        <f>SUMIFS(Journal.Montant,Journal.Cpte,"="&amp;$A299,Journal.SsCpte,"="&amp;$B299,Journal.Dest,"="&amp;$C299)</f>
        <v>230000</v>
      </c>
    </row>
    <row r="300" spans="1:5" x14ac:dyDescent="0.2">
      <c r="A300" s="172" t="s">
        <v>299</v>
      </c>
      <c r="B300" s="173" t="s">
        <v>281</v>
      </c>
      <c r="C300" s="172" t="s">
        <v>114</v>
      </c>
      <c r="D300" s="174" t="s">
        <v>245</v>
      </c>
      <c r="E300" s="161">
        <f>SUMIFS(Journal.Montant,Journal.Cpte,"="&amp;$A300,Journal.SsCpte,"="&amp;$B300,Journal.Dest,"="&amp;$C300)</f>
        <v>82000</v>
      </c>
    </row>
    <row r="301" spans="1:5" x14ac:dyDescent="0.2">
      <c r="A301" s="172" t="s">
        <v>299</v>
      </c>
      <c r="B301" s="173" t="s">
        <v>281</v>
      </c>
      <c r="C301" s="172" t="s">
        <v>364</v>
      </c>
      <c r="D301" s="174" t="s">
        <v>365</v>
      </c>
      <c r="E301" s="161">
        <f>SUMIFS(Journal.Montant,Journal.Cpte,"="&amp;$A301,Journal.SsCpte,"="&amp;$B301,Journal.Dest,"="&amp;$C301)</f>
        <v>150879</v>
      </c>
    </row>
    <row r="302" spans="1:5" x14ac:dyDescent="0.2">
      <c r="A302" s="172" t="s">
        <v>299</v>
      </c>
      <c r="B302" s="173" t="s">
        <v>281</v>
      </c>
      <c r="C302" s="172" t="s">
        <v>366</v>
      </c>
      <c r="D302" s="174" t="s">
        <v>367</v>
      </c>
      <c r="E302" s="161">
        <f>SUMIFS(Journal.Montant,Journal.Cpte,"="&amp;$A302,Journal.SsCpte,"="&amp;$B302,Journal.Dest,"="&amp;$C302)</f>
        <v>75900</v>
      </c>
    </row>
    <row r="303" spans="1:5" s="187" customFormat="1" x14ac:dyDescent="0.2">
      <c r="A303" s="183"/>
      <c r="B303" s="184"/>
      <c r="C303" s="183"/>
      <c r="D303" s="185" t="s">
        <v>368</v>
      </c>
      <c r="E303" s="186">
        <f>SUM(E298:E302)</f>
        <v>668779</v>
      </c>
    </row>
    <row r="304" spans="1:5" ht="10.5" x14ac:dyDescent="0.25">
      <c r="A304" s="178"/>
      <c r="B304" s="179"/>
      <c r="C304" s="178"/>
      <c r="D304" s="188" t="s">
        <v>369</v>
      </c>
      <c r="E304" s="181">
        <f>E303+E297</f>
        <v>668779</v>
      </c>
    </row>
    <row r="305" spans="1:5" s="172" customFormat="1" x14ac:dyDescent="0.2">
      <c r="A305" s="172" t="s">
        <v>299</v>
      </c>
      <c r="B305" s="173" t="s">
        <v>370</v>
      </c>
      <c r="C305" s="172" t="s">
        <v>91</v>
      </c>
      <c r="D305" s="174" t="s">
        <v>371</v>
      </c>
      <c r="E305" s="161">
        <f>SUMIFS(Journal.Montant,Journal.Cpte,"="&amp;$A305,Journal.SsCpte,"="&amp;$B305,Journal.Dest,"="&amp;$C305)</f>
        <v>-847173.28</v>
      </c>
    </row>
    <row r="306" spans="1:5" s="172" customFormat="1" x14ac:dyDescent="0.2">
      <c r="B306" s="173"/>
      <c r="D306" s="174" t="s">
        <v>372</v>
      </c>
      <c r="E306" s="189">
        <f>-E248</f>
        <v>-7979.93</v>
      </c>
    </row>
    <row r="307" spans="1:5" ht="10.5" x14ac:dyDescent="0.25">
      <c r="A307" s="178"/>
      <c r="B307" s="179"/>
      <c r="C307" s="178"/>
      <c r="D307" s="188" t="s">
        <v>373</v>
      </c>
      <c r="E307" s="181">
        <f>SUM(E305:E306)</f>
        <v>-855153.21</v>
      </c>
    </row>
    <row r="308" spans="1:5" s="157" customFormat="1" ht="10.5" x14ac:dyDescent="0.25">
      <c r="A308" s="154"/>
      <c r="B308" s="155"/>
      <c r="C308" s="154"/>
      <c r="D308" s="154" t="s">
        <v>374</v>
      </c>
      <c r="E308" s="190">
        <f>E271+E281+E292+E304+E307</f>
        <v>0</v>
      </c>
    </row>
    <row r="309" spans="1:5" ht="10.5" x14ac:dyDescent="0.25">
      <c r="D309" s="192" t="s">
        <v>375</v>
      </c>
      <c r="E309" s="193">
        <f>Journal_Montants</f>
        <v>0</v>
      </c>
    </row>
    <row r="310" spans="1:5" x14ac:dyDescent="0.2">
      <c r="D310" s="194" t="s">
        <v>376</v>
      </c>
      <c r="E310" s="195">
        <f>-E297/(E292+E303)</f>
        <v>0</v>
      </c>
    </row>
    <row r="313" spans="1:5" x14ac:dyDescent="0.2">
      <c r="D313" s="196"/>
    </row>
  </sheetData>
  <autoFilter ref="A1:E308" xr:uid="{00000000-0009-0000-0000-000001000000}"/>
  <mergeCells count="2">
    <mergeCell ref="A248:D248"/>
    <mergeCell ref="A249:E249"/>
  </mergeCells>
  <phoneticPr fontId="3" type="noConversion"/>
  <conditionalFormatting sqref="E252">
    <cfRule type="iconSet" priority="22">
      <iconSet iconSet="3Symbols">
        <cfvo type="percent" val="0"/>
        <cfvo type="num" val="1000"/>
        <cfvo type="num" val="3500"/>
      </iconSet>
    </cfRule>
    <cfRule type="cellIs" dxfId="23" priority="30" operator="greaterThan">
      <formula>4500</formula>
    </cfRule>
    <cfRule type="cellIs" dxfId="22" priority="31" operator="greaterThan">
      <formula>3000</formula>
    </cfRule>
    <cfRule type="cellIs" dxfId="21" priority="32" operator="greaterThan">
      <formula>2000</formula>
    </cfRule>
    <cfRule type="cellIs" dxfId="20" priority="33" operator="greaterThan">
      <formula>1000</formula>
    </cfRule>
    <cfRule type="cellIs" dxfId="19" priority="34" operator="greaterThan">
      <formula>500</formula>
    </cfRule>
    <cfRule type="cellIs" dxfId="18" priority="35" operator="lessThanOrEqual">
      <formula>500</formula>
    </cfRule>
  </conditionalFormatting>
  <conditionalFormatting sqref="G251:G252">
    <cfRule type="iconSet" priority="1">
      <iconSet iconSet="3Symbols">
        <cfvo type="percent" val="0"/>
        <cfvo type="num" val="1000"/>
        <cfvo type="num" val="3500"/>
      </iconSet>
    </cfRule>
    <cfRule type="cellIs" dxfId="17" priority="2" operator="greaterThan">
      <formula>4500</formula>
    </cfRule>
    <cfRule type="cellIs" dxfId="16" priority="3" operator="greaterThan">
      <formula>3000</formula>
    </cfRule>
    <cfRule type="cellIs" dxfId="15" priority="4" operator="greaterThan">
      <formula>2000</formula>
    </cfRule>
    <cfRule type="cellIs" dxfId="14" priority="5" operator="greaterThan">
      <formula>1000</formula>
    </cfRule>
    <cfRule type="cellIs" dxfId="13" priority="6" operator="greaterThan">
      <formula>500</formula>
    </cfRule>
    <cfRule type="cellIs" dxfId="12" priority="7" operator="lessThanOrEqual">
      <formula>500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3">
    <tabColor indexed="18"/>
  </sheetPr>
  <dimension ref="A1:O2864"/>
  <sheetViews>
    <sheetView tabSelected="1" zoomScale="104" zoomScaleNormal="104" workbookViewId="0">
      <pane ySplit="1" topLeftCell="A2854" activePane="bottomLeft" state="frozen"/>
      <selection pane="bottomLeft" activeCell="C2859" sqref="C2859"/>
    </sheetView>
  </sheetViews>
  <sheetFormatPr baseColWidth="10" defaultColWidth="11.54296875" defaultRowHeight="12" customHeight="1" x14ac:dyDescent="0.25"/>
  <cols>
    <col min="1" max="1" width="16.81640625" style="43" bestFit="1" customWidth="1"/>
    <col min="2" max="2" width="7.54296875" style="47" customWidth="1"/>
    <col min="3" max="3" width="47.453125" style="44" bestFit="1" customWidth="1"/>
    <col min="4" max="4" width="12.453125" style="45" customWidth="1"/>
    <col min="5" max="5" width="5.81640625" style="48" customWidth="1"/>
    <col min="6" max="6" width="6.54296875" style="48" customWidth="1"/>
    <col min="7" max="7" width="17" style="48" bestFit="1" customWidth="1"/>
    <col min="8" max="8" width="9.08984375" style="44" bestFit="1" customWidth="1"/>
    <col min="9" max="9" width="9.1796875" style="44" bestFit="1" customWidth="1"/>
    <col min="10" max="10" width="9.453125" style="44" bestFit="1" customWidth="1"/>
    <col min="11" max="11" width="22.453125" style="49" customWidth="1"/>
    <col min="12" max="12" width="10.54296875" style="44" bestFit="1" customWidth="1"/>
    <col min="13" max="13" width="25.1796875" style="2" bestFit="1" customWidth="1"/>
    <col min="14" max="14" width="11.54296875" style="44"/>
    <col min="15" max="15" width="18.1796875" style="44" bestFit="1" customWidth="1"/>
    <col min="16" max="16384" width="11.54296875" style="44"/>
  </cols>
  <sheetData>
    <row r="1" spans="1:15" s="91" customFormat="1" ht="23" x14ac:dyDescent="0.25">
      <c r="A1" s="89" t="s">
        <v>377</v>
      </c>
      <c r="B1" s="90" t="s">
        <v>378</v>
      </c>
      <c r="C1" s="91" t="s">
        <v>87</v>
      </c>
      <c r="D1" s="92" t="s">
        <v>379</v>
      </c>
      <c r="E1" s="93" t="s">
        <v>84</v>
      </c>
      <c r="F1" s="93" t="s">
        <v>85</v>
      </c>
      <c r="G1" s="93" t="s">
        <v>86</v>
      </c>
      <c r="H1" s="94" t="s">
        <v>434</v>
      </c>
      <c r="I1" s="95" t="s">
        <v>28</v>
      </c>
      <c r="J1" s="91" t="s">
        <v>1086</v>
      </c>
      <c r="K1" s="96" t="s">
        <v>435</v>
      </c>
      <c r="L1" s="91" t="s">
        <v>436</v>
      </c>
      <c r="M1" s="102" t="s">
        <v>437</v>
      </c>
      <c r="N1" s="91" t="s">
        <v>438</v>
      </c>
      <c r="O1" s="91" t="s">
        <v>439</v>
      </c>
    </row>
    <row r="2" spans="1:15" ht="12" customHeight="1" x14ac:dyDescent="0.25">
      <c r="A2" s="43">
        <v>44927</v>
      </c>
      <c r="B2" s="47">
        <v>1</v>
      </c>
      <c r="C2" s="44" t="s">
        <v>781</v>
      </c>
      <c r="D2" s="45">
        <v>278.39999999999998</v>
      </c>
      <c r="E2" s="48" t="s">
        <v>299</v>
      </c>
      <c r="F2" s="48" t="s">
        <v>101</v>
      </c>
      <c r="G2" s="48" t="s">
        <v>91</v>
      </c>
      <c r="J2" s="44">
        <f>YEAR(A2)</f>
        <v>2023</v>
      </c>
    </row>
    <row r="3" spans="1:15" ht="12" customHeight="1" x14ac:dyDescent="0.25">
      <c r="A3" s="43">
        <v>44927</v>
      </c>
      <c r="B3" s="47">
        <v>1</v>
      </c>
      <c r="C3" s="44" t="s">
        <v>781</v>
      </c>
      <c r="D3" s="45">
        <v>37658.11</v>
      </c>
      <c r="E3" s="48" t="s">
        <v>299</v>
      </c>
      <c r="F3" s="48" t="s">
        <v>90</v>
      </c>
      <c r="G3" s="48" t="s">
        <v>91</v>
      </c>
      <c r="I3" s="44" t="s">
        <v>782</v>
      </c>
      <c r="J3" s="44">
        <f>YEAR(A3)</f>
        <v>2023</v>
      </c>
    </row>
    <row r="4" spans="1:15" ht="12" customHeight="1" x14ac:dyDescent="0.25">
      <c r="A4" s="43">
        <v>44927</v>
      </c>
      <c r="B4" s="47">
        <v>1</v>
      </c>
      <c r="C4" s="44" t="s">
        <v>781</v>
      </c>
      <c r="D4" s="45">
        <v>-3676.87</v>
      </c>
      <c r="E4" s="48" t="s">
        <v>299</v>
      </c>
      <c r="F4" s="48" t="s">
        <v>90</v>
      </c>
      <c r="G4" s="48" t="s">
        <v>305</v>
      </c>
      <c r="I4" s="44" t="s">
        <v>782</v>
      </c>
      <c r="J4" s="44">
        <f>YEAR(A4)</f>
        <v>2023</v>
      </c>
    </row>
    <row r="5" spans="1:15" ht="12" customHeight="1" x14ac:dyDescent="0.25">
      <c r="A5" s="43">
        <v>44927</v>
      </c>
      <c r="B5" s="47">
        <v>1</v>
      </c>
      <c r="C5" s="44" t="s">
        <v>781</v>
      </c>
      <c r="D5" s="45">
        <v>-2.0499999999999998</v>
      </c>
      <c r="E5" s="48" t="s">
        <v>299</v>
      </c>
      <c r="F5" s="48" t="s">
        <v>309</v>
      </c>
      <c r="G5" s="48" t="s">
        <v>91</v>
      </c>
      <c r="J5" s="44">
        <f>YEAR(A5)</f>
        <v>2023</v>
      </c>
    </row>
    <row r="6" spans="1:15" ht="12" customHeight="1" x14ac:dyDescent="0.25">
      <c r="A6" s="43">
        <v>44927</v>
      </c>
      <c r="B6" s="47">
        <v>1</v>
      </c>
      <c r="C6" s="44" t="s">
        <v>781</v>
      </c>
      <c r="D6" s="45">
        <v>25</v>
      </c>
      <c r="E6" s="48" t="s">
        <v>299</v>
      </c>
      <c r="F6" s="48" t="s">
        <v>311</v>
      </c>
      <c r="G6" s="48" t="s">
        <v>312</v>
      </c>
      <c r="J6" s="44">
        <f>YEAR(A6)</f>
        <v>2023</v>
      </c>
    </row>
    <row r="7" spans="1:15" ht="12" customHeight="1" x14ac:dyDescent="0.25">
      <c r="A7" s="43">
        <v>44927</v>
      </c>
      <c r="B7" s="47">
        <v>1</v>
      </c>
      <c r="C7" s="44" t="s">
        <v>781</v>
      </c>
      <c r="D7" s="45">
        <v>-8</v>
      </c>
      <c r="E7" s="48" t="s">
        <v>299</v>
      </c>
      <c r="F7" s="48" t="s">
        <v>311</v>
      </c>
      <c r="G7" s="48" t="s">
        <v>314</v>
      </c>
      <c r="J7" s="44">
        <f>YEAR(A7)</f>
        <v>2023</v>
      </c>
    </row>
    <row r="8" spans="1:15" ht="12" customHeight="1" x14ac:dyDescent="0.25">
      <c r="A8" s="43">
        <v>44927</v>
      </c>
      <c r="B8" s="47">
        <v>1</v>
      </c>
      <c r="C8" s="44" t="s">
        <v>781</v>
      </c>
      <c r="D8" s="45">
        <v>-270</v>
      </c>
      <c r="E8" s="48" t="s">
        <v>299</v>
      </c>
      <c r="F8" s="48" t="s">
        <v>311</v>
      </c>
      <c r="G8" s="48" t="s">
        <v>316</v>
      </c>
      <c r="J8" s="44">
        <f>YEAR(A8)</f>
        <v>2023</v>
      </c>
    </row>
    <row r="9" spans="1:15" ht="12" customHeight="1" x14ac:dyDescent="0.25">
      <c r="A9" s="43">
        <v>44927</v>
      </c>
      <c r="B9" s="47">
        <v>1</v>
      </c>
      <c r="C9" s="44" t="s">
        <v>781</v>
      </c>
      <c r="D9" s="45">
        <v>-45</v>
      </c>
      <c r="E9" s="48" t="s">
        <v>299</v>
      </c>
      <c r="F9" s="48" t="s">
        <v>311</v>
      </c>
      <c r="G9" s="48" t="s">
        <v>318</v>
      </c>
      <c r="J9" s="44">
        <f>YEAR(A9)</f>
        <v>2023</v>
      </c>
    </row>
    <row r="10" spans="1:15" ht="12" customHeight="1" x14ac:dyDescent="0.25">
      <c r="A10" s="43">
        <v>44927</v>
      </c>
      <c r="B10" s="47">
        <v>1</v>
      </c>
      <c r="C10" s="44" t="s">
        <v>781</v>
      </c>
      <c r="D10" s="45">
        <v>157.74</v>
      </c>
      <c r="E10" s="48" t="s">
        <v>299</v>
      </c>
      <c r="F10" s="48" t="s">
        <v>321</v>
      </c>
      <c r="G10" s="48" t="s">
        <v>93</v>
      </c>
      <c r="J10" s="44">
        <f>YEAR(A10)</f>
        <v>2023</v>
      </c>
    </row>
    <row r="11" spans="1:15" ht="12" customHeight="1" x14ac:dyDescent="0.25">
      <c r="A11" s="43">
        <v>44927</v>
      </c>
      <c r="B11" s="47">
        <v>1</v>
      </c>
      <c r="C11" s="44" t="s">
        <v>781</v>
      </c>
      <c r="D11" s="45">
        <v>0</v>
      </c>
      <c r="E11" s="48" t="s">
        <v>299</v>
      </c>
      <c r="F11" s="48" t="s">
        <v>321</v>
      </c>
      <c r="G11" s="48" t="s">
        <v>94</v>
      </c>
      <c r="J11" s="44">
        <f>YEAR(A11)</f>
        <v>2023</v>
      </c>
    </row>
    <row r="12" spans="1:15" ht="12" customHeight="1" x14ac:dyDescent="0.25">
      <c r="A12" s="43">
        <v>44927</v>
      </c>
      <c r="B12" s="47">
        <v>1</v>
      </c>
      <c r="C12" s="44" t="s">
        <v>781</v>
      </c>
      <c r="D12" s="45">
        <v>135</v>
      </c>
      <c r="E12" s="48" t="s">
        <v>299</v>
      </c>
      <c r="F12" s="48" t="s">
        <v>321</v>
      </c>
      <c r="G12" s="48" t="s">
        <v>99</v>
      </c>
      <c r="J12" s="44">
        <f>YEAR(A12)</f>
        <v>2023</v>
      </c>
    </row>
    <row r="13" spans="1:15" ht="12" customHeight="1" x14ac:dyDescent="0.25">
      <c r="A13" s="43">
        <v>44927</v>
      </c>
      <c r="B13" s="47">
        <v>1</v>
      </c>
      <c r="C13" s="44" t="s">
        <v>781</v>
      </c>
      <c r="D13" s="45">
        <v>-16.7</v>
      </c>
      <c r="E13" s="48" t="s">
        <v>299</v>
      </c>
      <c r="F13" s="48" t="s">
        <v>321</v>
      </c>
      <c r="G13" s="48" t="s">
        <v>107</v>
      </c>
      <c r="J13" s="44">
        <f>YEAR(A13)</f>
        <v>2023</v>
      </c>
    </row>
    <row r="14" spans="1:15" ht="12" customHeight="1" x14ac:dyDescent="0.25">
      <c r="A14" s="43">
        <v>44927</v>
      </c>
      <c r="B14" s="47">
        <v>1</v>
      </c>
      <c r="C14" s="44" t="s">
        <v>781</v>
      </c>
      <c r="D14" s="45">
        <v>12000</v>
      </c>
      <c r="E14" s="48" t="s">
        <v>299</v>
      </c>
      <c r="F14" s="48" t="s">
        <v>179</v>
      </c>
      <c r="G14" s="48" t="s">
        <v>256</v>
      </c>
      <c r="J14" s="44">
        <f>YEAR(A14)</f>
        <v>2023</v>
      </c>
    </row>
    <row r="15" spans="1:15" ht="12" customHeight="1" x14ac:dyDescent="0.25">
      <c r="A15" s="43">
        <v>44927</v>
      </c>
      <c r="B15" s="47">
        <v>1</v>
      </c>
      <c r="C15" s="44" t="s">
        <v>781</v>
      </c>
      <c r="D15" s="45">
        <v>12000</v>
      </c>
      <c r="E15" s="48" t="s">
        <v>299</v>
      </c>
      <c r="F15" s="48" t="s">
        <v>179</v>
      </c>
      <c r="G15" s="48" t="s">
        <v>255</v>
      </c>
      <c r="J15" s="44">
        <f>YEAR(A15)</f>
        <v>2023</v>
      </c>
    </row>
    <row r="16" spans="1:15" ht="12" customHeight="1" x14ac:dyDescent="0.25">
      <c r="A16" s="43">
        <v>44927</v>
      </c>
      <c r="B16" s="47">
        <v>1</v>
      </c>
      <c r="C16" s="44" t="s">
        <v>781</v>
      </c>
      <c r="D16" s="45">
        <v>15661.49</v>
      </c>
      <c r="E16" s="48" t="s">
        <v>299</v>
      </c>
      <c r="F16" s="48" t="s">
        <v>333</v>
      </c>
      <c r="G16" s="48" t="s">
        <v>253</v>
      </c>
      <c r="J16" s="44">
        <f>YEAR(A16)</f>
        <v>2023</v>
      </c>
    </row>
    <row r="17" spans="1:10" ht="12" customHeight="1" x14ac:dyDescent="0.25">
      <c r="A17" s="43">
        <v>44927</v>
      </c>
      <c r="B17" s="47">
        <v>1</v>
      </c>
      <c r="C17" s="44" t="s">
        <v>781</v>
      </c>
      <c r="D17" s="45">
        <v>15371.32</v>
      </c>
      <c r="E17" s="48" t="s">
        <v>299</v>
      </c>
      <c r="F17" s="48" t="s">
        <v>333</v>
      </c>
      <c r="G17" s="48" t="s">
        <v>251</v>
      </c>
      <c r="J17" s="44">
        <f>YEAR(A17)</f>
        <v>2023</v>
      </c>
    </row>
    <row r="18" spans="1:10" ht="12" customHeight="1" x14ac:dyDescent="0.25">
      <c r="A18" s="43">
        <v>44927</v>
      </c>
      <c r="B18" s="47">
        <v>1</v>
      </c>
      <c r="C18" s="44" t="s">
        <v>781</v>
      </c>
      <c r="D18" s="45">
        <v>4924.43</v>
      </c>
      <c r="E18" s="48" t="s">
        <v>299</v>
      </c>
      <c r="F18" s="48" t="s">
        <v>337</v>
      </c>
      <c r="G18" s="48" t="s">
        <v>257</v>
      </c>
      <c r="J18" s="44">
        <f>YEAR(A18)</f>
        <v>2023</v>
      </c>
    </row>
    <row r="19" spans="1:10" ht="12" customHeight="1" x14ac:dyDescent="0.25">
      <c r="A19" s="43">
        <v>44927</v>
      </c>
      <c r="B19" s="47">
        <v>1</v>
      </c>
      <c r="C19" s="44" t="s">
        <v>781</v>
      </c>
      <c r="D19" s="45">
        <v>5043.0200000000004</v>
      </c>
      <c r="E19" s="48" t="s">
        <v>299</v>
      </c>
      <c r="F19" s="48" t="s">
        <v>337</v>
      </c>
      <c r="G19" s="48" t="s">
        <v>258</v>
      </c>
      <c r="J19" s="44">
        <f>YEAR(A19)</f>
        <v>2023</v>
      </c>
    </row>
    <row r="20" spans="1:10" ht="12" customHeight="1" x14ac:dyDescent="0.25">
      <c r="A20" s="43">
        <v>44927</v>
      </c>
      <c r="B20" s="47">
        <v>1</v>
      </c>
      <c r="C20" s="44" t="s">
        <v>781</v>
      </c>
      <c r="D20" s="45">
        <v>41345.910000000003</v>
      </c>
      <c r="E20" s="48" t="s">
        <v>299</v>
      </c>
      <c r="F20" s="48" t="s">
        <v>349</v>
      </c>
      <c r="G20" s="48" t="s">
        <v>271</v>
      </c>
      <c r="J20" s="44">
        <f>YEAR(A20)</f>
        <v>2023</v>
      </c>
    </row>
    <row r="21" spans="1:10" ht="12" customHeight="1" x14ac:dyDescent="0.25">
      <c r="A21" s="43">
        <v>44927</v>
      </c>
      <c r="B21" s="47">
        <v>1</v>
      </c>
      <c r="C21" s="44" t="s">
        <v>781</v>
      </c>
      <c r="D21" s="45">
        <v>12766.9</v>
      </c>
      <c r="E21" s="48" t="s">
        <v>299</v>
      </c>
      <c r="F21" s="48" t="s">
        <v>349</v>
      </c>
      <c r="G21" s="48" t="s">
        <v>273</v>
      </c>
      <c r="J21" s="44">
        <f>YEAR(A21)</f>
        <v>2023</v>
      </c>
    </row>
    <row r="22" spans="1:10" ht="12" customHeight="1" x14ac:dyDescent="0.25">
      <c r="A22" s="43">
        <v>44927</v>
      </c>
      <c r="B22" s="47">
        <v>1</v>
      </c>
      <c r="C22" s="44" t="s">
        <v>781</v>
      </c>
      <c r="D22" s="45">
        <v>4399.99</v>
      </c>
      <c r="E22" s="48" t="s">
        <v>299</v>
      </c>
      <c r="F22" s="48" t="s">
        <v>341</v>
      </c>
      <c r="G22" s="48" t="s">
        <v>99</v>
      </c>
      <c r="J22" s="44">
        <f>YEAR(A22)</f>
        <v>2023</v>
      </c>
    </row>
    <row r="23" spans="1:10" ht="12" customHeight="1" x14ac:dyDescent="0.25">
      <c r="A23" s="43">
        <v>44927</v>
      </c>
      <c r="B23" s="47">
        <v>1</v>
      </c>
      <c r="C23" s="44" t="s">
        <v>781</v>
      </c>
      <c r="D23" s="45">
        <v>1099.45</v>
      </c>
      <c r="E23" s="48" t="s">
        <v>299</v>
      </c>
      <c r="F23" s="48" t="s">
        <v>248</v>
      </c>
      <c r="G23" s="48" t="s">
        <v>107</v>
      </c>
      <c r="J23" s="44">
        <f>YEAR(A23)</f>
        <v>2023</v>
      </c>
    </row>
    <row r="24" spans="1:10" ht="12" customHeight="1" x14ac:dyDescent="0.25">
      <c r="A24" s="43">
        <v>44927</v>
      </c>
      <c r="B24" s="47">
        <v>1</v>
      </c>
      <c r="C24" s="44" t="s">
        <v>781</v>
      </c>
      <c r="D24" s="45">
        <v>4261.3900000000003</v>
      </c>
      <c r="E24" s="48" t="s">
        <v>299</v>
      </c>
      <c r="F24" s="48" t="s">
        <v>248</v>
      </c>
      <c r="G24" s="48" t="s">
        <v>99</v>
      </c>
      <c r="J24" s="44">
        <f>YEAR(A24)</f>
        <v>2023</v>
      </c>
    </row>
    <row r="25" spans="1:10" ht="12" customHeight="1" x14ac:dyDescent="0.25">
      <c r="A25" s="43">
        <v>44927</v>
      </c>
      <c r="B25" s="47">
        <v>1</v>
      </c>
      <c r="C25" s="44" t="s">
        <v>781</v>
      </c>
      <c r="D25" s="45">
        <v>328.6</v>
      </c>
      <c r="E25" s="48" t="s">
        <v>299</v>
      </c>
      <c r="F25" s="48" t="s">
        <v>277</v>
      </c>
      <c r="G25" s="48" t="s">
        <v>99</v>
      </c>
      <c r="J25" s="44">
        <f>YEAR(A25)</f>
        <v>2023</v>
      </c>
    </row>
    <row r="26" spans="1:10" ht="12" customHeight="1" x14ac:dyDescent="0.25">
      <c r="A26" s="43">
        <v>44927</v>
      </c>
      <c r="B26" s="47">
        <v>1</v>
      </c>
      <c r="C26" s="44" t="s">
        <v>781</v>
      </c>
      <c r="D26" s="45">
        <v>106.15</v>
      </c>
      <c r="E26" s="48" t="s">
        <v>299</v>
      </c>
      <c r="F26" s="48" t="s">
        <v>349</v>
      </c>
      <c r="G26" s="48" t="s">
        <v>286</v>
      </c>
      <c r="J26" s="44">
        <f>YEAR(A26)</f>
        <v>2023</v>
      </c>
    </row>
    <row r="27" spans="1:10" ht="12" customHeight="1" x14ac:dyDescent="0.25">
      <c r="A27" s="43">
        <v>44927</v>
      </c>
      <c r="B27" s="47">
        <v>1</v>
      </c>
      <c r="C27" s="44" t="s">
        <v>781</v>
      </c>
      <c r="D27" s="45">
        <v>14850</v>
      </c>
      <c r="E27" s="48" t="s">
        <v>299</v>
      </c>
      <c r="F27" s="48" t="s">
        <v>349</v>
      </c>
      <c r="G27" s="48" t="s">
        <v>588</v>
      </c>
      <c r="J27" s="44">
        <f>YEAR(A27)</f>
        <v>2023</v>
      </c>
    </row>
    <row r="28" spans="1:10" ht="12" customHeight="1" x14ac:dyDescent="0.25">
      <c r="A28" s="43">
        <v>44927</v>
      </c>
      <c r="B28" s="47">
        <v>1</v>
      </c>
      <c r="C28" s="44" t="s">
        <v>781</v>
      </c>
      <c r="D28" s="45">
        <v>130000</v>
      </c>
      <c r="E28" s="48" t="s">
        <v>299</v>
      </c>
      <c r="F28" s="48" t="s">
        <v>281</v>
      </c>
      <c r="G28" s="48" t="s">
        <v>91</v>
      </c>
      <c r="J28" s="44">
        <f>YEAR(A28)</f>
        <v>2023</v>
      </c>
    </row>
    <row r="29" spans="1:10" ht="12" customHeight="1" x14ac:dyDescent="0.25">
      <c r="A29" s="43">
        <v>44927</v>
      </c>
      <c r="B29" s="47">
        <v>1</v>
      </c>
      <c r="C29" s="44" t="s">
        <v>781</v>
      </c>
      <c r="D29" s="45">
        <v>230000</v>
      </c>
      <c r="E29" s="48" t="s">
        <v>299</v>
      </c>
      <c r="F29" s="48" t="s">
        <v>362</v>
      </c>
      <c r="G29" s="48" t="s">
        <v>91</v>
      </c>
      <c r="J29" s="44">
        <f>YEAR(A29)</f>
        <v>2023</v>
      </c>
    </row>
    <row r="30" spans="1:10" ht="12" customHeight="1" x14ac:dyDescent="0.25">
      <c r="A30" s="43">
        <v>44927</v>
      </c>
      <c r="B30" s="47">
        <v>1</v>
      </c>
      <c r="C30" s="44" t="s">
        <v>781</v>
      </c>
      <c r="D30" s="45">
        <v>82000</v>
      </c>
      <c r="E30" s="48" t="s">
        <v>299</v>
      </c>
      <c r="F30" s="48" t="s">
        <v>281</v>
      </c>
      <c r="G30" s="48" t="s">
        <v>114</v>
      </c>
      <c r="J30" s="44">
        <f>YEAR(A30)</f>
        <v>2023</v>
      </c>
    </row>
    <row r="31" spans="1:10" ht="12" customHeight="1" x14ac:dyDescent="0.25">
      <c r="A31" s="43">
        <v>44927</v>
      </c>
      <c r="B31" s="47">
        <v>1</v>
      </c>
      <c r="C31" s="44" t="s">
        <v>781</v>
      </c>
      <c r="D31" s="45">
        <v>150879</v>
      </c>
      <c r="E31" s="48" t="s">
        <v>299</v>
      </c>
      <c r="F31" s="48" t="s">
        <v>281</v>
      </c>
      <c r="G31" s="48" t="s">
        <v>364</v>
      </c>
      <c r="J31" s="44">
        <f>YEAR(A31)</f>
        <v>2023</v>
      </c>
    </row>
    <row r="32" spans="1:10" ht="12" customHeight="1" x14ac:dyDescent="0.25">
      <c r="A32" s="43">
        <v>44927</v>
      </c>
      <c r="B32" s="47">
        <v>1</v>
      </c>
      <c r="C32" s="44" t="s">
        <v>781</v>
      </c>
      <c r="D32" s="45">
        <v>75900</v>
      </c>
      <c r="E32" s="48" t="s">
        <v>299</v>
      </c>
      <c r="F32" s="48" t="s">
        <v>281</v>
      </c>
      <c r="G32" s="48" t="s">
        <v>366</v>
      </c>
      <c r="J32" s="44">
        <f>YEAR(A32)</f>
        <v>2023</v>
      </c>
    </row>
    <row r="33" spans="1:10" ht="12" customHeight="1" x14ac:dyDescent="0.25">
      <c r="A33" s="43">
        <v>44927</v>
      </c>
      <c r="B33" s="47">
        <v>1</v>
      </c>
      <c r="C33" s="44" t="s">
        <v>781</v>
      </c>
      <c r="D33" s="45">
        <v>-847173.28</v>
      </c>
      <c r="E33" s="48" t="s">
        <v>299</v>
      </c>
      <c r="F33" s="48" t="s">
        <v>370</v>
      </c>
      <c r="G33" s="48" t="s">
        <v>91</v>
      </c>
      <c r="J33" s="44">
        <f>YEAR(A33)</f>
        <v>2023</v>
      </c>
    </row>
    <row r="34" spans="1:10" ht="12" customHeight="1" x14ac:dyDescent="0.25">
      <c r="A34" s="43">
        <v>44928</v>
      </c>
      <c r="B34" s="47">
        <v>15040</v>
      </c>
      <c r="C34" s="44" t="s">
        <v>164</v>
      </c>
      <c r="D34" s="45">
        <v>-785.4</v>
      </c>
      <c r="E34" s="48" t="s">
        <v>299</v>
      </c>
      <c r="F34" s="48" t="s">
        <v>90</v>
      </c>
      <c r="G34" s="48" t="s">
        <v>91</v>
      </c>
      <c r="H34" s="44" t="s">
        <v>402</v>
      </c>
      <c r="I34" s="44" t="s">
        <v>608</v>
      </c>
      <c r="J34" s="44">
        <f>YEAR(A34)</f>
        <v>2023</v>
      </c>
    </row>
    <row r="35" spans="1:10" ht="12" customHeight="1" x14ac:dyDescent="0.25">
      <c r="A35" s="43">
        <v>44928</v>
      </c>
      <c r="B35" s="47">
        <v>15040</v>
      </c>
      <c r="C35" s="44" t="s">
        <v>164</v>
      </c>
      <c r="D35" s="45">
        <v>785.4</v>
      </c>
      <c r="E35" s="48" t="s">
        <v>157</v>
      </c>
      <c r="F35" s="48" t="s">
        <v>128</v>
      </c>
      <c r="G35" s="48" t="s">
        <v>112</v>
      </c>
      <c r="J35" s="44">
        <f>YEAR(A35)</f>
        <v>2023</v>
      </c>
    </row>
    <row r="36" spans="1:10" ht="12" customHeight="1" x14ac:dyDescent="0.25">
      <c r="A36" s="43">
        <v>44927</v>
      </c>
      <c r="B36" s="47">
        <v>15069</v>
      </c>
      <c r="C36" s="44" t="s">
        <v>603</v>
      </c>
      <c r="D36" s="45">
        <v>-6780</v>
      </c>
      <c r="E36" s="48" t="s">
        <v>299</v>
      </c>
      <c r="F36" s="48" t="s">
        <v>90</v>
      </c>
      <c r="G36" s="48" t="s">
        <v>91</v>
      </c>
      <c r="H36" s="44" t="s">
        <v>402</v>
      </c>
      <c r="I36" s="44" t="s">
        <v>608</v>
      </c>
      <c r="J36" s="44">
        <f>YEAR(A36)</f>
        <v>2023</v>
      </c>
    </row>
    <row r="37" spans="1:10" ht="12" customHeight="1" x14ac:dyDescent="0.25">
      <c r="A37" s="43">
        <v>44927</v>
      </c>
      <c r="B37" s="47">
        <v>15069</v>
      </c>
      <c r="C37" s="44" t="s">
        <v>603</v>
      </c>
      <c r="D37" s="45">
        <v>6780</v>
      </c>
      <c r="E37" s="48" t="s">
        <v>299</v>
      </c>
      <c r="F37" s="48" t="s">
        <v>321</v>
      </c>
      <c r="G37" s="48" t="s">
        <v>107</v>
      </c>
      <c r="J37" s="44">
        <f>YEAR(A37)</f>
        <v>2023</v>
      </c>
    </row>
    <row r="38" spans="1:10" ht="12" customHeight="1" x14ac:dyDescent="0.25">
      <c r="A38" s="43">
        <v>44927</v>
      </c>
      <c r="B38" s="47">
        <v>15070</v>
      </c>
      <c r="C38" s="44" t="s">
        <v>603</v>
      </c>
      <c r="D38" s="45">
        <v>-7100</v>
      </c>
      <c r="E38" s="48" t="s">
        <v>299</v>
      </c>
      <c r="F38" s="48" t="s">
        <v>90</v>
      </c>
      <c r="G38" s="48" t="s">
        <v>91</v>
      </c>
      <c r="H38" s="44" t="s">
        <v>402</v>
      </c>
      <c r="I38" s="44" t="s">
        <v>608</v>
      </c>
      <c r="J38" s="44">
        <f>YEAR(A38)</f>
        <v>2023</v>
      </c>
    </row>
    <row r="39" spans="1:10" ht="12" customHeight="1" x14ac:dyDescent="0.25">
      <c r="A39" s="43">
        <v>44927</v>
      </c>
      <c r="B39" s="47">
        <v>15070</v>
      </c>
      <c r="C39" s="44" t="s">
        <v>603</v>
      </c>
      <c r="D39" s="45">
        <v>6890</v>
      </c>
      <c r="E39" s="48" t="s">
        <v>299</v>
      </c>
      <c r="F39" s="48" t="s">
        <v>321</v>
      </c>
      <c r="G39" s="48" t="s">
        <v>99</v>
      </c>
      <c r="J39" s="44">
        <f>YEAR(A39)</f>
        <v>2023</v>
      </c>
    </row>
    <row r="40" spans="1:10" ht="12" customHeight="1" x14ac:dyDescent="0.25">
      <c r="A40" s="43">
        <v>44927</v>
      </c>
      <c r="B40" s="47">
        <v>15070</v>
      </c>
      <c r="C40" s="44" t="s">
        <v>603</v>
      </c>
      <c r="D40" s="45">
        <v>210</v>
      </c>
      <c r="E40" s="48" t="s">
        <v>145</v>
      </c>
      <c r="F40" s="48" t="s">
        <v>116</v>
      </c>
      <c r="G40" s="48" t="s">
        <v>99</v>
      </c>
      <c r="J40" s="44">
        <f>YEAR(A40)</f>
        <v>2023</v>
      </c>
    </row>
    <row r="41" spans="1:10" ht="12" customHeight="1" x14ac:dyDescent="0.25">
      <c r="A41" s="43">
        <v>44927</v>
      </c>
      <c r="B41" s="47">
        <v>15071</v>
      </c>
      <c r="C41" s="44" t="s">
        <v>604</v>
      </c>
      <c r="D41" s="45">
        <f>22261.32-22941.79</f>
        <v>-680.47</v>
      </c>
      <c r="E41" s="48" t="s">
        <v>244</v>
      </c>
      <c r="F41" s="48" t="s">
        <v>135</v>
      </c>
      <c r="G41" s="48" t="s">
        <v>251</v>
      </c>
      <c r="J41" s="44">
        <f>YEAR(A41)</f>
        <v>2023</v>
      </c>
    </row>
    <row r="42" spans="1:10" ht="12" customHeight="1" x14ac:dyDescent="0.25">
      <c r="A42" s="43">
        <v>44927</v>
      </c>
      <c r="B42" s="47">
        <v>15071</v>
      </c>
      <c r="C42" s="44" t="s">
        <v>604</v>
      </c>
      <c r="D42" s="45">
        <v>680.47</v>
      </c>
      <c r="E42" s="48" t="s">
        <v>299</v>
      </c>
      <c r="F42" s="48" t="s">
        <v>333</v>
      </c>
      <c r="G42" s="48" t="s">
        <v>251</v>
      </c>
      <c r="J42" s="44">
        <f>YEAR(A42)</f>
        <v>2023</v>
      </c>
    </row>
    <row r="43" spans="1:10" ht="12" customHeight="1" x14ac:dyDescent="0.25">
      <c r="A43" s="43">
        <v>44927</v>
      </c>
      <c r="B43" s="47">
        <v>15071</v>
      </c>
      <c r="C43" s="44" t="s">
        <v>604</v>
      </c>
      <c r="D43" s="45">
        <f>22221.49-22942.02</f>
        <v>-720.53</v>
      </c>
      <c r="E43" s="48" t="s">
        <v>244</v>
      </c>
      <c r="F43" s="48" t="s">
        <v>135</v>
      </c>
      <c r="G43" s="48" t="s">
        <v>253</v>
      </c>
      <c r="J43" s="44">
        <f>YEAR(A43)</f>
        <v>2023</v>
      </c>
    </row>
    <row r="44" spans="1:10" ht="12" customHeight="1" x14ac:dyDescent="0.25">
      <c r="A44" s="43">
        <v>44927</v>
      </c>
      <c r="B44" s="47">
        <v>15071</v>
      </c>
      <c r="C44" s="44" t="s">
        <v>604</v>
      </c>
      <c r="D44" s="45">
        <v>720.53</v>
      </c>
      <c r="E44" s="48" t="s">
        <v>299</v>
      </c>
      <c r="F44" s="48" t="s">
        <v>333</v>
      </c>
      <c r="G44" s="48" t="s">
        <v>253</v>
      </c>
      <c r="J44" s="44">
        <f>YEAR(A44)</f>
        <v>2023</v>
      </c>
    </row>
    <row r="45" spans="1:10" ht="12" customHeight="1" x14ac:dyDescent="0.25">
      <c r="A45" s="43">
        <v>44930</v>
      </c>
      <c r="B45" s="47">
        <v>15072</v>
      </c>
      <c r="C45" s="44" t="s">
        <v>505</v>
      </c>
      <c r="D45" s="45">
        <v>-254.38</v>
      </c>
      <c r="E45" s="48" t="s">
        <v>299</v>
      </c>
      <c r="F45" s="48" t="s">
        <v>90</v>
      </c>
      <c r="G45" s="48" t="s">
        <v>305</v>
      </c>
      <c r="I45" s="44" t="s">
        <v>632</v>
      </c>
      <c r="J45" s="44">
        <f>YEAR(A45)</f>
        <v>2023</v>
      </c>
    </row>
    <row r="46" spans="1:10" ht="12" customHeight="1" x14ac:dyDescent="0.25">
      <c r="A46" s="43">
        <v>44930</v>
      </c>
      <c r="B46" s="47">
        <v>15072</v>
      </c>
      <c r="C46" s="44" t="s">
        <v>505</v>
      </c>
      <c r="D46" s="45">
        <v>254.38</v>
      </c>
      <c r="E46" s="48" t="s">
        <v>89</v>
      </c>
      <c r="F46" s="48" t="s">
        <v>90</v>
      </c>
      <c r="G46" s="48" t="s">
        <v>91</v>
      </c>
      <c r="J46" s="44">
        <f>YEAR(A46)</f>
        <v>2023</v>
      </c>
    </row>
    <row r="47" spans="1:10" ht="12" customHeight="1" x14ac:dyDescent="0.25">
      <c r="A47" s="43">
        <v>44930</v>
      </c>
      <c r="B47" s="47">
        <v>15073</v>
      </c>
      <c r="C47" s="44" t="s">
        <v>455</v>
      </c>
      <c r="D47" s="45">
        <v>-27.51</v>
      </c>
      <c r="E47" s="48" t="s">
        <v>299</v>
      </c>
      <c r="F47" s="48" t="s">
        <v>90</v>
      </c>
      <c r="G47" s="48" t="s">
        <v>305</v>
      </c>
      <c r="I47" s="44" t="s">
        <v>632</v>
      </c>
      <c r="J47" s="44">
        <f>YEAR(A47)</f>
        <v>2023</v>
      </c>
    </row>
    <row r="48" spans="1:10" ht="12" customHeight="1" x14ac:dyDescent="0.25">
      <c r="A48" s="43">
        <v>44930</v>
      </c>
      <c r="B48" s="47">
        <v>15073</v>
      </c>
      <c r="C48" s="44" t="s">
        <v>455</v>
      </c>
      <c r="D48" s="45">
        <v>27.51</v>
      </c>
      <c r="E48" s="48" t="s">
        <v>89</v>
      </c>
      <c r="F48" s="48" t="s">
        <v>90</v>
      </c>
      <c r="G48" s="48" t="s">
        <v>91</v>
      </c>
      <c r="J48" s="44">
        <f>YEAR(A48)</f>
        <v>2023</v>
      </c>
    </row>
    <row r="49" spans="1:10" ht="12" customHeight="1" x14ac:dyDescent="0.25">
      <c r="A49" s="43">
        <v>44932</v>
      </c>
      <c r="B49" s="47">
        <v>15074</v>
      </c>
      <c r="C49" s="44" t="s">
        <v>605</v>
      </c>
      <c r="D49" s="45">
        <v>-526</v>
      </c>
      <c r="E49" s="48" t="s">
        <v>244</v>
      </c>
      <c r="F49" s="48" t="s">
        <v>90</v>
      </c>
      <c r="G49" s="48" t="s">
        <v>115</v>
      </c>
      <c r="J49" s="44">
        <f>YEAR(A49)</f>
        <v>2023</v>
      </c>
    </row>
    <row r="50" spans="1:10" ht="12" customHeight="1" x14ac:dyDescent="0.25">
      <c r="A50" s="43">
        <v>44932</v>
      </c>
      <c r="B50" s="47">
        <v>15074</v>
      </c>
      <c r="C50" s="44" t="s">
        <v>605</v>
      </c>
      <c r="D50" s="45">
        <v>526</v>
      </c>
      <c r="E50" s="48" t="s">
        <v>299</v>
      </c>
      <c r="F50" s="48" t="s">
        <v>307</v>
      </c>
      <c r="G50" s="48" t="s">
        <v>91</v>
      </c>
      <c r="J50" s="44">
        <f>YEAR(A50)</f>
        <v>2023</v>
      </c>
    </row>
    <row r="51" spans="1:10" ht="12" customHeight="1" x14ac:dyDescent="0.25">
      <c r="A51" s="43">
        <v>44932</v>
      </c>
      <c r="B51" s="47">
        <v>15075</v>
      </c>
      <c r="C51" s="44" t="s">
        <v>586</v>
      </c>
      <c r="D51" s="45">
        <v>-74.400000000000006</v>
      </c>
      <c r="E51" s="48" t="s">
        <v>299</v>
      </c>
      <c r="F51" s="48" t="s">
        <v>90</v>
      </c>
      <c r="G51" s="48" t="s">
        <v>305</v>
      </c>
      <c r="I51" s="44" t="s">
        <v>632</v>
      </c>
      <c r="J51" s="44">
        <f>YEAR(A51)</f>
        <v>2023</v>
      </c>
    </row>
    <row r="52" spans="1:10" ht="12" customHeight="1" x14ac:dyDescent="0.25">
      <c r="A52" s="43">
        <v>44932</v>
      </c>
      <c r="B52" s="47">
        <v>15075</v>
      </c>
      <c r="C52" s="44" t="s">
        <v>586</v>
      </c>
      <c r="D52" s="45">
        <v>74.400000000000006</v>
      </c>
      <c r="E52" s="48" t="s">
        <v>89</v>
      </c>
      <c r="F52" s="48" t="s">
        <v>90</v>
      </c>
      <c r="G52" s="48" t="s">
        <v>91</v>
      </c>
      <c r="J52" s="44">
        <f>YEAR(A52)</f>
        <v>2023</v>
      </c>
    </row>
    <row r="53" spans="1:10" ht="12" customHeight="1" x14ac:dyDescent="0.25">
      <c r="A53" s="43">
        <v>44932</v>
      </c>
      <c r="B53" s="47">
        <v>15076</v>
      </c>
      <c r="C53" s="44" t="s">
        <v>575</v>
      </c>
      <c r="D53" s="45">
        <v>-12.77</v>
      </c>
      <c r="E53" s="48" t="s">
        <v>299</v>
      </c>
      <c r="F53" s="48" t="s">
        <v>90</v>
      </c>
      <c r="G53" s="48" t="s">
        <v>305</v>
      </c>
      <c r="I53" s="44" t="s">
        <v>632</v>
      </c>
      <c r="J53" s="44">
        <f>YEAR(A53)</f>
        <v>2023</v>
      </c>
    </row>
    <row r="54" spans="1:10" ht="12" customHeight="1" x14ac:dyDescent="0.25">
      <c r="A54" s="43">
        <v>44932</v>
      </c>
      <c r="B54" s="47">
        <v>15076</v>
      </c>
      <c r="C54" s="44" t="s">
        <v>575</v>
      </c>
      <c r="D54" s="45">
        <v>12.77</v>
      </c>
      <c r="E54" s="48" t="s">
        <v>89</v>
      </c>
      <c r="F54" s="48" t="s">
        <v>90</v>
      </c>
      <c r="G54" s="48" t="s">
        <v>91</v>
      </c>
      <c r="J54" s="44">
        <f>YEAR(A54)</f>
        <v>2023</v>
      </c>
    </row>
    <row r="55" spans="1:10" ht="12" customHeight="1" x14ac:dyDescent="0.25">
      <c r="A55" s="43">
        <v>44933</v>
      </c>
      <c r="B55" s="47">
        <v>15077</v>
      </c>
      <c r="C55" s="44" t="s">
        <v>570</v>
      </c>
      <c r="D55" s="45">
        <v>-526</v>
      </c>
      <c r="E55" s="48" t="s">
        <v>299</v>
      </c>
      <c r="F55" s="48" t="s">
        <v>307</v>
      </c>
      <c r="G55" s="48" t="s">
        <v>91</v>
      </c>
      <c r="J55" s="44">
        <f>YEAR(A55)</f>
        <v>2023</v>
      </c>
    </row>
    <row r="56" spans="1:10" ht="12" customHeight="1" x14ac:dyDescent="0.25">
      <c r="A56" s="43">
        <v>44933</v>
      </c>
      <c r="B56" s="47">
        <v>15077</v>
      </c>
      <c r="C56" s="44" t="s">
        <v>570</v>
      </c>
      <c r="D56" s="45">
        <v>526</v>
      </c>
      <c r="E56" s="48" t="s">
        <v>299</v>
      </c>
      <c r="F56" s="48" t="s">
        <v>90</v>
      </c>
      <c r="G56" s="48" t="s">
        <v>91</v>
      </c>
      <c r="H56" s="44" t="s">
        <v>465</v>
      </c>
      <c r="I56" s="44" t="s">
        <v>609</v>
      </c>
      <c r="J56" s="44">
        <f>YEAR(A56)</f>
        <v>2023</v>
      </c>
    </row>
    <row r="57" spans="1:10" ht="12" customHeight="1" x14ac:dyDescent="0.25">
      <c r="A57" s="43">
        <v>44940</v>
      </c>
      <c r="B57" s="47">
        <v>15078</v>
      </c>
      <c r="C57" s="44" t="s">
        <v>512</v>
      </c>
      <c r="D57" s="45">
        <v>-747.23</v>
      </c>
      <c r="E57" s="48" t="s">
        <v>244</v>
      </c>
      <c r="F57" s="48" t="s">
        <v>90</v>
      </c>
      <c r="G57" s="48" t="s">
        <v>114</v>
      </c>
      <c r="J57" s="44">
        <f>YEAR(A57)</f>
        <v>2023</v>
      </c>
    </row>
    <row r="58" spans="1:10" ht="12" customHeight="1" x14ac:dyDescent="0.25">
      <c r="A58" s="43">
        <v>44940</v>
      </c>
      <c r="B58" s="47">
        <v>15078</v>
      </c>
      <c r="C58" s="44" t="s">
        <v>512</v>
      </c>
      <c r="D58" s="45">
        <v>747.23</v>
      </c>
      <c r="E58" s="48" t="s">
        <v>299</v>
      </c>
      <c r="F58" s="48" t="s">
        <v>90</v>
      </c>
      <c r="G58" s="48" t="s">
        <v>91</v>
      </c>
      <c r="H58" s="44" t="s">
        <v>398</v>
      </c>
      <c r="I58" s="44" t="s">
        <v>634</v>
      </c>
      <c r="J58" s="44">
        <f>YEAR(A58)</f>
        <v>2023</v>
      </c>
    </row>
    <row r="59" spans="1:10" ht="12" customHeight="1" x14ac:dyDescent="0.25">
      <c r="A59" s="43">
        <v>44931</v>
      </c>
      <c r="B59" s="47">
        <v>15079</v>
      </c>
      <c r="C59" s="44" t="s">
        <v>417</v>
      </c>
      <c r="D59" s="45">
        <v>-3651.97</v>
      </c>
      <c r="E59" s="48" t="s">
        <v>299</v>
      </c>
      <c r="F59" s="48" t="s">
        <v>90</v>
      </c>
      <c r="G59" s="48" t="s">
        <v>91</v>
      </c>
      <c r="I59" s="44" t="s">
        <v>608</v>
      </c>
      <c r="J59" s="44">
        <f>YEAR(A59)</f>
        <v>2023</v>
      </c>
    </row>
    <row r="60" spans="1:10" ht="12" customHeight="1" x14ac:dyDescent="0.25">
      <c r="A60" s="43">
        <v>44931</v>
      </c>
      <c r="B60" s="47">
        <v>15079</v>
      </c>
      <c r="C60" s="44" t="s">
        <v>417</v>
      </c>
      <c r="D60" s="45">
        <v>3651.97</v>
      </c>
      <c r="E60" s="48" t="s">
        <v>299</v>
      </c>
      <c r="F60" s="48" t="s">
        <v>90</v>
      </c>
      <c r="G60" s="48" t="s">
        <v>305</v>
      </c>
      <c r="I60" s="44" t="s">
        <v>607</v>
      </c>
      <c r="J60" s="44">
        <f>YEAR(A60)</f>
        <v>2023</v>
      </c>
    </row>
    <row r="61" spans="1:10" ht="12" customHeight="1" x14ac:dyDescent="0.25">
      <c r="A61" s="43">
        <v>44936</v>
      </c>
      <c r="B61" s="47">
        <v>15080</v>
      </c>
      <c r="C61" s="44" t="s">
        <v>478</v>
      </c>
      <c r="D61" s="45">
        <v>60</v>
      </c>
      <c r="E61" s="48" t="s">
        <v>197</v>
      </c>
      <c r="F61" s="48" t="s">
        <v>90</v>
      </c>
      <c r="G61" s="48" t="s">
        <v>99</v>
      </c>
      <c r="J61" s="44">
        <f>YEAR(A61)</f>
        <v>2023</v>
      </c>
    </row>
    <row r="62" spans="1:10" ht="12" customHeight="1" x14ac:dyDescent="0.25">
      <c r="A62" s="43">
        <v>44936</v>
      </c>
      <c r="B62" s="47">
        <v>15080</v>
      </c>
      <c r="C62" s="44" t="s">
        <v>478</v>
      </c>
      <c r="D62" s="45">
        <v>-60</v>
      </c>
      <c r="E62" s="48" t="s">
        <v>299</v>
      </c>
      <c r="F62" s="48" t="s">
        <v>90</v>
      </c>
      <c r="G62" s="48" t="s">
        <v>91</v>
      </c>
      <c r="H62" s="44">
        <v>4069</v>
      </c>
      <c r="I62" s="44" t="s">
        <v>608</v>
      </c>
      <c r="J62" s="44">
        <f>YEAR(A62)</f>
        <v>2023</v>
      </c>
    </row>
    <row r="63" spans="1:10" ht="12" customHeight="1" x14ac:dyDescent="0.25">
      <c r="A63" s="43">
        <v>44939</v>
      </c>
      <c r="B63" s="47">
        <v>15081</v>
      </c>
      <c r="C63" s="44" t="s">
        <v>590</v>
      </c>
      <c r="D63" s="45">
        <v>-75</v>
      </c>
      <c r="E63" s="48" t="s">
        <v>299</v>
      </c>
      <c r="F63" s="48" t="s">
        <v>90</v>
      </c>
      <c r="G63" s="48" t="s">
        <v>91</v>
      </c>
      <c r="H63" s="44">
        <v>4070</v>
      </c>
      <c r="I63" s="44" t="s">
        <v>633</v>
      </c>
      <c r="J63" s="44">
        <f>YEAR(A63)</f>
        <v>2023</v>
      </c>
    </row>
    <row r="64" spans="1:10" ht="12" customHeight="1" x14ac:dyDescent="0.25">
      <c r="A64" s="43">
        <v>44939</v>
      </c>
      <c r="B64" s="47">
        <v>15081</v>
      </c>
      <c r="C64" s="44" t="s">
        <v>590</v>
      </c>
      <c r="D64" s="45">
        <v>75</v>
      </c>
      <c r="E64" s="48" t="s">
        <v>197</v>
      </c>
      <c r="F64" s="48" t="s">
        <v>90</v>
      </c>
      <c r="G64" s="48" t="s">
        <v>99</v>
      </c>
      <c r="J64" s="44">
        <f>YEAR(A64)</f>
        <v>2023</v>
      </c>
    </row>
    <row r="65" spans="1:10" ht="12" customHeight="1" x14ac:dyDescent="0.25">
      <c r="A65" s="43">
        <v>44935</v>
      </c>
      <c r="B65" s="47">
        <v>15082</v>
      </c>
      <c r="C65" s="44" t="s">
        <v>603</v>
      </c>
      <c r="D65" s="45">
        <v>-6560</v>
      </c>
      <c r="E65" s="48" t="s">
        <v>299</v>
      </c>
      <c r="F65" s="48" t="s">
        <v>90</v>
      </c>
      <c r="G65" s="48" t="s">
        <v>91</v>
      </c>
      <c r="H65" s="44" t="s">
        <v>402</v>
      </c>
      <c r="I65" s="44" t="s">
        <v>608</v>
      </c>
      <c r="J65" s="44">
        <f>YEAR(A65)</f>
        <v>2023</v>
      </c>
    </row>
    <row r="66" spans="1:10" ht="12" customHeight="1" x14ac:dyDescent="0.25">
      <c r="A66" s="43">
        <v>44935</v>
      </c>
      <c r="B66" s="47">
        <v>15082</v>
      </c>
      <c r="C66" s="44" t="s">
        <v>603</v>
      </c>
      <c r="D66" s="45">
        <v>6560</v>
      </c>
      <c r="E66" s="48" t="s">
        <v>299</v>
      </c>
      <c r="F66" s="48" t="s">
        <v>333</v>
      </c>
      <c r="G66" s="48" t="s">
        <v>253</v>
      </c>
      <c r="J66" s="44">
        <f>YEAR(A66)</f>
        <v>2023</v>
      </c>
    </row>
    <row r="67" spans="1:10" ht="12" customHeight="1" x14ac:dyDescent="0.25">
      <c r="A67" s="43">
        <v>44935</v>
      </c>
      <c r="B67" s="47">
        <v>15083</v>
      </c>
      <c r="C67" s="44" t="s">
        <v>603</v>
      </c>
      <c r="D67" s="45">
        <v>-6890</v>
      </c>
      <c r="E67" s="48" t="s">
        <v>299</v>
      </c>
      <c r="F67" s="48" t="s">
        <v>321</v>
      </c>
      <c r="G67" s="48" t="s">
        <v>99</v>
      </c>
      <c r="J67" s="44">
        <f>YEAR(A67)</f>
        <v>2023</v>
      </c>
    </row>
    <row r="68" spans="1:10" ht="12" customHeight="1" x14ac:dyDescent="0.25">
      <c r="A68" s="43">
        <v>44935</v>
      </c>
      <c r="B68" s="47">
        <v>15083</v>
      </c>
      <c r="C68" s="44" t="s">
        <v>603</v>
      </c>
      <c r="D68" s="45">
        <v>6890</v>
      </c>
      <c r="E68" s="48" t="s">
        <v>299</v>
      </c>
      <c r="F68" s="48" t="s">
        <v>333</v>
      </c>
      <c r="G68" s="48" t="s">
        <v>251</v>
      </c>
      <c r="J68" s="44">
        <f>YEAR(A68)</f>
        <v>2023</v>
      </c>
    </row>
    <row r="69" spans="1:10" ht="12" customHeight="1" x14ac:dyDescent="0.25">
      <c r="A69" s="43">
        <v>44937</v>
      </c>
      <c r="B69" s="47">
        <v>15084</v>
      </c>
      <c r="C69" s="44" t="s">
        <v>444</v>
      </c>
      <c r="D69" s="45">
        <v>44.99</v>
      </c>
      <c r="E69" s="48" t="s">
        <v>299</v>
      </c>
      <c r="F69" s="48" t="s">
        <v>90</v>
      </c>
      <c r="G69" s="48" t="s">
        <v>91</v>
      </c>
      <c r="H69" s="44" t="s">
        <v>459</v>
      </c>
      <c r="I69" s="44" t="s">
        <v>609</v>
      </c>
      <c r="J69" s="44">
        <f>YEAR(A69)</f>
        <v>2023</v>
      </c>
    </row>
    <row r="70" spans="1:10" ht="12" customHeight="1" x14ac:dyDescent="0.25">
      <c r="A70" s="43">
        <v>44937</v>
      </c>
      <c r="B70" s="47">
        <v>15084</v>
      </c>
      <c r="C70" s="44" t="s">
        <v>444</v>
      </c>
      <c r="D70" s="45">
        <v>-44.99</v>
      </c>
      <c r="E70" s="48" t="s">
        <v>145</v>
      </c>
      <c r="F70" s="48" t="s">
        <v>116</v>
      </c>
      <c r="G70" s="48" t="s">
        <v>98</v>
      </c>
      <c r="J70" s="44">
        <f>YEAR(A70)</f>
        <v>2023</v>
      </c>
    </row>
    <row r="71" spans="1:10" ht="12" customHeight="1" x14ac:dyDescent="0.25">
      <c r="A71" s="43">
        <v>44928</v>
      </c>
      <c r="B71" s="47">
        <v>15086</v>
      </c>
      <c r="C71" s="44" t="s">
        <v>409</v>
      </c>
      <c r="D71" s="45">
        <v>-3200</v>
      </c>
      <c r="E71" s="48" t="s">
        <v>214</v>
      </c>
      <c r="F71" s="48" t="s">
        <v>90</v>
      </c>
      <c r="G71" s="48" t="s">
        <v>107</v>
      </c>
      <c r="J71" s="44">
        <f>YEAR(A71)</f>
        <v>2023</v>
      </c>
    </row>
    <row r="72" spans="1:10" ht="12" customHeight="1" x14ac:dyDescent="0.25">
      <c r="A72" s="43">
        <v>44928</v>
      </c>
      <c r="B72" s="47">
        <v>15086</v>
      </c>
      <c r="C72" s="44" t="s">
        <v>409</v>
      </c>
      <c r="D72" s="45">
        <v>3200</v>
      </c>
      <c r="E72" s="48" t="s">
        <v>299</v>
      </c>
      <c r="F72" s="48" t="s">
        <v>90</v>
      </c>
      <c r="G72" s="48" t="s">
        <v>91</v>
      </c>
      <c r="H72" s="44" t="s">
        <v>398</v>
      </c>
      <c r="I72" s="44" t="s">
        <v>609</v>
      </c>
      <c r="J72" s="44">
        <f>YEAR(A72)</f>
        <v>2023</v>
      </c>
    </row>
    <row r="73" spans="1:10" ht="12" customHeight="1" x14ac:dyDescent="0.25">
      <c r="A73" s="43">
        <v>44929</v>
      </c>
      <c r="B73" s="47">
        <v>15089</v>
      </c>
      <c r="C73" s="44" t="s">
        <v>399</v>
      </c>
      <c r="D73" s="45">
        <v>19.989999999999998</v>
      </c>
      <c r="E73" s="48" t="s">
        <v>157</v>
      </c>
      <c r="F73" s="48" t="s">
        <v>155</v>
      </c>
      <c r="G73" s="48" t="s">
        <v>98</v>
      </c>
      <c r="J73" s="44">
        <f>YEAR(A73)</f>
        <v>2023</v>
      </c>
    </row>
    <row r="74" spans="1:10" ht="12" customHeight="1" x14ac:dyDescent="0.25">
      <c r="A74" s="43">
        <v>44929</v>
      </c>
      <c r="B74" s="47">
        <v>15089</v>
      </c>
      <c r="C74" s="44" t="s">
        <v>399</v>
      </c>
      <c r="D74" s="45">
        <v>-19.989999999999998</v>
      </c>
      <c r="E74" s="48" t="s">
        <v>299</v>
      </c>
      <c r="F74" s="48" t="s">
        <v>90</v>
      </c>
      <c r="G74" s="48" t="s">
        <v>91</v>
      </c>
      <c r="H74" s="44" t="s">
        <v>391</v>
      </c>
      <c r="I74" s="44" t="s">
        <v>608</v>
      </c>
      <c r="J74" s="44">
        <f>YEAR(A74)</f>
        <v>2023</v>
      </c>
    </row>
    <row r="75" spans="1:10" ht="12" customHeight="1" x14ac:dyDescent="0.25">
      <c r="A75" s="43">
        <v>44929</v>
      </c>
      <c r="B75" s="47">
        <v>15089</v>
      </c>
      <c r="C75" s="44" t="s">
        <v>400</v>
      </c>
      <c r="D75" s="45">
        <v>19.989999999999998</v>
      </c>
      <c r="E75" s="48" t="s">
        <v>157</v>
      </c>
      <c r="F75" s="48" t="s">
        <v>155</v>
      </c>
      <c r="G75" s="48" t="s">
        <v>95</v>
      </c>
      <c r="J75" s="44">
        <f>YEAR(A75)</f>
        <v>2023</v>
      </c>
    </row>
    <row r="76" spans="1:10" ht="12" customHeight="1" x14ac:dyDescent="0.25">
      <c r="A76" s="43">
        <v>44929</v>
      </c>
      <c r="B76" s="47">
        <v>15089</v>
      </c>
      <c r="C76" s="44" t="s">
        <v>400</v>
      </c>
      <c r="D76" s="45">
        <v>-19.989999999999998</v>
      </c>
      <c r="E76" s="48" t="s">
        <v>299</v>
      </c>
      <c r="F76" s="48" t="s">
        <v>90</v>
      </c>
      <c r="G76" s="48" t="s">
        <v>91</v>
      </c>
      <c r="H76" s="44" t="s">
        <v>391</v>
      </c>
      <c r="I76" s="44" t="s">
        <v>608</v>
      </c>
      <c r="J76" s="44">
        <f>YEAR(A76)</f>
        <v>2023</v>
      </c>
    </row>
    <row r="77" spans="1:10" ht="12" customHeight="1" x14ac:dyDescent="0.25">
      <c r="A77" s="43">
        <v>44930</v>
      </c>
      <c r="B77" s="47">
        <v>15094</v>
      </c>
      <c r="C77" s="44" t="s">
        <v>410</v>
      </c>
      <c r="D77" s="45">
        <v>-705.31</v>
      </c>
      <c r="E77" s="48" t="s">
        <v>214</v>
      </c>
      <c r="F77" s="48" t="s">
        <v>128</v>
      </c>
      <c r="G77" s="48" t="s">
        <v>99</v>
      </c>
      <c r="J77" s="44">
        <f>YEAR(A77)</f>
        <v>2023</v>
      </c>
    </row>
    <row r="78" spans="1:10" ht="12" customHeight="1" x14ac:dyDescent="0.25">
      <c r="A78" s="43">
        <v>44930</v>
      </c>
      <c r="B78" s="47">
        <v>15094</v>
      </c>
      <c r="C78" s="44" t="s">
        <v>411</v>
      </c>
      <c r="D78" s="45">
        <v>110.98</v>
      </c>
      <c r="E78" s="48" t="s">
        <v>110</v>
      </c>
      <c r="F78" s="48" t="s">
        <v>90</v>
      </c>
      <c r="G78" s="48" t="s">
        <v>91</v>
      </c>
      <c r="J78" s="44">
        <f>YEAR(A78)</f>
        <v>2023</v>
      </c>
    </row>
    <row r="79" spans="1:10" ht="12" customHeight="1" x14ac:dyDescent="0.25">
      <c r="A79" s="43">
        <v>44930</v>
      </c>
      <c r="B79" s="47">
        <v>15094</v>
      </c>
      <c r="C79" s="44" t="s">
        <v>410</v>
      </c>
      <c r="D79" s="45">
        <v>594.33000000000004</v>
      </c>
      <c r="E79" s="48" t="s">
        <v>299</v>
      </c>
      <c r="F79" s="48" t="s">
        <v>90</v>
      </c>
      <c r="G79" s="48" t="s">
        <v>91</v>
      </c>
      <c r="H79" s="44" t="s">
        <v>398</v>
      </c>
      <c r="I79" s="44" t="s">
        <v>609</v>
      </c>
      <c r="J79" s="44">
        <f>YEAR(A79)</f>
        <v>2023</v>
      </c>
    </row>
    <row r="80" spans="1:10" ht="12" customHeight="1" x14ac:dyDescent="0.25">
      <c r="A80" s="43">
        <v>44931</v>
      </c>
      <c r="B80" s="47">
        <v>15095</v>
      </c>
      <c r="C80" s="44" t="s">
        <v>560</v>
      </c>
      <c r="D80" s="45">
        <v>-363.28</v>
      </c>
      <c r="E80" s="48" t="s">
        <v>214</v>
      </c>
      <c r="F80" s="48" t="s">
        <v>128</v>
      </c>
      <c r="G80" s="48" t="s">
        <v>99</v>
      </c>
      <c r="J80" s="44">
        <f>YEAR(A80)</f>
        <v>2023</v>
      </c>
    </row>
    <row r="81" spans="1:10" ht="12" customHeight="1" x14ac:dyDescent="0.25">
      <c r="A81" s="43">
        <v>44931</v>
      </c>
      <c r="B81" s="47">
        <v>15095</v>
      </c>
      <c r="C81" s="44" t="s">
        <v>560</v>
      </c>
      <c r="D81" s="45">
        <v>0</v>
      </c>
      <c r="E81" s="48" t="s">
        <v>110</v>
      </c>
      <c r="F81" s="48" t="s">
        <v>90</v>
      </c>
      <c r="G81" s="48" t="s">
        <v>91</v>
      </c>
      <c r="J81" s="44">
        <f>YEAR(A81)</f>
        <v>2023</v>
      </c>
    </row>
    <row r="82" spans="1:10" ht="12" customHeight="1" x14ac:dyDescent="0.25">
      <c r="A82" s="43">
        <v>44931</v>
      </c>
      <c r="B82" s="47">
        <v>15095</v>
      </c>
      <c r="C82" s="44" t="s">
        <v>560</v>
      </c>
      <c r="D82" s="45">
        <v>363.28</v>
      </c>
      <c r="E82" s="48" t="s">
        <v>299</v>
      </c>
      <c r="F82" s="48" t="s">
        <v>90</v>
      </c>
      <c r="G82" s="48" t="s">
        <v>91</v>
      </c>
      <c r="H82" s="44" t="s">
        <v>398</v>
      </c>
      <c r="I82" s="44" t="s">
        <v>609</v>
      </c>
      <c r="J82" s="44">
        <f>YEAR(A82)</f>
        <v>2023</v>
      </c>
    </row>
    <row r="83" spans="1:10" ht="12" customHeight="1" x14ac:dyDescent="0.25">
      <c r="A83" s="43">
        <v>44929</v>
      </c>
      <c r="B83" s="47">
        <v>15096</v>
      </c>
      <c r="C83" s="44" t="s">
        <v>563</v>
      </c>
      <c r="D83" s="45">
        <v>-1128.0899999999999</v>
      </c>
      <c r="E83" s="48" t="s">
        <v>214</v>
      </c>
      <c r="F83" s="48" t="s">
        <v>90</v>
      </c>
      <c r="G83" s="48" t="s">
        <v>99</v>
      </c>
      <c r="J83" s="44">
        <f>YEAR(A83)</f>
        <v>2023</v>
      </c>
    </row>
    <row r="84" spans="1:10" ht="12" customHeight="1" x14ac:dyDescent="0.25">
      <c r="A84" s="43">
        <v>44929</v>
      </c>
      <c r="B84" s="47">
        <v>15096</v>
      </c>
      <c r="C84" s="44" t="s">
        <v>564</v>
      </c>
      <c r="D84" s="45">
        <v>171.43</v>
      </c>
      <c r="E84" s="48" t="s">
        <v>110</v>
      </c>
      <c r="F84" s="48" t="s">
        <v>90</v>
      </c>
      <c r="G84" s="48" t="s">
        <v>91</v>
      </c>
      <c r="J84" s="44">
        <f>YEAR(A84)</f>
        <v>2023</v>
      </c>
    </row>
    <row r="85" spans="1:10" ht="12" customHeight="1" x14ac:dyDescent="0.25">
      <c r="A85" s="43">
        <v>44929</v>
      </c>
      <c r="B85" s="47">
        <v>15096</v>
      </c>
      <c r="C85" s="44" t="s">
        <v>563</v>
      </c>
      <c r="D85" s="45">
        <v>956.66</v>
      </c>
      <c r="E85" s="48" t="s">
        <v>299</v>
      </c>
      <c r="F85" s="48" t="s">
        <v>90</v>
      </c>
      <c r="G85" s="48" t="s">
        <v>91</v>
      </c>
      <c r="H85" s="44" t="s">
        <v>398</v>
      </c>
      <c r="I85" s="44" t="s">
        <v>609</v>
      </c>
      <c r="J85" s="44">
        <f>YEAR(A85)</f>
        <v>2023</v>
      </c>
    </row>
    <row r="86" spans="1:10" ht="12" customHeight="1" x14ac:dyDescent="0.25">
      <c r="A86" s="43">
        <v>44935</v>
      </c>
      <c r="B86" s="47">
        <v>15098</v>
      </c>
      <c r="C86" s="44" t="s">
        <v>440</v>
      </c>
      <c r="D86" s="45">
        <v>306.13</v>
      </c>
      <c r="E86" s="48" t="s">
        <v>124</v>
      </c>
      <c r="F86" s="48" t="s">
        <v>90</v>
      </c>
      <c r="G86" s="48" t="s">
        <v>91</v>
      </c>
      <c r="J86" s="44">
        <f>YEAR(A86)</f>
        <v>2023</v>
      </c>
    </row>
    <row r="87" spans="1:10" ht="12" customHeight="1" x14ac:dyDescent="0.25">
      <c r="A87" s="43">
        <v>44935</v>
      </c>
      <c r="B87" s="47">
        <v>15098</v>
      </c>
      <c r="C87" s="44" t="s">
        <v>440</v>
      </c>
      <c r="D87" s="45">
        <v>-306.13</v>
      </c>
      <c r="E87" s="48" t="s">
        <v>299</v>
      </c>
      <c r="F87" s="48" t="s">
        <v>90</v>
      </c>
      <c r="G87" s="48" t="s">
        <v>91</v>
      </c>
      <c r="H87" s="44" t="s">
        <v>391</v>
      </c>
      <c r="I87" s="44" t="s">
        <v>608</v>
      </c>
      <c r="J87" s="44">
        <f>YEAR(A87)</f>
        <v>2023</v>
      </c>
    </row>
    <row r="88" spans="1:10" ht="12" customHeight="1" x14ac:dyDescent="0.25">
      <c r="A88" s="43">
        <v>44937</v>
      </c>
      <c r="B88" s="47">
        <v>15099</v>
      </c>
      <c r="C88" s="44" t="s">
        <v>606</v>
      </c>
      <c r="D88" s="45">
        <v>156</v>
      </c>
      <c r="E88" s="48" t="s">
        <v>222</v>
      </c>
      <c r="F88" s="48" t="s">
        <v>90</v>
      </c>
      <c r="G88" s="48" t="s">
        <v>577</v>
      </c>
      <c r="J88" s="44">
        <f>YEAR(A88)</f>
        <v>2023</v>
      </c>
    </row>
    <row r="89" spans="1:10" ht="12" customHeight="1" x14ac:dyDescent="0.25">
      <c r="A89" s="43">
        <v>44937</v>
      </c>
      <c r="B89" s="47">
        <v>15099</v>
      </c>
      <c r="C89" s="44" t="s">
        <v>606</v>
      </c>
      <c r="D89" s="45">
        <v>-156</v>
      </c>
      <c r="E89" s="48" t="s">
        <v>299</v>
      </c>
      <c r="F89" s="48" t="s">
        <v>90</v>
      </c>
      <c r="G89" s="48" t="s">
        <v>91</v>
      </c>
      <c r="H89" s="44" t="s">
        <v>391</v>
      </c>
      <c r="I89" s="44" t="s">
        <v>608</v>
      </c>
      <c r="J89" s="44">
        <f>YEAR(A89)</f>
        <v>2023</v>
      </c>
    </row>
    <row r="90" spans="1:10" ht="12" customHeight="1" x14ac:dyDescent="0.25">
      <c r="A90" s="43">
        <v>44937</v>
      </c>
      <c r="B90" s="47">
        <v>15101</v>
      </c>
      <c r="C90" s="44" t="s">
        <v>444</v>
      </c>
      <c r="D90" s="45">
        <v>38.83</v>
      </c>
      <c r="E90" s="48" t="s">
        <v>89</v>
      </c>
      <c r="F90" s="48" t="s">
        <v>90</v>
      </c>
      <c r="G90" s="48" t="s">
        <v>91</v>
      </c>
      <c r="J90" s="44">
        <f>YEAR(A90)</f>
        <v>2023</v>
      </c>
    </row>
    <row r="91" spans="1:10" ht="12" customHeight="1" x14ac:dyDescent="0.25">
      <c r="A91" s="43">
        <v>44937</v>
      </c>
      <c r="B91" s="47">
        <v>15101</v>
      </c>
      <c r="C91" s="44" t="s">
        <v>444</v>
      </c>
      <c r="D91" s="45">
        <v>-38.83</v>
      </c>
      <c r="E91" s="48" t="s">
        <v>299</v>
      </c>
      <c r="F91" s="48" t="s">
        <v>90</v>
      </c>
      <c r="G91" s="48" t="s">
        <v>91</v>
      </c>
      <c r="H91" s="44" t="s">
        <v>459</v>
      </c>
      <c r="I91" s="44" t="s">
        <v>608</v>
      </c>
      <c r="J91" s="44">
        <f>YEAR(A91)</f>
        <v>2023</v>
      </c>
    </row>
    <row r="92" spans="1:10" ht="12" customHeight="1" x14ac:dyDescent="0.25">
      <c r="A92" s="43">
        <v>44941</v>
      </c>
      <c r="B92" s="47">
        <v>15102</v>
      </c>
      <c r="C92" s="44" t="s">
        <v>610</v>
      </c>
      <c r="D92" s="45">
        <v>-6780</v>
      </c>
      <c r="E92" s="48" t="s">
        <v>299</v>
      </c>
      <c r="F92" s="48" t="s">
        <v>321</v>
      </c>
      <c r="G92" s="48" t="s">
        <v>107</v>
      </c>
      <c r="J92" s="44">
        <f>YEAR(A92)</f>
        <v>2023</v>
      </c>
    </row>
    <row r="93" spans="1:10" ht="12" customHeight="1" x14ac:dyDescent="0.25">
      <c r="A93" s="43">
        <v>44941</v>
      </c>
      <c r="B93" s="47">
        <v>15102</v>
      </c>
      <c r="C93" s="44" t="s">
        <v>610</v>
      </c>
      <c r="D93" s="45">
        <v>6780</v>
      </c>
      <c r="E93" s="48" t="s">
        <v>299</v>
      </c>
      <c r="F93" s="48" t="s">
        <v>90</v>
      </c>
      <c r="G93" s="48" t="s">
        <v>91</v>
      </c>
      <c r="H93" s="44" t="s">
        <v>402</v>
      </c>
      <c r="I93" s="44" t="s">
        <v>634</v>
      </c>
      <c r="J93" s="44">
        <f>YEAR(A93)</f>
        <v>2023</v>
      </c>
    </row>
    <row r="94" spans="1:10" ht="12" customHeight="1" x14ac:dyDescent="0.25">
      <c r="A94" s="43">
        <v>44927</v>
      </c>
      <c r="B94" s="47">
        <v>15104</v>
      </c>
      <c r="C94" s="44" t="s">
        <v>576</v>
      </c>
      <c r="D94" s="45">
        <v>15.26</v>
      </c>
      <c r="E94" s="48" t="s">
        <v>89</v>
      </c>
      <c r="F94" s="48" t="s">
        <v>90</v>
      </c>
      <c r="G94" s="48" t="s">
        <v>91</v>
      </c>
      <c r="J94" s="44">
        <f>YEAR(A94)</f>
        <v>2023</v>
      </c>
    </row>
    <row r="95" spans="1:10" ht="12" customHeight="1" x14ac:dyDescent="0.25">
      <c r="A95" s="43">
        <v>44927</v>
      </c>
      <c r="B95" s="47">
        <v>15104</v>
      </c>
      <c r="C95" s="44" t="s">
        <v>486</v>
      </c>
      <c r="D95" s="45">
        <v>49.73</v>
      </c>
      <c r="E95" s="48" t="s">
        <v>180</v>
      </c>
      <c r="F95" s="48" t="s">
        <v>96</v>
      </c>
      <c r="G95" s="48" t="s">
        <v>592</v>
      </c>
      <c r="J95" s="44">
        <f>YEAR(A95)</f>
        <v>2023</v>
      </c>
    </row>
    <row r="96" spans="1:10" ht="12" customHeight="1" x14ac:dyDescent="0.25">
      <c r="A96" s="43">
        <v>44933</v>
      </c>
      <c r="B96" s="47">
        <v>15104</v>
      </c>
      <c r="C96" s="44" t="s">
        <v>611</v>
      </c>
      <c r="D96" s="45">
        <v>10.3</v>
      </c>
      <c r="E96" s="48" t="s">
        <v>89</v>
      </c>
      <c r="F96" s="48" t="s">
        <v>90</v>
      </c>
      <c r="G96" s="48" t="s">
        <v>91</v>
      </c>
      <c r="J96" s="44">
        <f>YEAR(A96)</f>
        <v>2023</v>
      </c>
    </row>
    <row r="97" spans="1:10" ht="12" customHeight="1" x14ac:dyDescent="0.25">
      <c r="A97" s="43">
        <v>44939</v>
      </c>
      <c r="B97" s="47">
        <v>15104</v>
      </c>
      <c r="C97" s="44" t="s">
        <v>612</v>
      </c>
      <c r="D97" s="45">
        <v>25</v>
      </c>
      <c r="E97" s="48" t="s">
        <v>197</v>
      </c>
      <c r="F97" s="48" t="s">
        <v>90</v>
      </c>
      <c r="G97" s="48" t="s">
        <v>107</v>
      </c>
      <c r="J97" s="44">
        <f>YEAR(A97)</f>
        <v>2023</v>
      </c>
    </row>
    <row r="98" spans="1:10" ht="12" customHeight="1" x14ac:dyDescent="0.25">
      <c r="A98" s="43">
        <v>44939</v>
      </c>
      <c r="B98" s="47">
        <v>15104</v>
      </c>
      <c r="C98" s="44" t="s">
        <v>469</v>
      </c>
      <c r="D98" s="45">
        <v>10.3</v>
      </c>
      <c r="E98" s="48" t="s">
        <v>89</v>
      </c>
      <c r="F98" s="48" t="s">
        <v>90</v>
      </c>
      <c r="G98" s="48" t="s">
        <v>91</v>
      </c>
      <c r="J98" s="44">
        <f>YEAR(A98)</f>
        <v>2023</v>
      </c>
    </row>
    <row r="99" spans="1:10" ht="12" customHeight="1" x14ac:dyDescent="0.25">
      <c r="A99" s="43">
        <v>44940</v>
      </c>
      <c r="B99" s="47">
        <v>15104</v>
      </c>
      <c r="C99" s="44" t="s">
        <v>576</v>
      </c>
      <c r="D99" s="45">
        <v>39.04</v>
      </c>
      <c r="E99" s="48" t="s">
        <v>89</v>
      </c>
      <c r="F99" s="48" t="s">
        <v>90</v>
      </c>
      <c r="G99" s="48" t="s">
        <v>91</v>
      </c>
      <c r="J99" s="44">
        <f>YEAR(A99)</f>
        <v>2023</v>
      </c>
    </row>
    <row r="100" spans="1:10" ht="12" customHeight="1" x14ac:dyDescent="0.25">
      <c r="A100" s="43">
        <v>44941</v>
      </c>
      <c r="B100" s="47">
        <v>15104</v>
      </c>
      <c r="C100" s="44" t="s">
        <v>450</v>
      </c>
      <c r="D100" s="45">
        <v>-149.63</v>
      </c>
      <c r="E100" s="48" t="s">
        <v>299</v>
      </c>
      <c r="F100" s="48" t="s">
        <v>321</v>
      </c>
      <c r="G100" s="48" t="s">
        <v>107</v>
      </c>
      <c r="J100" s="44">
        <f>YEAR(A100)</f>
        <v>2023</v>
      </c>
    </row>
    <row r="101" spans="1:10" ht="12" customHeight="1" x14ac:dyDescent="0.25">
      <c r="A101" s="43">
        <v>44941</v>
      </c>
      <c r="B101" s="47">
        <v>15105</v>
      </c>
      <c r="C101" s="44" t="s">
        <v>452</v>
      </c>
      <c r="D101" s="45">
        <v>166.33</v>
      </c>
      <c r="E101" s="48" t="s">
        <v>299</v>
      </c>
      <c r="F101" s="48" t="s">
        <v>321</v>
      </c>
      <c r="G101" s="48" t="s">
        <v>107</v>
      </c>
      <c r="J101" s="44">
        <f>YEAR(A101)</f>
        <v>2023</v>
      </c>
    </row>
    <row r="102" spans="1:10" ht="12" customHeight="1" x14ac:dyDescent="0.25">
      <c r="A102" s="43">
        <v>44941</v>
      </c>
      <c r="B102" s="47">
        <v>15105</v>
      </c>
      <c r="C102" s="44" t="s">
        <v>452</v>
      </c>
      <c r="D102" s="150">
        <v>-166.33</v>
      </c>
      <c r="E102" s="48" t="s">
        <v>299</v>
      </c>
      <c r="F102" s="48" t="s">
        <v>90</v>
      </c>
      <c r="G102" s="48" t="s">
        <v>91</v>
      </c>
      <c r="H102" s="44" t="s">
        <v>402</v>
      </c>
      <c r="I102" s="44" t="s">
        <v>633</v>
      </c>
      <c r="J102" s="44">
        <f>YEAR(A102)</f>
        <v>2023</v>
      </c>
    </row>
    <row r="103" spans="1:10" ht="12" customHeight="1" x14ac:dyDescent="0.25">
      <c r="A103" s="43">
        <v>44939</v>
      </c>
      <c r="B103" s="47">
        <v>15106</v>
      </c>
      <c r="C103" s="44" t="s">
        <v>474</v>
      </c>
      <c r="D103" s="45">
        <v>7.05</v>
      </c>
      <c r="E103" s="48" t="s">
        <v>89</v>
      </c>
      <c r="F103" s="48" t="s">
        <v>90</v>
      </c>
      <c r="G103" s="48" t="s">
        <v>91</v>
      </c>
      <c r="J103" s="44">
        <f>YEAR(A103)</f>
        <v>2023</v>
      </c>
    </row>
    <row r="104" spans="1:10" ht="12" customHeight="1" x14ac:dyDescent="0.25">
      <c r="A104" s="43">
        <v>44939</v>
      </c>
      <c r="B104" s="47">
        <v>15106</v>
      </c>
      <c r="C104" s="44" t="s">
        <v>441</v>
      </c>
      <c r="D104" s="45">
        <v>-7.05</v>
      </c>
      <c r="E104" s="48" t="s">
        <v>299</v>
      </c>
      <c r="F104" s="48" t="s">
        <v>101</v>
      </c>
      <c r="G104" s="48" t="s">
        <v>91</v>
      </c>
      <c r="J104" s="44">
        <f>YEAR(A104)</f>
        <v>2023</v>
      </c>
    </row>
    <row r="105" spans="1:10" ht="12" customHeight="1" x14ac:dyDescent="0.25">
      <c r="A105" s="43">
        <v>44941</v>
      </c>
      <c r="B105" s="47">
        <v>15108</v>
      </c>
      <c r="C105" s="44" t="s">
        <v>616</v>
      </c>
      <c r="D105" s="45">
        <v>-10772.3</v>
      </c>
      <c r="E105" s="48" t="s">
        <v>299</v>
      </c>
      <c r="F105" s="48" t="s">
        <v>90</v>
      </c>
      <c r="G105" s="48" t="s">
        <v>91</v>
      </c>
      <c r="H105" s="44" t="s">
        <v>402</v>
      </c>
      <c r="I105" s="44" t="s">
        <v>633</v>
      </c>
      <c r="J105" s="44">
        <f>YEAR(A105)</f>
        <v>2023</v>
      </c>
    </row>
    <row r="106" spans="1:10" ht="12" customHeight="1" x14ac:dyDescent="0.25">
      <c r="A106" s="43">
        <v>44941</v>
      </c>
      <c r="B106" s="47">
        <v>15108</v>
      </c>
      <c r="C106" s="44" t="s">
        <v>616</v>
      </c>
      <c r="D106" s="45">
        <v>10772.3</v>
      </c>
      <c r="E106" s="48" t="s">
        <v>299</v>
      </c>
      <c r="F106" s="48" t="s">
        <v>90</v>
      </c>
      <c r="G106" s="48" t="s">
        <v>91</v>
      </c>
      <c r="H106" s="44" t="s">
        <v>398</v>
      </c>
      <c r="I106" s="44" t="s">
        <v>634</v>
      </c>
      <c r="J106" s="44">
        <f>YEAR(A106)</f>
        <v>2023</v>
      </c>
    </row>
    <row r="107" spans="1:10" ht="12" customHeight="1" x14ac:dyDescent="0.25">
      <c r="A107" s="43">
        <v>44935</v>
      </c>
      <c r="B107" s="47">
        <v>15109</v>
      </c>
      <c r="C107" s="44" t="s">
        <v>444</v>
      </c>
      <c r="D107" s="45">
        <v>33.75</v>
      </c>
      <c r="E107" s="48" t="s">
        <v>1080</v>
      </c>
      <c r="F107" s="48" t="s">
        <v>1078</v>
      </c>
      <c r="G107" s="48" t="s">
        <v>91</v>
      </c>
      <c r="J107" s="44">
        <f>YEAR(A107)</f>
        <v>2023</v>
      </c>
    </row>
    <row r="108" spans="1:10" ht="12" customHeight="1" x14ac:dyDescent="0.25">
      <c r="A108" s="43">
        <v>44935</v>
      </c>
      <c r="B108" s="47">
        <v>15109</v>
      </c>
      <c r="C108" s="44" t="s">
        <v>444</v>
      </c>
      <c r="D108" s="45">
        <v>5.08</v>
      </c>
      <c r="E108" s="48" t="s">
        <v>1080</v>
      </c>
      <c r="F108" s="48" t="s">
        <v>1078</v>
      </c>
      <c r="G108" s="48" t="s">
        <v>91</v>
      </c>
      <c r="J108" s="44">
        <f>YEAR(A108)</f>
        <v>2023</v>
      </c>
    </row>
    <row r="109" spans="1:10" ht="12" customHeight="1" x14ac:dyDescent="0.25">
      <c r="A109" s="43">
        <v>44935</v>
      </c>
      <c r="B109" s="47">
        <v>15109</v>
      </c>
      <c r="C109" s="44" t="s">
        <v>444</v>
      </c>
      <c r="D109" s="45">
        <v>-38.83</v>
      </c>
      <c r="E109" s="48" t="s">
        <v>1080</v>
      </c>
      <c r="F109" s="48" t="s">
        <v>1078</v>
      </c>
      <c r="G109" s="48" t="s">
        <v>91</v>
      </c>
      <c r="J109" s="44">
        <f>YEAR(A109)</f>
        <v>2023</v>
      </c>
    </row>
    <row r="110" spans="1:10" ht="12" customHeight="1" x14ac:dyDescent="0.25">
      <c r="A110" s="43">
        <v>44936</v>
      </c>
      <c r="B110" s="47">
        <v>15110</v>
      </c>
      <c r="C110" s="44" t="s">
        <v>503</v>
      </c>
      <c r="D110" s="45">
        <v>15.12</v>
      </c>
      <c r="E110" s="48" t="s">
        <v>89</v>
      </c>
      <c r="F110" s="48" t="s">
        <v>90</v>
      </c>
      <c r="G110" s="48" t="s">
        <v>91</v>
      </c>
      <c r="J110" s="44">
        <f>YEAR(A110)</f>
        <v>2023</v>
      </c>
    </row>
    <row r="111" spans="1:10" ht="12" customHeight="1" x14ac:dyDescent="0.25">
      <c r="A111" s="43">
        <v>44936</v>
      </c>
      <c r="B111" s="47">
        <v>15110</v>
      </c>
      <c r="C111" s="44" t="s">
        <v>503</v>
      </c>
      <c r="D111" s="45">
        <v>-15.12</v>
      </c>
      <c r="E111" s="48" t="s">
        <v>299</v>
      </c>
      <c r="F111" s="48" t="s">
        <v>90</v>
      </c>
      <c r="G111" s="48" t="s">
        <v>305</v>
      </c>
      <c r="I111" s="44" t="s">
        <v>632</v>
      </c>
      <c r="J111" s="44">
        <f>YEAR(A111)</f>
        <v>2023</v>
      </c>
    </row>
    <row r="112" spans="1:10" ht="12" customHeight="1" x14ac:dyDescent="0.25">
      <c r="A112" s="43">
        <v>44936</v>
      </c>
      <c r="B112" s="47">
        <v>15111</v>
      </c>
      <c r="C112" s="44" t="s">
        <v>463</v>
      </c>
      <c r="D112" s="45">
        <v>33.96</v>
      </c>
      <c r="E112" s="48" t="s">
        <v>89</v>
      </c>
      <c r="F112" s="48" t="s">
        <v>90</v>
      </c>
      <c r="G112" s="48" t="s">
        <v>91</v>
      </c>
      <c r="J112" s="44">
        <f>YEAR(A112)</f>
        <v>2023</v>
      </c>
    </row>
    <row r="113" spans="1:10" ht="12" customHeight="1" x14ac:dyDescent="0.25">
      <c r="A113" s="43">
        <v>44936</v>
      </c>
      <c r="B113" s="47">
        <v>15111</v>
      </c>
      <c r="C113" s="44" t="s">
        <v>463</v>
      </c>
      <c r="D113" s="45">
        <v>-33.96</v>
      </c>
      <c r="E113" s="48" t="s">
        <v>299</v>
      </c>
      <c r="F113" s="48" t="s">
        <v>90</v>
      </c>
      <c r="G113" s="48" t="s">
        <v>305</v>
      </c>
      <c r="I113" s="44" t="s">
        <v>632</v>
      </c>
      <c r="J113" s="44">
        <f>YEAR(A113)</f>
        <v>2023</v>
      </c>
    </row>
    <row r="114" spans="1:10" ht="12" customHeight="1" x14ac:dyDescent="0.25">
      <c r="A114" s="43">
        <v>44936</v>
      </c>
      <c r="B114" s="47">
        <v>15112</v>
      </c>
      <c r="C114" s="44" t="s">
        <v>490</v>
      </c>
      <c r="D114" s="45">
        <v>22.85</v>
      </c>
      <c r="E114" s="48" t="s">
        <v>197</v>
      </c>
      <c r="F114" s="48" t="s">
        <v>90</v>
      </c>
      <c r="G114" s="48" t="s">
        <v>91</v>
      </c>
      <c r="J114" s="44">
        <f>YEAR(A114)</f>
        <v>2023</v>
      </c>
    </row>
    <row r="115" spans="1:10" ht="12" customHeight="1" x14ac:dyDescent="0.25">
      <c r="A115" s="43">
        <v>44936</v>
      </c>
      <c r="B115" s="47">
        <v>15112</v>
      </c>
      <c r="C115" s="44" t="s">
        <v>490</v>
      </c>
      <c r="D115" s="45">
        <v>-22.85</v>
      </c>
      <c r="E115" s="48" t="s">
        <v>299</v>
      </c>
      <c r="F115" s="48" t="s">
        <v>90</v>
      </c>
      <c r="G115" s="48" t="s">
        <v>305</v>
      </c>
      <c r="I115" s="44" t="s">
        <v>632</v>
      </c>
      <c r="J115" s="44">
        <f>YEAR(A115)</f>
        <v>2023</v>
      </c>
    </row>
    <row r="116" spans="1:10" ht="12" customHeight="1" x14ac:dyDescent="0.25">
      <c r="A116" s="43">
        <v>44936</v>
      </c>
      <c r="B116" s="47">
        <v>15113</v>
      </c>
      <c r="C116" s="44" t="s">
        <v>637</v>
      </c>
      <c r="D116" s="45">
        <v>0</v>
      </c>
      <c r="E116" s="48" t="s">
        <v>299</v>
      </c>
      <c r="F116" s="48" t="s">
        <v>90</v>
      </c>
      <c r="G116" s="48" t="s">
        <v>305</v>
      </c>
      <c r="I116" s="44" t="s">
        <v>638</v>
      </c>
      <c r="J116" s="44">
        <f>YEAR(A116)</f>
        <v>2023</v>
      </c>
    </row>
    <row r="117" spans="1:10" ht="12" customHeight="1" x14ac:dyDescent="0.25">
      <c r="A117" s="43">
        <v>44936</v>
      </c>
      <c r="B117" s="47">
        <v>15114</v>
      </c>
      <c r="C117" s="44" t="s">
        <v>472</v>
      </c>
      <c r="D117" s="45">
        <v>94</v>
      </c>
      <c r="E117" s="48" t="s">
        <v>197</v>
      </c>
      <c r="F117" s="48" t="s">
        <v>96</v>
      </c>
      <c r="G117" s="48" t="s">
        <v>91</v>
      </c>
      <c r="J117" s="44">
        <f>YEAR(A117)</f>
        <v>2023</v>
      </c>
    </row>
    <row r="118" spans="1:10" ht="12" customHeight="1" x14ac:dyDescent="0.25">
      <c r="A118" s="43">
        <v>44936</v>
      </c>
      <c r="B118" s="47">
        <v>15114</v>
      </c>
      <c r="C118" s="44" t="s">
        <v>472</v>
      </c>
      <c r="D118" s="45">
        <v>-94</v>
      </c>
      <c r="E118" s="48" t="s">
        <v>299</v>
      </c>
      <c r="F118" s="48" t="s">
        <v>90</v>
      </c>
      <c r="G118" s="48" t="s">
        <v>305</v>
      </c>
      <c r="I118" s="44" t="s">
        <v>632</v>
      </c>
      <c r="J118" s="44">
        <f>YEAR(A118)</f>
        <v>2023</v>
      </c>
    </row>
    <row r="119" spans="1:10" ht="12" customHeight="1" x14ac:dyDescent="0.25">
      <c r="A119" s="43">
        <v>44938</v>
      </c>
      <c r="B119" s="47">
        <v>15115</v>
      </c>
      <c r="C119" s="44" t="s">
        <v>443</v>
      </c>
      <c r="D119" s="45">
        <v>16.05</v>
      </c>
      <c r="E119" s="48" t="s">
        <v>89</v>
      </c>
      <c r="F119" s="48" t="s">
        <v>90</v>
      </c>
      <c r="G119" s="48" t="s">
        <v>91</v>
      </c>
      <c r="J119" s="44">
        <f>YEAR(A119)</f>
        <v>2023</v>
      </c>
    </row>
    <row r="120" spans="1:10" ht="12" customHeight="1" x14ac:dyDescent="0.25">
      <c r="A120" s="43">
        <v>44938</v>
      </c>
      <c r="B120" s="47">
        <v>15115</v>
      </c>
      <c r="C120" s="44" t="s">
        <v>443</v>
      </c>
      <c r="D120" s="45">
        <v>-16.05</v>
      </c>
      <c r="E120" s="48" t="s">
        <v>299</v>
      </c>
      <c r="F120" s="48" t="s">
        <v>90</v>
      </c>
      <c r="G120" s="48" t="s">
        <v>305</v>
      </c>
      <c r="I120" s="44" t="s">
        <v>632</v>
      </c>
      <c r="J120" s="44">
        <f>YEAR(A120)</f>
        <v>2023</v>
      </c>
    </row>
    <row r="121" spans="1:10" ht="12" customHeight="1" x14ac:dyDescent="0.25">
      <c r="A121" s="43">
        <v>44939</v>
      </c>
      <c r="B121" s="47">
        <v>15116</v>
      </c>
      <c r="C121" s="44" t="s">
        <v>468</v>
      </c>
      <c r="D121" s="45">
        <v>2.1800000000000002</v>
      </c>
      <c r="E121" s="48" t="s">
        <v>197</v>
      </c>
      <c r="F121" s="48" t="s">
        <v>90</v>
      </c>
      <c r="G121" s="48" t="s">
        <v>91</v>
      </c>
      <c r="J121" s="44">
        <f>YEAR(A121)</f>
        <v>2023</v>
      </c>
    </row>
    <row r="122" spans="1:10" ht="12" customHeight="1" x14ac:dyDescent="0.25">
      <c r="A122" s="43">
        <v>44939</v>
      </c>
      <c r="B122" s="47">
        <v>15116</v>
      </c>
      <c r="C122" s="44" t="s">
        <v>468</v>
      </c>
      <c r="D122" s="45">
        <v>-2.1800000000000002</v>
      </c>
      <c r="E122" s="48" t="s">
        <v>299</v>
      </c>
      <c r="F122" s="48" t="s">
        <v>90</v>
      </c>
      <c r="G122" s="48" t="s">
        <v>305</v>
      </c>
      <c r="I122" s="44" t="s">
        <v>632</v>
      </c>
      <c r="J122" s="44">
        <f>YEAR(A122)</f>
        <v>2023</v>
      </c>
    </row>
    <row r="123" spans="1:10" ht="12" customHeight="1" x14ac:dyDescent="0.25">
      <c r="A123" s="43">
        <v>44939</v>
      </c>
      <c r="B123" s="47">
        <v>15117</v>
      </c>
      <c r="C123" s="44" t="s">
        <v>501</v>
      </c>
      <c r="D123" s="45">
        <v>3.8</v>
      </c>
      <c r="E123" s="48" t="s">
        <v>89</v>
      </c>
      <c r="F123" s="48" t="s">
        <v>90</v>
      </c>
      <c r="G123" s="48" t="s">
        <v>91</v>
      </c>
      <c r="J123" s="44">
        <f>YEAR(A123)</f>
        <v>2023</v>
      </c>
    </row>
    <row r="124" spans="1:10" ht="12" customHeight="1" x14ac:dyDescent="0.25">
      <c r="A124" s="43">
        <v>44939</v>
      </c>
      <c r="B124" s="47">
        <v>15117</v>
      </c>
      <c r="C124" s="44" t="s">
        <v>501</v>
      </c>
      <c r="D124" s="45">
        <v>-3.8</v>
      </c>
      <c r="E124" s="48" t="s">
        <v>299</v>
      </c>
      <c r="F124" s="48" t="s">
        <v>90</v>
      </c>
      <c r="G124" s="48" t="s">
        <v>305</v>
      </c>
      <c r="I124" s="44" t="s">
        <v>632</v>
      </c>
      <c r="J124" s="44">
        <f>YEAR(A124)</f>
        <v>2023</v>
      </c>
    </row>
    <row r="125" spans="1:10" ht="12" customHeight="1" x14ac:dyDescent="0.25">
      <c r="A125" s="43">
        <v>44940</v>
      </c>
      <c r="B125" s="47">
        <v>15118</v>
      </c>
      <c r="C125" s="44" t="s">
        <v>464</v>
      </c>
      <c r="D125" s="45">
        <v>21.2</v>
      </c>
      <c r="E125" s="48" t="s">
        <v>89</v>
      </c>
      <c r="F125" s="48" t="s">
        <v>90</v>
      </c>
      <c r="G125" s="48" t="s">
        <v>91</v>
      </c>
      <c r="J125" s="44">
        <f>YEAR(A125)</f>
        <v>2023</v>
      </c>
    </row>
    <row r="126" spans="1:10" ht="12" customHeight="1" x14ac:dyDescent="0.25">
      <c r="A126" s="43">
        <v>44940</v>
      </c>
      <c r="B126" s="47">
        <v>15118</v>
      </c>
      <c r="C126" s="44" t="s">
        <v>464</v>
      </c>
      <c r="D126" s="45">
        <v>-21.2</v>
      </c>
      <c r="E126" s="48" t="s">
        <v>299</v>
      </c>
      <c r="F126" s="48" t="s">
        <v>90</v>
      </c>
      <c r="G126" s="48" t="s">
        <v>305</v>
      </c>
      <c r="I126" s="44" t="s">
        <v>632</v>
      </c>
      <c r="J126" s="44">
        <f>YEAR(A126)</f>
        <v>2023</v>
      </c>
    </row>
    <row r="127" spans="1:10" ht="12" customHeight="1" x14ac:dyDescent="0.25">
      <c r="A127" s="43">
        <v>44942</v>
      </c>
      <c r="B127" s="47">
        <v>15119</v>
      </c>
      <c r="C127" s="44" t="s">
        <v>453</v>
      </c>
      <c r="D127" s="45">
        <v>9.6999999999999993</v>
      </c>
      <c r="E127" s="48" t="s">
        <v>89</v>
      </c>
      <c r="F127" s="48" t="s">
        <v>90</v>
      </c>
      <c r="G127" s="48" t="s">
        <v>91</v>
      </c>
      <c r="J127" s="44">
        <f>YEAR(A127)</f>
        <v>2023</v>
      </c>
    </row>
    <row r="128" spans="1:10" ht="12" customHeight="1" x14ac:dyDescent="0.25">
      <c r="A128" s="43">
        <v>44942</v>
      </c>
      <c r="B128" s="47">
        <v>15119</v>
      </c>
      <c r="C128" s="44" t="s">
        <v>453</v>
      </c>
      <c r="D128" s="45">
        <v>-9.6999999999999993</v>
      </c>
      <c r="E128" s="48" t="s">
        <v>299</v>
      </c>
      <c r="F128" s="48" t="s">
        <v>90</v>
      </c>
      <c r="G128" s="48" t="s">
        <v>305</v>
      </c>
      <c r="I128" s="44" t="s">
        <v>632</v>
      </c>
      <c r="J128" s="44">
        <f>YEAR(A128)</f>
        <v>2023</v>
      </c>
    </row>
    <row r="129" spans="1:10" ht="12" customHeight="1" x14ac:dyDescent="0.25">
      <c r="A129" s="43">
        <v>44943</v>
      </c>
      <c r="B129" s="47">
        <v>15120</v>
      </c>
      <c r="C129" s="44" t="s">
        <v>475</v>
      </c>
      <c r="D129" s="45">
        <v>45</v>
      </c>
      <c r="E129" s="48" t="s">
        <v>89</v>
      </c>
      <c r="F129" s="48" t="s">
        <v>90</v>
      </c>
      <c r="G129" s="48" t="s">
        <v>91</v>
      </c>
      <c r="J129" s="44">
        <f>YEAR(A129)</f>
        <v>2023</v>
      </c>
    </row>
    <row r="130" spans="1:10" ht="12" customHeight="1" x14ac:dyDescent="0.25">
      <c r="A130" s="43">
        <v>44943</v>
      </c>
      <c r="B130" s="47">
        <v>15120</v>
      </c>
      <c r="C130" s="44" t="s">
        <v>475</v>
      </c>
      <c r="D130" s="45">
        <v>-45</v>
      </c>
      <c r="E130" s="48" t="s">
        <v>299</v>
      </c>
      <c r="F130" s="48" t="s">
        <v>90</v>
      </c>
      <c r="G130" s="48" t="s">
        <v>305</v>
      </c>
      <c r="I130" s="44" t="s">
        <v>632</v>
      </c>
      <c r="J130" s="44">
        <f>YEAR(A130)</f>
        <v>2023</v>
      </c>
    </row>
    <row r="131" spans="1:10" ht="12" customHeight="1" x14ac:dyDescent="0.25">
      <c r="A131" s="43">
        <v>44943</v>
      </c>
      <c r="B131" s="47">
        <v>15121</v>
      </c>
      <c r="C131" s="44" t="s">
        <v>453</v>
      </c>
      <c r="D131" s="45">
        <v>7.9</v>
      </c>
      <c r="E131" s="48" t="s">
        <v>89</v>
      </c>
      <c r="F131" s="48" t="s">
        <v>90</v>
      </c>
      <c r="G131" s="48" t="s">
        <v>91</v>
      </c>
      <c r="J131" s="44">
        <f>YEAR(A131)</f>
        <v>2023</v>
      </c>
    </row>
    <row r="132" spans="1:10" ht="12" customHeight="1" x14ac:dyDescent="0.25">
      <c r="A132" s="43">
        <v>44943</v>
      </c>
      <c r="B132" s="47">
        <v>15121</v>
      </c>
      <c r="C132" s="44" t="s">
        <v>453</v>
      </c>
      <c r="D132" s="45">
        <v>-7.9</v>
      </c>
      <c r="E132" s="48" t="s">
        <v>299</v>
      </c>
      <c r="F132" s="48" t="s">
        <v>90</v>
      </c>
      <c r="G132" s="48" t="s">
        <v>305</v>
      </c>
      <c r="I132" s="44" t="s">
        <v>632</v>
      </c>
      <c r="J132" s="44">
        <f>YEAR(A132)</f>
        <v>2023</v>
      </c>
    </row>
    <row r="133" spans="1:10" ht="12" customHeight="1" x14ac:dyDescent="0.25">
      <c r="A133" s="43">
        <v>44943</v>
      </c>
      <c r="B133" s="47">
        <v>15122</v>
      </c>
      <c r="C133" s="44" t="s">
        <v>458</v>
      </c>
      <c r="D133" s="45">
        <v>16.309999999999999</v>
      </c>
      <c r="E133" s="48" t="s">
        <v>89</v>
      </c>
      <c r="F133" s="48" t="s">
        <v>90</v>
      </c>
      <c r="G133" s="48" t="s">
        <v>91</v>
      </c>
      <c r="J133" s="44">
        <f>YEAR(A133)</f>
        <v>2023</v>
      </c>
    </row>
    <row r="134" spans="1:10" ht="12" customHeight="1" x14ac:dyDescent="0.25">
      <c r="A134" s="43">
        <v>44943</v>
      </c>
      <c r="B134" s="47">
        <v>15122</v>
      </c>
      <c r="C134" s="44" t="s">
        <v>458</v>
      </c>
      <c r="D134" s="45">
        <v>-16.309999999999999</v>
      </c>
      <c r="E134" s="48" t="s">
        <v>299</v>
      </c>
      <c r="F134" s="48" t="s">
        <v>90</v>
      </c>
      <c r="G134" s="48" t="s">
        <v>305</v>
      </c>
      <c r="I134" s="44" t="s">
        <v>632</v>
      </c>
      <c r="J134" s="44">
        <f>YEAR(A134)</f>
        <v>2023</v>
      </c>
    </row>
    <row r="135" spans="1:10" ht="12" customHeight="1" x14ac:dyDescent="0.25">
      <c r="A135" s="43">
        <v>44943</v>
      </c>
      <c r="B135" s="47">
        <v>15123</v>
      </c>
      <c r="C135" s="44" t="s">
        <v>568</v>
      </c>
      <c r="D135" s="45">
        <v>21.02</v>
      </c>
      <c r="E135" s="48" t="s">
        <v>89</v>
      </c>
      <c r="F135" s="48" t="s">
        <v>90</v>
      </c>
      <c r="G135" s="48" t="s">
        <v>91</v>
      </c>
      <c r="J135" s="44">
        <f>YEAR(A135)</f>
        <v>2023</v>
      </c>
    </row>
    <row r="136" spans="1:10" ht="12" customHeight="1" x14ac:dyDescent="0.25">
      <c r="A136" s="43">
        <v>44943</v>
      </c>
      <c r="B136" s="47">
        <v>15123</v>
      </c>
      <c r="C136" s="44" t="s">
        <v>568</v>
      </c>
      <c r="D136" s="45">
        <v>-21.02</v>
      </c>
      <c r="E136" s="48" t="s">
        <v>299</v>
      </c>
      <c r="F136" s="48" t="s">
        <v>90</v>
      </c>
      <c r="G136" s="48" t="s">
        <v>305</v>
      </c>
      <c r="I136" s="44" t="s">
        <v>632</v>
      </c>
      <c r="J136" s="44">
        <f>YEAR(A136)</f>
        <v>2023</v>
      </c>
    </row>
    <row r="137" spans="1:10" ht="12" customHeight="1" x14ac:dyDescent="0.25">
      <c r="A137" s="43">
        <v>44943</v>
      </c>
      <c r="B137" s="47">
        <v>15124</v>
      </c>
      <c r="C137" s="44" t="s">
        <v>47</v>
      </c>
      <c r="D137" s="45">
        <v>68.98</v>
      </c>
      <c r="E137" s="48" t="s">
        <v>180</v>
      </c>
      <c r="F137" s="48" t="s">
        <v>96</v>
      </c>
      <c r="G137" s="48" t="s">
        <v>592</v>
      </c>
      <c r="J137" s="44">
        <f>YEAR(A137)</f>
        <v>2023</v>
      </c>
    </row>
    <row r="138" spans="1:10" ht="12" customHeight="1" x14ac:dyDescent="0.25">
      <c r="A138" s="43">
        <v>44943</v>
      </c>
      <c r="B138" s="47">
        <v>15124</v>
      </c>
      <c r="C138" s="44" t="s">
        <v>47</v>
      </c>
      <c r="D138" s="45">
        <v>-68.98</v>
      </c>
      <c r="E138" s="48" t="s">
        <v>299</v>
      </c>
      <c r="F138" s="48" t="s">
        <v>90</v>
      </c>
      <c r="G138" s="48" t="s">
        <v>305</v>
      </c>
      <c r="I138" s="44" t="s">
        <v>632</v>
      </c>
      <c r="J138" s="44">
        <f>YEAR(A138)</f>
        <v>2023</v>
      </c>
    </row>
    <row r="139" spans="1:10" ht="12" customHeight="1" x14ac:dyDescent="0.25">
      <c r="A139" s="43">
        <v>44943</v>
      </c>
      <c r="B139" s="47">
        <v>15125</v>
      </c>
      <c r="C139" s="44" t="s">
        <v>617</v>
      </c>
      <c r="D139" s="45">
        <v>30</v>
      </c>
      <c r="E139" s="48" t="s">
        <v>139</v>
      </c>
      <c r="F139" s="48" t="s">
        <v>128</v>
      </c>
      <c r="G139" s="48" t="s">
        <v>99</v>
      </c>
      <c r="J139" s="44">
        <f>YEAR(A139)</f>
        <v>2023</v>
      </c>
    </row>
    <row r="140" spans="1:10" ht="12" customHeight="1" x14ac:dyDescent="0.25">
      <c r="A140" s="43">
        <v>44943</v>
      </c>
      <c r="B140" s="47">
        <v>15125</v>
      </c>
      <c r="C140" s="44" t="s">
        <v>617</v>
      </c>
      <c r="D140" s="45">
        <v>-30</v>
      </c>
      <c r="E140" s="48" t="s">
        <v>299</v>
      </c>
      <c r="F140" s="48" t="s">
        <v>90</v>
      </c>
      <c r="G140" s="48" t="s">
        <v>91</v>
      </c>
      <c r="H140" s="44" t="s">
        <v>402</v>
      </c>
      <c r="I140" s="44" t="s">
        <v>633</v>
      </c>
      <c r="J140" s="44">
        <f>YEAR(A140)</f>
        <v>2023</v>
      </c>
    </row>
    <row r="141" spans="1:10" ht="12" customHeight="1" x14ac:dyDescent="0.25">
      <c r="A141" s="43">
        <v>44942</v>
      </c>
      <c r="B141" s="47">
        <v>15126</v>
      </c>
      <c r="C141" s="44" t="s">
        <v>448</v>
      </c>
      <c r="D141" s="45">
        <v>139.22999999999999</v>
      </c>
      <c r="E141" s="48" t="s">
        <v>180</v>
      </c>
      <c r="F141" s="48" t="s">
        <v>90</v>
      </c>
      <c r="G141" s="48" t="s">
        <v>91</v>
      </c>
      <c r="H141" s="44" t="s">
        <v>442</v>
      </c>
      <c r="J141" s="44">
        <f>YEAR(A141)</f>
        <v>2023</v>
      </c>
    </row>
    <row r="142" spans="1:10" ht="12" customHeight="1" x14ac:dyDescent="0.25">
      <c r="A142" s="43">
        <v>44942</v>
      </c>
      <c r="B142" s="47">
        <v>15126</v>
      </c>
      <c r="C142" s="44" t="s">
        <v>448</v>
      </c>
      <c r="D142" s="45">
        <v>-139.22999999999999</v>
      </c>
      <c r="E142" s="48" t="s">
        <v>299</v>
      </c>
      <c r="F142" s="48" t="s">
        <v>90</v>
      </c>
      <c r="G142" s="48" t="s">
        <v>91</v>
      </c>
      <c r="H142" s="44" t="s">
        <v>391</v>
      </c>
      <c r="I142" s="44" t="s">
        <v>633</v>
      </c>
      <c r="J142" s="44">
        <f>YEAR(A142)</f>
        <v>2023</v>
      </c>
    </row>
    <row r="143" spans="1:10" ht="12" customHeight="1" x14ac:dyDescent="0.25">
      <c r="A143" s="43">
        <v>44944</v>
      </c>
      <c r="B143" s="47">
        <v>15127</v>
      </c>
      <c r="C143" s="44" t="s">
        <v>585</v>
      </c>
      <c r="D143" s="45">
        <v>-17.5</v>
      </c>
      <c r="E143" s="48" t="s">
        <v>197</v>
      </c>
      <c r="F143" s="48" t="s">
        <v>90</v>
      </c>
      <c r="G143" s="48" t="s">
        <v>99</v>
      </c>
      <c r="J143" s="44">
        <f>YEAR(A143)</f>
        <v>2023</v>
      </c>
    </row>
    <row r="144" spans="1:10" ht="12" customHeight="1" x14ac:dyDescent="0.25">
      <c r="A144" s="43">
        <v>44944</v>
      </c>
      <c r="B144" s="47">
        <v>15127</v>
      </c>
      <c r="C144" s="44" t="s">
        <v>585</v>
      </c>
      <c r="D144" s="45">
        <v>17.5</v>
      </c>
      <c r="E144" s="48" t="s">
        <v>299</v>
      </c>
      <c r="F144" s="48" t="s">
        <v>90</v>
      </c>
      <c r="G144" s="48" t="s">
        <v>91</v>
      </c>
      <c r="H144" s="44" t="s">
        <v>398</v>
      </c>
      <c r="I144" s="44" t="s">
        <v>634</v>
      </c>
      <c r="J144" s="44">
        <f>YEAR(A144)</f>
        <v>2023</v>
      </c>
    </row>
    <row r="145" spans="1:10" ht="12" customHeight="1" x14ac:dyDescent="0.25">
      <c r="A145" s="43">
        <v>44945</v>
      </c>
      <c r="B145" s="47">
        <v>15128</v>
      </c>
      <c r="C145" s="44" t="s">
        <v>561</v>
      </c>
      <c r="D145" s="45">
        <v>53.98</v>
      </c>
      <c r="E145" s="48" t="s">
        <v>157</v>
      </c>
      <c r="F145" s="48" t="s">
        <v>96</v>
      </c>
      <c r="G145" s="48" t="s">
        <v>91</v>
      </c>
      <c r="J145" s="44">
        <f>YEAR(A145)</f>
        <v>2023</v>
      </c>
    </row>
    <row r="146" spans="1:10" ht="12" customHeight="1" x14ac:dyDescent="0.25">
      <c r="A146" s="43">
        <v>44945</v>
      </c>
      <c r="B146" s="47">
        <v>15128</v>
      </c>
      <c r="C146" s="44" t="s">
        <v>561</v>
      </c>
      <c r="D146" s="45">
        <v>-53.98</v>
      </c>
      <c r="E146" s="48" t="s">
        <v>299</v>
      </c>
      <c r="F146" s="48" t="s">
        <v>90</v>
      </c>
      <c r="G146" s="48" t="s">
        <v>305</v>
      </c>
      <c r="I146" s="44" t="s">
        <v>632</v>
      </c>
      <c r="J146" s="44">
        <f>YEAR(A146)</f>
        <v>2023</v>
      </c>
    </row>
    <row r="147" spans="1:10" ht="12" customHeight="1" x14ac:dyDescent="0.25">
      <c r="A147" s="43">
        <v>44945</v>
      </c>
      <c r="B147" s="47">
        <v>15129</v>
      </c>
      <c r="C147" s="44" t="s">
        <v>600</v>
      </c>
      <c r="D147" s="45">
        <v>11.45</v>
      </c>
      <c r="E147" s="48" t="s">
        <v>89</v>
      </c>
      <c r="F147" s="48" t="s">
        <v>90</v>
      </c>
      <c r="G147" s="48" t="s">
        <v>91</v>
      </c>
      <c r="J147" s="44">
        <f>YEAR(A147)</f>
        <v>2023</v>
      </c>
    </row>
    <row r="148" spans="1:10" ht="12" customHeight="1" x14ac:dyDescent="0.25">
      <c r="A148" s="43">
        <v>44945</v>
      </c>
      <c r="B148" s="47">
        <v>15129</v>
      </c>
      <c r="C148" s="44" t="s">
        <v>600</v>
      </c>
      <c r="D148" s="45">
        <v>-11.45</v>
      </c>
      <c r="E148" s="48" t="s">
        <v>299</v>
      </c>
      <c r="F148" s="48" t="s">
        <v>90</v>
      </c>
      <c r="G148" s="48" t="s">
        <v>305</v>
      </c>
      <c r="I148" s="44" t="s">
        <v>632</v>
      </c>
      <c r="J148" s="44">
        <f>YEAR(A148)</f>
        <v>2023</v>
      </c>
    </row>
    <row r="149" spans="1:10" ht="12" customHeight="1" x14ac:dyDescent="0.25">
      <c r="A149" s="43">
        <v>44945</v>
      </c>
      <c r="B149" s="47">
        <v>15130</v>
      </c>
      <c r="C149" s="44" t="s">
        <v>482</v>
      </c>
      <c r="D149" s="45">
        <v>21.12</v>
      </c>
      <c r="E149" s="48" t="s">
        <v>157</v>
      </c>
      <c r="F149" s="48" t="s">
        <v>179</v>
      </c>
      <c r="G149" s="48" t="s">
        <v>91</v>
      </c>
      <c r="J149" s="44">
        <f>YEAR(A149)</f>
        <v>2023</v>
      </c>
    </row>
    <row r="150" spans="1:10" ht="12" customHeight="1" x14ac:dyDescent="0.25">
      <c r="A150" s="43">
        <v>44945</v>
      </c>
      <c r="B150" s="47">
        <v>15130</v>
      </c>
      <c r="C150" s="44" t="s">
        <v>482</v>
      </c>
      <c r="D150" s="45">
        <v>-21.12</v>
      </c>
      <c r="E150" s="48" t="s">
        <v>299</v>
      </c>
      <c r="F150" s="48" t="s">
        <v>90</v>
      </c>
      <c r="G150" s="48" t="s">
        <v>305</v>
      </c>
      <c r="I150" s="44" t="s">
        <v>632</v>
      </c>
      <c r="J150" s="44">
        <f>YEAR(A150)</f>
        <v>2023</v>
      </c>
    </row>
    <row r="151" spans="1:10" ht="12" customHeight="1" x14ac:dyDescent="0.25">
      <c r="A151" s="43">
        <v>44946</v>
      </c>
      <c r="B151" s="47">
        <v>15131</v>
      </c>
      <c r="C151" s="44" t="s">
        <v>618</v>
      </c>
      <c r="D151" s="45">
        <v>15</v>
      </c>
      <c r="E151" s="48" t="s">
        <v>197</v>
      </c>
      <c r="F151" s="48" t="s">
        <v>90</v>
      </c>
      <c r="G151" s="48" t="s">
        <v>99</v>
      </c>
      <c r="J151" s="44">
        <f>YEAR(A151)</f>
        <v>2023</v>
      </c>
    </row>
    <row r="152" spans="1:10" ht="12" customHeight="1" x14ac:dyDescent="0.25">
      <c r="A152" s="43">
        <v>44946</v>
      </c>
      <c r="B152" s="47">
        <v>15131</v>
      </c>
      <c r="C152" s="44" t="s">
        <v>618</v>
      </c>
      <c r="D152" s="45">
        <v>-15</v>
      </c>
      <c r="E152" s="48" t="s">
        <v>299</v>
      </c>
      <c r="F152" s="48" t="s">
        <v>90</v>
      </c>
      <c r="G152" s="48" t="s">
        <v>305</v>
      </c>
      <c r="I152" s="44" t="s">
        <v>632</v>
      </c>
      <c r="J152" s="44">
        <f>YEAR(A152)</f>
        <v>2023</v>
      </c>
    </row>
    <row r="153" spans="1:10" ht="12" customHeight="1" x14ac:dyDescent="0.25">
      <c r="A153" s="43">
        <v>44949</v>
      </c>
      <c r="B153" s="47">
        <v>15132</v>
      </c>
      <c r="C153" s="44" t="s">
        <v>619</v>
      </c>
      <c r="D153" s="45">
        <v>37</v>
      </c>
      <c r="E153" s="48" t="s">
        <v>89</v>
      </c>
      <c r="F153" s="48" t="s">
        <v>90</v>
      </c>
      <c r="G153" s="48" t="s">
        <v>91</v>
      </c>
      <c r="J153" s="44">
        <f>YEAR(A153)</f>
        <v>2023</v>
      </c>
    </row>
    <row r="154" spans="1:10" ht="12" customHeight="1" x14ac:dyDescent="0.25">
      <c r="A154" s="43">
        <v>44949</v>
      </c>
      <c r="B154" s="47">
        <v>15132</v>
      </c>
      <c r="C154" s="44" t="s">
        <v>619</v>
      </c>
      <c r="D154" s="45">
        <v>-37</v>
      </c>
      <c r="E154" s="48" t="s">
        <v>299</v>
      </c>
      <c r="F154" s="48" t="s">
        <v>90</v>
      </c>
      <c r="G154" s="48" t="s">
        <v>305</v>
      </c>
      <c r="I154" s="44" t="s">
        <v>632</v>
      </c>
      <c r="J154" s="44">
        <f>YEAR(A154)</f>
        <v>2023</v>
      </c>
    </row>
    <row r="155" spans="1:10" ht="12" customHeight="1" x14ac:dyDescent="0.25">
      <c r="A155" s="43">
        <v>44950</v>
      </c>
      <c r="B155" s="47">
        <v>15133</v>
      </c>
      <c r="C155" s="44" t="s">
        <v>573</v>
      </c>
      <c r="D155" s="45">
        <v>3.9</v>
      </c>
      <c r="E155" s="48" t="s">
        <v>180</v>
      </c>
      <c r="F155" s="48" t="s">
        <v>90</v>
      </c>
      <c r="G155" s="48" t="s">
        <v>91</v>
      </c>
      <c r="H155" s="44" t="s">
        <v>442</v>
      </c>
      <c r="J155" s="44">
        <f>YEAR(A155)</f>
        <v>2023</v>
      </c>
    </row>
    <row r="156" spans="1:10" ht="12" customHeight="1" x14ac:dyDescent="0.25">
      <c r="A156" s="43">
        <v>44950</v>
      </c>
      <c r="B156" s="47">
        <v>15133</v>
      </c>
      <c r="C156" s="44" t="s">
        <v>573</v>
      </c>
      <c r="D156" s="45">
        <v>-3.9</v>
      </c>
      <c r="E156" s="48" t="s">
        <v>299</v>
      </c>
      <c r="F156" s="48" t="s">
        <v>90</v>
      </c>
      <c r="G156" s="48" t="s">
        <v>305</v>
      </c>
      <c r="I156" s="44" t="s">
        <v>632</v>
      </c>
      <c r="J156" s="44">
        <f>YEAR(A156)</f>
        <v>2023</v>
      </c>
    </row>
    <row r="157" spans="1:10" ht="12" customHeight="1" x14ac:dyDescent="0.25">
      <c r="A157" s="43">
        <v>44950</v>
      </c>
      <c r="B157" s="47">
        <v>15134</v>
      </c>
      <c r="C157" s="44" t="s">
        <v>620</v>
      </c>
      <c r="D157" s="45">
        <v>171.95</v>
      </c>
      <c r="E157" s="48" t="s">
        <v>157</v>
      </c>
      <c r="F157" s="48" t="s">
        <v>96</v>
      </c>
      <c r="G157" s="48" t="s">
        <v>91</v>
      </c>
      <c r="J157" s="44">
        <f>YEAR(A157)</f>
        <v>2023</v>
      </c>
    </row>
    <row r="158" spans="1:10" ht="12" customHeight="1" x14ac:dyDescent="0.25">
      <c r="A158" s="43">
        <v>44950</v>
      </c>
      <c r="B158" s="47">
        <v>15134</v>
      </c>
      <c r="C158" s="44" t="s">
        <v>620</v>
      </c>
      <c r="D158" s="45">
        <v>-211.95</v>
      </c>
      <c r="E158" s="48" t="s">
        <v>299</v>
      </c>
      <c r="F158" s="48" t="s">
        <v>90</v>
      </c>
      <c r="G158" s="48" t="s">
        <v>305</v>
      </c>
      <c r="I158" s="44" t="s">
        <v>632</v>
      </c>
      <c r="J158" s="44">
        <f>YEAR(A158)</f>
        <v>2023</v>
      </c>
    </row>
    <row r="159" spans="1:10" ht="12" customHeight="1" x14ac:dyDescent="0.25">
      <c r="A159" s="43">
        <v>44950</v>
      </c>
      <c r="B159" s="47">
        <v>15134</v>
      </c>
      <c r="C159" s="44" t="s">
        <v>620</v>
      </c>
      <c r="D159" s="45">
        <v>40</v>
      </c>
      <c r="E159" s="48" t="s">
        <v>566</v>
      </c>
      <c r="F159" s="48" t="s">
        <v>90</v>
      </c>
      <c r="G159" s="48" t="s">
        <v>93</v>
      </c>
      <c r="J159" s="44">
        <f>YEAR(A159)</f>
        <v>2023</v>
      </c>
    </row>
    <row r="160" spans="1:10" ht="12" customHeight="1" x14ac:dyDescent="0.25">
      <c r="A160" s="43">
        <v>44950</v>
      </c>
      <c r="B160" s="47">
        <v>15135</v>
      </c>
      <c r="C160" s="44" t="s">
        <v>501</v>
      </c>
      <c r="D160" s="45">
        <v>7.7</v>
      </c>
      <c r="E160" s="48" t="s">
        <v>89</v>
      </c>
      <c r="F160" s="48" t="s">
        <v>90</v>
      </c>
      <c r="G160" s="48" t="s">
        <v>91</v>
      </c>
      <c r="J160" s="44">
        <f>YEAR(A160)</f>
        <v>2023</v>
      </c>
    </row>
    <row r="161" spans="1:10" ht="12" customHeight="1" x14ac:dyDescent="0.25">
      <c r="A161" s="43">
        <v>44950</v>
      </c>
      <c r="B161" s="47">
        <v>15135</v>
      </c>
      <c r="C161" s="44" t="s">
        <v>501</v>
      </c>
      <c r="D161" s="45">
        <v>-7.7</v>
      </c>
      <c r="E161" s="48" t="s">
        <v>299</v>
      </c>
      <c r="F161" s="48" t="s">
        <v>90</v>
      </c>
      <c r="G161" s="48" t="s">
        <v>305</v>
      </c>
      <c r="I161" s="44" t="s">
        <v>632</v>
      </c>
      <c r="J161" s="44">
        <f>YEAR(A161)</f>
        <v>2023</v>
      </c>
    </row>
    <row r="162" spans="1:10" ht="12" customHeight="1" x14ac:dyDescent="0.25">
      <c r="A162" s="43">
        <v>44950</v>
      </c>
      <c r="B162" s="47">
        <v>15136</v>
      </c>
      <c r="C162" s="44" t="s">
        <v>493</v>
      </c>
      <c r="D162" s="45">
        <v>41.63</v>
      </c>
      <c r="E162" s="48" t="s">
        <v>89</v>
      </c>
      <c r="F162" s="48" t="s">
        <v>90</v>
      </c>
      <c r="G162" s="48" t="s">
        <v>91</v>
      </c>
      <c r="J162" s="44">
        <f>YEAR(A162)</f>
        <v>2023</v>
      </c>
    </row>
    <row r="163" spans="1:10" ht="12" customHeight="1" x14ac:dyDescent="0.25">
      <c r="A163" s="43">
        <v>44950</v>
      </c>
      <c r="B163" s="47">
        <v>15136</v>
      </c>
      <c r="C163" s="44" t="s">
        <v>493</v>
      </c>
      <c r="D163" s="45">
        <v>-41.63</v>
      </c>
      <c r="E163" s="48" t="s">
        <v>299</v>
      </c>
      <c r="F163" s="48" t="s">
        <v>90</v>
      </c>
      <c r="G163" s="48" t="s">
        <v>305</v>
      </c>
      <c r="I163" s="44" t="s">
        <v>632</v>
      </c>
      <c r="J163" s="44">
        <f>YEAR(A163)</f>
        <v>2023</v>
      </c>
    </row>
    <row r="164" spans="1:10" ht="12" customHeight="1" x14ac:dyDescent="0.25">
      <c r="A164" s="43">
        <v>44950</v>
      </c>
      <c r="B164" s="47">
        <v>15137</v>
      </c>
      <c r="C164" s="44" t="s">
        <v>579</v>
      </c>
      <c r="D164" s="45">
        <v>25.89</v>
      </c>
      <c r="E164" s="48" t="s">
        <v>89</v>
      </c>
      <c r="F164" s="48" t="s">
        <v>90</v>
      </c>
      <c r="G164" s="48" t="s">
        <v>91</v>
      </c>
      <c r="J164" s="44">
        <f>YEAR(A164)</f>
        <v>2023</v>
      </c>
    </row>
    <row r="165" spans="1:10" ht="12" customHeight="1" x14ac:dyDescent="0.25">
      <c r="A165" s="43">
        <v>44950</v>
      </c>
      <c r="B165" s="47">
        <v>15137</v>
      </c>
      <c r="C165" s="44" t="s">
        <v>579</v>
      </c>
      <c r="D165" s="45">
        <v>-25.89</v>
      </c>
      <c r="E165" s="48" t="s">
        <v>299</v>
      </c>
      <c r="F165" s="48" t="s">
        <v>90</v>
      </c>
      <c r="G165" s="48" t="s">
        <v>305</v>
      </c>
      <c r="I165" s="44" t="s">
        <v>632</v>
      </c>
      <c r="J165" s="44">
        <f>YEAR(A165)</f>
        <v>2023</v>
      </c>
    </row>
    <row r="166" spans="1:10" ht="12" customHeight="1" x14ac:dyDescent="0.25">
      <c r="A166" s="43">
        <v>44951</v>
      </c>
      <c r="B166" s="47">
        <v>15138</v>
      </c>
      <c r="C166" s="44" t="s">
        <v>468</v>
      </c>
      <c r="D166" s="45">
        <v>37.299999999999997</v>
      </c>
      <c r="E166" s="48" t="s">
        <v>197</v>
      </c>
      <c r="F166" s="48" t="s">
        <v>90</v>
      </c>
      <c r="G166" s="48" t="s">
        <v>93</v>
      </c>
      <c r="J166" s="44">
        <f>YEAR(A166)</f>
        <v>2023</v>
      </c>
    </row>
    <row r="167" spans="1:10" ht="12" customHeight="1" x14ac:dyDescent="0.25">
      <c r="A167" s="43">
        <v>44951</v>
      </c>
      <c r="B167" s="47">
        <v>15138</v>
      </c>
      <c r="C167" s="44" t="s">
        <v>468</v>
      </c>
      <c r="D167" s="45">
        <v>-57.3</v>
      </c>
      <c r="E167" s="48" t="s">
        <v>299</v>
      </c>
      <c r="F167" s="48" t="s">
        <v>90</v>
      </c>
      <c r="G167" s="48" t="s">
        <v>305</v>
      </c>
      <c r="I167" s="44" t="s">
        <v>632</v>
      </c>
      <c r="J167" s="44">
        <f>YEAR(A167)</f>
        <v>2023</v>
      </c>
    </row>
    <row r="168" spans="1:10" ht="12" customHeight="1" x14ac:dyDescent="0.25">
      <c r="A168" s="43">
        <v>44951</v>
      </c>
      <c r="B168" s="47">
        <v>15138</v>
      </c>
      <c r="C168" s="44" t="s">
        <v>468</v>
      </c>
      <c r="D168" s="45">
        <v>20</v>
      </c>
      <c r="E168" s="48" t="s">
        <v>197</v>
      </c>
      <c r="F168" s="48" t="s">
        <v>90</v>
      </c>
      <c r="G168" s="48" t="s">
        <v>91</v>
      </c>
      <c r="J168" s="44">
        <f>YEAR(A168)</f>
        <v>2023</v>
      </c>
    </row>
    <row r="169" spans="1:10" ht="12" customHeight="1" x14ac:dyDescent="0.25">
      <c r="A169" s="43">
        <v>44952</v>
      </c>
      <c r="B169" s="47">
        <v>15139</v>
      </c>
      <c r="C169" s="44" t="s">
        <v>550</v>
      </c>
      <c r="D169" s="45">
        <v>7.1</v>
      </c>
      <c r="E169" s="48" t="s">
        <v>157</v>
      </c>
      <c r="F169" s="48" t="s">
        <v>96</v>
      </c>
      <c r="G169" s="48" t="s">
        <v>93</v>
      </c>
      <c r="J169" s="44">
        <f>YEAR(A169)</f>
        <v>2023</v>
      </c>
    </row>
    <row r="170" spans="1:10" ht="12" customHeight="1" x14ac:dyDescent="0.25">
      <c r="A170" s="43">
        <v>44952</v>
      </c>
      <c r="B170" s="47">
        <v>15139</v>
      </c>
      <c r="C170" s="44" t="s">
        <v>550</v>
      </c>
      <c r="D170" s="45">
        <v>-7.1</v>
      </c>
      <c r="E170" s="48" t="s">
        <v>299</v>
      </c>
      <c r="F170" s="48" t="s">
        <v>90</v>
      </c>
      <c r="G170" s="48" t="s">
        <v>305</v>
      </c>
      <c r="I170" s="44" t="s">
        <v>632</v>
      </c>
      <c r="J170" s="44">
        <f>YEAR(A170)</f>
        <v>2023</v>
      </c>
    </row>
    <row r="171" spans="1:10" ht="12" customHeight="1" x14ac:dyDescent="0.25">
      <c r="A171" s="43">
        <v>44952</v>
      </c>
      <c r="B171" s="47">
        <v>15140</v>
      </c>
      <c r="C171" s="44" t="s">
        <v>550</v>
      </c>
      <c r="D171" s="45">
        <v>4.95</v>
      </c>
      <c r="E171" s="48" t="s">
        <v>157</v>
      </c>
      <c r="F171" s="48" t="s">
        <v>96</v>
      </c>
      <c r="G171" s="48" t="s">
        <v>93</v>
      </c>
      <c r="J171" s="44">
        <f>YEAR(A171)</f>
        <v>2023</v>
      </c>
    </row>
    <row r="172" spans="1:10" ht="12" customHeight="1" x14ac:dyDescent="0.25">
      <c r="A172" s="43">
        <v>44952</v>
      </c>
      <c r="B172" s="47">
        <v>15140</v>
      </c>
      <c r="C172" s="44" t="s">
        <v>550</v>
      </c>
      <c r="D172" s="45">
        <v>-4.95</v>
      </c>
      <c r="E172" s="48" t="s">
        <v>299</v>
      </c>
      <c r="F172" s="48" t="s">
        <v>90</v>
      </c>
      <c r="G172" s="48" t="s">
        <v>305</v>
      </c>
      <c r="I172" s="44" t="s">
        <v>632</v>
      </c>
      <c r="J172" s="44">
        <f>YEAR(A172)</f>
        <v>2023</v>
      </c>
    </row>
    <row r="173" spans="1:10" ht="12" customHeight="1" x14ac:dyDescent="0.25">
      <c r="A173" s="43">
        <v>44952</v>
      </c>
      <c r="B173" s="47">
        <v>15141</v>
      </c>
      <c r="C173" s="44" t="s">
        <v>478</v>
      </c>
      <c r="D173" s="45">
        <v>-63</v>
      </c>
      <c r="E173" s="48" t="s">
        <v>299</v>
      </c>
      <c r="F173" s="48" t="s">
        <v>90</v>
      </c>
      <c r="G173" s="48" t="s">
        <v>91</v>
      </c>
      <c r="H173" s="44">
        <v>3993</v>
      </c>
      <c r="I173" s="44" t="s">
        <v>633</v>
      </c>
      <c r="J173" s="44">
        <f>YEAR(A173)</f>
        <v>2023</v>
      </c>
    </row>
    <row r="174" spans="1:10" ht="12" customHeight="1" x14ac:dyDescent="0.25">
      <c r="A174" s="43">
        <v>44952</v>
      </c>
      <c r="B174" s="47">
        <v>15141</v>
      </c>
      <c r="C174" s="44" t="s">
        <v>478</v>
      </c>
      <c r="D174" s="45">
        <v>63</v>
      </c>
      <c r="E174" s="48" t="s">
        <v>197</v>
      </c>
      <c r="F174" s="48" t="s">
        <v>90</v>
      </c>
      <c r="G174" s="48" t="s">
        <v>91</v>
      </c>
      <c r="J174" s="44">
        <f>YEAR(A174)</f>
        <v>2023</v>
      </c>
    </row>
    <row r="175" spans="1:10" ht="12" customHeight="1" x14ac:dyDescent="0.25">
      <c r="A175" s="43">
        <v>44952</v>
      </c>
      <c r="B175" s="47">
        <v>15142</v>
      </c>
      <c r="C175" s="44" t="s">
        <v>445</v>
      </c>
      <c r="D175" s="45">
        <v>-333</v>
      </c>
      <c r="E175" s="48" t="s">
        <v>299</v>
      </c>
      <c r="F175" s="48" t="s">
        <v>90</v>
      </c>
      <c r="G175" s="48" t="s">
        <v>91</v>
      </c>
      <c r="H175" s="44">
        <v>3994</v>
      </c>
      <c r="I175" s="44" t="s">
        <v>633</v>
      </c>
      <c r="J175" s="44">
        <f>YEAR(A175)</f>
        <v>2023</v>
      </c>
    </row>
    <row r="176" spans="1:10" ht="12" customHeight="1" x14ac:dyDescent="0.25">
      <c r="A176" s="43">
        <v>44952</v>
      </c>
      <c r="B176" s="47">
        <v>15142</v>
      </c>
      <c r="C176" s="44" t="s">
        <v>445</v>
      </c>
      <c r="D176" s="45">
        <v>333</v>
      </c>
      <c r="E176" s="48" t="s">
        <v>180</v>
      </c>
      <c r="F176" s="48" t="s">
        <v>96</v>
      </c>
      <c r="G176" s="48" t="s">
        <v>592</v>
      </c>
      <c r="J176" s="44">
        <f>YEAR(A176)</f>
        <v>2023</v>
      </c>
    </row>
    <row r="177" spans="1:10" ht="12" customHeight="1" x14ac:dyDescent="0.25">
      <c r="A177" s="43">
        <v>44950</v>
      </c>
      <c r="B177" s="47">
        <v>15143</v>
      </c>
      <c r="C177" s="44" t="s">
        <v>444</v>
      </c>
      <c r="D177" s="45">
        <v>-182.32</v>
      </c>
      <c r="E177" s="48" t="s">
        <v>299</v>
      </c>
      <c r="F177" s="48" t="s">
        <v>90</v>
      </c>
      <c r="G177" s="48" t="s">
        <v>91</v>
      </c>
      <c r="H177" s="44" t="s">
        <v>459</v>
      </c>
      <c r="I177" s="44" t="s">
        <v>633</v>
      </c>
      <c r="J177" s="44">
        <f>YEAR(A177)</f>
        <v>2023</v>
      </c>
    </row>
    <row r="178" spans="1:10" ht="12" customHeight="1" x14ac:dyDescent="0.25">
      <c r="A178" s="43">
        <v>44950</v>
      </c>
      <c r="B178" s="47">
        <v>15143</v>
      </c>
      <c r="C178" s="44" t="s">
        <v>444</v>
      </c>
      <c r="D178" s="45">
        <v>132.1</v>
      </c>
      <c r="E178" s="48" t="s">
        <v>89</v>
      </c>
      <c r="F178" s="48" t="s">
        <v>90</v>
      </c>
      <c r="G178" s="48" t="s">
        <v>91</v>
      </c>
      <c r="J178" s="44">
        <f>YEAR(A178)</f>
        <v>2023</v>
      </c>
    </row>
    <row r="179" spans="1:10" ht="12" customHeight="1" x14ac:dyDescent="0.25">
      <c r="A179" s="43">
        <v>44950</v>
      </c>
      <c r="B179" s="47">
        <v>15143</v>
      </c>
      <c r="C179" s="44" t="s">
        <v>444</v>
      </c>
      <c r="D179" s="45">
        <v>43.43</v>
      </c>
      <c r="E179" s="48" t="s">
        <v>157</v>
      </c>
      <c r="F179" s="48" t="s">
        <v>96</v>
      </c>
      <c r="G179" s="48" t="s">
        <v>91</v>
      </c>
      <c r="J179" s="44">
        <f>YEAR(A179)</f>
        <v>2023</v>
      </c>
    </row>
    <row r="180" spans="1:10" ht="12" customHeight="1" x14ac:dyDescent="0.25">
      <c r="A180" s="43">
        <v>44950</v>
      </c>
      <c r="B180" s="47">
        <v>15143</v>
      </c>
      <c r="C180" s="44" t="s">
        <v>444</v>
      </c>
      <c r="D180" s="45">
        <v>6.79</v>
      </c>
      <c r="E180" s="48" t="s">
        <v>157</v>
      </c>
      <c r="F180" s="48" t="s">
        <v>96</v>
      </c>
      <c r="G180" s="48" t="s">
        <v>93</v>
      </c>
      <c r="J180" s="44">
        <f>YEAR(A180)</f>
        <v>2023</v>
      </c>
    </row>
    <row r="181" spans="1:10" ht="12" customHeight="1" x14ac:dyDescent="0.25">
      <c r="A181" s="43">
        <v>44952</v>
      </c>
      <c r="B181" s="47">
        <v>15144</v>
      </c>
      <c r="C181" s="44" t="s">
        <v>621</v>
      </c>
      <c r="D181" s="45">
        <v>2</v>
      </c>
      <c r="E181" s="48" t="s">
        <v>1080</v>
      </c>
      <c r="F181" s="48" t="s">
        <v>1078</v>
      </c>
      <c r="G181" s="48" t="s">
        <v>91</v>
      </c>
      <c r="J181" s="44">
        <f>YEAR(A181)</f>
        <v>2023</v>
      </c>
    </row>
    <row r="182" spans="1:10" ht="12" customHeight="1" x14ac:dyDescent="0.25">
      <c r="A182" s="43">
        <v>44952</v>
      </c>
      <c r="B182" s="47">
        <v>15144</v>
      </c>
      <c r="C182" s="44" t="s">
        <v>621</v>
      </c>
      <c r="D182" s="45">
        <v>-2</v>
      </c>
      <c r="E182" s="48" t="s">
        <v>1080</v>
      </c>
      <c r="F182" s="48" t="s">
        <v>1078</v>
      </c>
      <c r="G182" s="48" t="s">
        <v>91</v>
      </c>
      <c r="J182" s="44">
        <f>YEAR(A182)</f>
        <v>2023</v>
      </c>
    </row>
    <row r="183" spans="1:10" ht="12" customHeight="1" x14ac:dyDescent="0.25">
      <c r="A183" s="43">
        <v>44952</v>
      </c>
      <c r="B183" s="47">
        <v>15145</v>
      </c>
      <c r="C183" s="44" t="s">
        <v>501</v>
      </c>
      <c r="D183" s="45">
        <v>4.0999999999999996</v>
      </c>
      <c r="E183" s="48" t="s">
        <v>89</v>
      </c>
      <c r="F183" s="48" t="s">
        <v>90</v>
      </c>
      <c r="G183" s="48" t="s">
        <v>91</v>
      </c>
      <c r="J183" s="44">
        <f>YEAR(A183)</f>
        <v>2023</v>
      </c>
    </row>
    <row r="184" spans="1:10" ht="12" customHeight="1" x14ac:dyDescent="0.25">
      <c r="A184" s="43">
        <v>44952</v>
      </c>
      <c r="B184" s="47">
        <v>15145</v>
      </c>
      <c r="C184" s="44" t="s">
        <v>501</v>
      </c>
      <c r="D184" s="45">
        <v>-4.0999999999999996</v>
      </c>
      <c r="E184" s="48" t="s">
        <v>299</v>
      </c>
      <c r="F184" s="48" t="s">
        <v>90</v>
      </c>
      <c r="G184" s="48" t="s">
        <v>305</v>
      </c>
      <c r="H184" s="44" t="s">
        <v>442</v>
      </c>
      <c r="I184" s="44" t="s">
        <v>632</v>
      </c>
      <c r="J184" s="44">
        <f>YEAR(A184)</f>
        <v>2023</v>
      </c>
    </row>
    <row r="185" spans="1:10" ht="12" customHeight="1" x14ac:dyDescent="0.25">
      <c r="A185" s="43">
        <v>44952</v>
      </c>
      <c r="B185" s="47">
        <v>15146</v>
      </c>
      <c r="C185" s="44" t="s">
        <v>499</v>
      </c>
      <c r="D185" s="45">
        <v>4.7</v>
      </c>
      <c r="E185" s="48" t="s">
        <v>89</v>
      </c>
      <c r="F185" s="48" t="s">
        <v>90</v>
      </c>
      <c r="G185" s="48" t="s">
        <v>91</v>
      </c>
      <c r="J185" s="44">
        <f>YEAR(A185)</f>
        <v>2023</v>
      </c>
    </row>
    <row r="186" spans="1:10" ht="12" customHeight="1" x14ac:dyDescent="0.25">
      <c r="A186" s="43">
        <v>44952</v>
      </c>
      <c r="B186" s="47">
        <v>15146</v>
      </c>
      <c r="C186" s="44" t="s">
        <v>499</v>
      </c>
      <c r="D186" s="45">
        <v>-4.7</v>
      </c>
      <c r="E186" s="48" t="s">
        <v>299</v>
      </c>
      <c r="F186" s="48" t="s">
        <v>90</v>
      </c>
      <c r="G186" s="48" t="s">
        <v>305</v>
      </c>
      <c r="H186" s="44" t="s">
        <v>442</v>
      </c>
      <c r="I186" s="44" t="s">
        <v>632</v>
      </c>
      <c r="J186" s="44">
        <f>YEAR(A186)</f>
        <v>2023</v>
      </c>
    </row>
    <row r="187" spans="1:10" ht="12" customHeight="1" x14ac:dyDescent="0.25">
      <c r="A187" s="43">
        <v>44953</v>
      </c>
      <c r="B187" s="47">
        <v>15147</v>
      </c>
      <c r="C187" s="44" t="s">
        <v>443</v>
      </c>
      <c r="D187" s="45">
        <v>3.75</v>
      </c>
      <c r="E187" s="48" t="s">
        <v>89</v>
      </c>
      <c r="F187" s="48" t="s">
        <v>90</v>
      </c>
      <c r="G187" s="48" t="s">
        <v>91</v>
      </c>
      <c r="J187" s="44">
        <f>YEAR(A187)</f>
        <v>2023</v>
      </c>
    </row>
    <row r="188" spans="1:10" ht="12" customHeight="1" x14ac:dyDescent="0.25">
      <c r="A188" s="43">
        <v>44953</v>
      </c>
      <c r="B188" s="47">
        <v>15147</v>
      </c>
      <c r="C188" s="44" t="s">
        <v>443</v>
      </c>
      <c r="D188" s="45">
        <v>-12.75</v>
      </c>
      <c r="E188" s="48" t="s">
        <v>299</v>
      </c>
      <c r="F188" s="48" t="s">
        <v>90</v>
      </c>
      <c r="G188" s="48" t="s">
        <v>305</v>
      </c>
      <c r="I188" s="44" t="s">
        <v>632</v>
      </c>
      <c r="J188" s="44">
        <f>YEAR(A188)</f>
        <v>2023</v>
      </c>
    </row>
    <row r="189" spans="1:10" ht="12" customHeight="1" x14ac:dyDescent="0.25">
      <c r="A189" s="43">
        <v>44953</v>
      </c>
      <c r="B189" s="47">
        <v>15147</v>
      </c>
      <c r="C189" s="44" t="s">
        <v>443</v>
      </c>
      <c r="D189" s="45">
        <v>9</v>
      </c>
      <c r="E189" s="48" t="s">
        <v>299</v>
      </c>
      <c r="F189" s="48" t="s">
        <v>321</v>
      </c>
      <c r="G189" s="48" t="s">
        <v>99</v>
      </c>
      <c r="J189" s="44">
        <f>YEAR(A189)</f>
        <v>2023</v>
      </c>
    </row>
    <row r="190" spans="1:10" ht="12" customHeight="1" x14ac:dyDescent="0.25">
      <c r="A190" s="43">
        <v>44953</v>
      </c>
      <c r="B190" s="47">
        <v>15148</v>
      </c>
      <c r="C190" s="44" t="s">
        <v>503</v>
      </c>
      <c r="D190" s="45">
        <v>26.13</v>
      </c>
      <c r="E190" s="48" t="s">
        <v>89</v>
      </c>
      <c r="F190" s="48" t="s">
        <v>90</v>
      </c>
      <c r="G190" s="48" t="s">
        <v>91</v>
      </c>
      <c r="J190" s="44">
        <f>YEAR(A190)</f>
        <v>2023</v>
      </c>
    </row>
    <row r="191" spans="1:10" ht="12" customHeight="1" x14ac:dyDescent="0.25">
      <c r="A191" s="43">
        <v>44953</v>
      </c>
      <c r="B191" s="47">
        <v>15148</v>
      </c>
      <c r="C191" s="44" t="s">
        <v>503</v>
      </c>
      <c r="D191" s="45">
        <v>-26.13</v>
      </c>
      <c r="E191" s="48" t="s">
        <v>299</v>
      </c>
      <c r="F191" s="48" t="s">
        <v>90</v>
      </c>
      <c r="G191" s="48" t="s">
        <v>305</v>
      </c>
      <c r="I191" s="44" t="s">
        <v>632</v>
      </c>
      <c r="J191" s="44">
        <f>YEAR(A191)</f>
        <v>2023</v>
      </c>
    </row>
    <row r="192" spans="1:10" ht="12" customHeight="1" x14ac:dyDescent="0.25">
      <c r="A192" s="43">
        <v>44953</v>
      </c>
      <c r="B192" s="47">
        <v>15149</v>
      </c>
      <c r="C192" s="44" t="s">
        <v>463</v>
      </c>
      <c r="D192" s="45">
        <v>29.73</v>
      </c>
      <c r="E192" s="48" t="s">
        <v>89</v>
      </c>
      <c r="F192" s="48" t="s">
        <v>90</v>
      </c>
      <c r="G192" s="48" t="s">
        <v>91</v>
      </c>
      <c r="J192" s="44">
        <f>YEAR(A192)</f>
        <v>2023</v>
      </c>
    </row>
    <row r="193" spans="1:10" ht="12" customHeight="1" x14ac:dyDescent="0.25">
      <c r="A193" s="43">
        <v>44953</v>
      </c>
      <c r="B193" s="47">
        <v>15149</v>
      </c>
      <c r="C193" s="44" t="s">
        <v>463</v>
      </c>
      <c r="D193" s="45">
        <v>-29.73</v>
      </c>
      <c r="E193" s="48" t="s">
        <v>299</v>
      </c>
      <c r="F193" s="48" t="s">
        <v>90</v>
      </c>
      <c r="G193" s="48" t="s">
        <v>305</v>
      </c>
      <c r="I193" s="44" t="s">
        <v>632</v>
      </c>
      <c r="J193" s="44">
        <f>YEAR(A193)</f>
        <v>2023</v>
      </c>
    </row>
    <row r="194" spans="1:10" ht="12" customHeight="1" x14ac:dyDescent="0.25">
      <c r="A194" s="43">
        <v>44953</v>
      </c>
      <c r="B194" s="47">
        <v>15150</v>
      </c>
      <c r="C194" s="44" t="s">
        <v>622</v>
      </c>
      <c r="D194" s="45">
        <v>100</v>
      </c>
      <c r="E194" s="48" t="s">
        <v>299</v>
      </c>
      <c r="F194" s="48" t="s">
        <v>321</v>
      </c>
      <c r="G194" s="48" t="s">
        <v>93</v>
      </c>
      <c r="J194" s="44">
        <f>YEAR(A194)</f>
        <v>2023</v>
      </c>
    </row>
    <row r="195" spans="1:10" ht="12" customHeight="1" x14ac:dyDescent="0.25">
      <c r="A195" s="43">
        <v>44953</v>
      </c>
      <c r="B195" s="47">
        <v>15150</v>
      </c>
      <c r="C195" s="44" t="s">
        <v>622</v>
      </c>
      <c r="D195" s="45">
        <v>-100</v>
      </c>
      <c r="E195" s="48" t="s">
        <v>299</v>
      </c>
      <c r="F195" s="48" t="s">
        <v>101</v>
      </c>
      <c r="G195" s="48" t="s">
        <v>91</v>
      </c>
      <c r="J195" s="44">
        <f>YEAR(A195)</f>
        <v>2023</v>
      </c>
    </row>
    <row r="196" spans="1:10" ht="12" customHeight="1" x14ac:dyDescent="0.25">
      <c r="A196" s="43">
        <v>44958</v>
      </c>
      <c r="B196" s="47">
        <v>15151</v>
      </c>
      <c r="C196" s="44" t="s">
        <v>474</v>
      </c>
      <c r="D196" s="45">
        <v>20</v>
      </c>
      <c r="E196" s="48" t="s">
        <v>89</v>
      </c>
      <c r="F196" s="48" t="s">
        <v>90</v>
      </c>
      <c r="G196" s="48" t="s">
        <v>91</v>
      </c>
      <c r="J196" s="44">
        <f>YEAR(A196)</f>
        <v>2023</v>
      </c>
    </row>
    <row r="197" spans="1:10" ht="12" customHeight="1" x14ac:dyDescent="0.25">
      <c r="A197" s="43">
        <v>44958</v>
      </c>
      <c r="B197" s="47">
        <v>15151</v>
      </c>
      <c r="C197" s="44" t="s">
        <v>441</v>
      </c>
      <c r="D197" s="45">
        <v>-33.700000000000003</v>
      </c>
      <c r="E197" s="48" t="s">
        <v>299</v>
      </c>
      <c r="F197" s="48" t="s">
        <v>101</v>
      </c>
      <c r="G197" s="48" t="s">
        <v>91</v>
      </c>
      <c r="J197" s="44">
        <f>YEAR(A197)</f>
        <v>2023</v>
      </c>
    </row>
    <row r="198" spans="1:10" ht="12" customHeight="1" x14ac:dyDescent="0.25">
      <c r="A198" s="43">
        <v>44958</v>
      </c>
      <c r="B198" s="47">
        <v>15151</v>
      </c>
      <c r="C198" s="44" t="s">
        <v>623</v>
      </c>
      <c r="D198" s="45">
        <v>1</v>
      </c>
      <c r="E198" s="48" t="s">
        <v>145</v>
      </c>
      <c r="F198" s="48" t="s">
        <v>135</v>
      </c>
      <c r="G198" s="48" t="s">
        <v>91</v>
      </c>
      <c r="J198" s="44">
        <f>YEAR(A198)</f>
        <v>2023</v>
      </c>
    </row>
    <row r="199" spans="1:10" ht="12" customHeight="1" x14ac:dyDescent="0.25">
      <c r="A199" s="43">
        <v>44954</v>
      </c>
      <c r="B199" s="47">
        <v>15151</v>
      </c>
      <c r="C199" s="44" t="s">
        <v>624</v>
      </c>
      <c r="D199" s="45">
        <v>5</v>
      </c>
      <c r="E199" s="48" t="s">
        <v>145</v>
      </c>
      <c r="F199" s="48" t="s">
        <v>116</v>
      </c>
      <c r="G199" s="48" t="s">
        <v>91</v>
      </c>
      <c r="J199" s="44">
        <f>YEAR(A199)</f>
        <v>2023</v>
      </c>
    </row>
    <row r="200" spans="1:10" ht="12" customHeight="1" x14ac:dyDescent="0.25">
      <c r="A200" s="43">
        <v>44954</v>
      </c>
      <c r="B200" s="47">
        <v>15151</v>
      </c>
      <c r="C200" s="44" t="s">
        <v>474</v>
      </c>
      <c r="D200" s="45">
        <v>4</v>
      </c>
      <c r="E200" s="48" t="s">
        <v>89</v>
      </c>
      <c r="F200" s="48" t="s">
        <v>90</v>
      </c>
      <c r="G200" s="48" t="s">
        <v>91</v>
      </c>
      <c r="J200" s="44">
        <f>YEAR(A200)</f>
        <v>2023</v>
      </c>
    </row>
    <row r="201" spans="1:10" ht="12" customHeight="1" x14ac:dyDescent="0.25">
      <c r="A201" s="43">
        <v>44961</v>
      </c>
      <c r="B201" s="47">
        <v>15151</v>
      </c>
      <c r="C201" s="44" t="s">
        <v>474</v>
      </c>
      <c r="D201" s="45">
        <v>2.7</v>
      </c>
      <c r="E201" s="48" t="s">
        <v>89</v>
      </c>
      <c r="F201" s="48" t="s">
        <v>90</v>
      </c>
      <c r="G201" s="48" t="s">
        <v>91</v>
      </c>
      <c r="J201" s="44">
        <f>YEAR(A201)</f>
        <v>2023</v>
      </c>
    </row>
    <row r="202" spans="1:10" ht="12" customHeight="1" x14ac:dyDescent="0.25">
      <c r="A202" s="43">
        <v>44966</v>
      </c>
      <c r="B202" s="47">
        <v>15151</v>
      </c>
      <c r="C202" s="44" t="s">
        <v>507</v>
      </c>
      <c r="D202" s="45">
        <v>1</v>
      </c>
      <c r="E202" s="48" t="s">
        <v>180</v>
      </c>
      <c r="F202" s="48" t="s">
        <v>90</v>
      </c>
      <c r="G202" s="48" t="s">
        <v>91</v>
      </c>
      <c r="J202" s="44">
        <f>YEAR(A202)</f>
        <v>2023</v>
      </c>
    </row>
    <row r="203" spans="1:10" ht="12" customHeight="1" x14ac:dyDescent="0.25">
      <c r="A203" s="43">
        <v>44956</v>
      </c>
      <c r="B203" s="47">
        <v>15152</v>
      </c>
      <c r="C203" s="44" t="s">
        <v>444</v>
      </c>
      <c r="D203" s="45">
        <v>-45.67</v>
      </c>
      <c r="E203" s="48" t="s">
        <v>299</v>
      </c>
      <c r="F203" s="48" t="s">
        <v>90</v>
      </c>
      <c r="G203" s="48" t="s">
        <v>91</v>
      </c>
      <c r="H203" s="44" t="s">
        <v>459</v>
      </c>
      <c r="I203" s="44" t="s">
        <v>633</v>
      </c>
      <c r="J203" s="44">
        <f>YEAR(A203)</f>
        <v>2023</v>
      </c>
    </row>
    <row r="204" spans="1:10" ht="12" customHeight="1" x14ac:dyDescent="0.25">
      <c r="A204" s="43">
        <v>44956</v>
      </c>
      <c r="B204" s="47">
        <v>15152</v>
      </c>
      <c r="C204" s="44" t="s">
        <v>444</v>
      </c>
      <c r="D204" s="45">
        <v>45.67</v>
      </c>
      <c r="E204" s="48" t="s">
        <v>89</v>
      </c>
      <c r="F204" s="48" t="s">
        <v>90</v>
      </c>
      <c r="G204" s="48" t="s">
        <v>91</v>
      </c>
      <c r="J204" s="44">
        <f>YEAR(A204)</f>
        <v>2023</v>
      </c>
    </row>
    <row r="205" spans="1:10" ht="12" customHeight="1" x14ac:dyDescent="0.25">
      <c r="A205" s="43">
        <v>44958</v>
      </c>
      <c r="B205" s="47">
        <v>15153</v>
      </c>
      <c r="C205" s="44" t="s">
        <v>468</v>
      </c>
      <c r="D205" s="45">
        <v>15.01</v>
      </c>
      <c r="E205" s="48" t="s">
        <v>197</v>
      </c>
      <c r="F205" s="48" t="s">
        <v>90</v>
      </c>
      <c r="G205" s="48" t="s">
        <v>91</v>
      </c>
      <c r="J205" s="44">
        <f>YEAR(A205)</f>
        <v>2023</v>
      </c>
    </row>
    <row r="206" spans="1:10" ht="12" customHeight="1" x14ac:dyDescent="0.25">
      <c r="A206" s="43">
        <v>44958</v>
      </c>
      <c r="B206" s="47">
        <v>15153</v>
      </c>
      <c r="C206" s="44" t="s">
        <v>468</v>
      </c>
      <c r="D206" s="45">
        <v>-15.01</v>
      </c>
      <c r="E206" s="48" t="s">
        <v>299</v>
      </c>
      <c r="F206" s="48" t="s">
        <v>90</v>
      </c>
      <c r="G206" s="48" t="s">
        <v>305</v>
      </c>
      <c r="I206" s="44" t="s">
        <v>656</v>
      </c>
      <c r="J206" s="44">
        <f>YEAR(A206)</f>
        <v>2023</v>
      </c>
    </row>
    <row r="207" spans="1:10" ht="12" customHeight="1" x14ac:dyDescent="0.25">
      <c r="A207" s="43">
        <v>44958</v>
      </c>
      <c r="B207" s="47">
        <v>15154</v>
      </c>
      <c r="C207" s="44" t="s">
        <v>501</v>
      </c>
      <c r="D207" s="45">
        <v>9.3000000000000007</v>
      </c>
      <c r="E207" s="48" t="s">
        <v>89</v>
      </c>
      <c r="F207" s="48" t="s">
        <v>90</v>
      </c>
      <c r="G207" s="48" t="s">
        <v>91</v>
      </c>
      <c r="J207" s="44">
        <f>YEAR(A207)</f>
        <v>2023</v>
      </c>
    </row>
    <row r="208" spans="1:10" ht="12" customHeight="1" x14ac:dyDescent="0.25">
      <c r="A208" s="43">
        <v>44958</v>
      </c>
      <c r="B208" s="47">
        <v>15154</v>
      </c>
      <c r="C208" s="44" t="s">
        <v>501</v>
      </c>
      <c r="D208" s="45">
        <v>-9.3000000000000007</v>
      </c>
      <c r="E208" s="48" t="s">
        <v>299</v>
      </c>
      <c r="F208" s="48" t="s">
        <v>90</v>
      </c>
      <c r="G208" s="48" t="s">
        <v>305</v>
      </c>
      <c r="I208" s="44" t="s">
        <v>656</v>
      </c>
      <c r="J208" s="44">
        <f>YEAR(A208)</f>
        <v>2023</v>
      </c>
    </row>
    <row r="209" spans="1:10" ht="12" customHeight="1" x14ac:dyDescent="0.25">
      <c r="A209" s="43">
        <v>44958</v>
      </c>
      <c r="B209" s="47">
        <v>15155</v>
      </c>
      <c r="C209" s="44" t="s">
        <v>600</v>
      </c>
      <c r="D209" s="45">
        <v>2.88</v>
      </c>
      <c r="E209" s="48" t="s">
        <v>89</v>
      </c>
      <c r="F209" s="48" t="s">
        <v>90</v>
      </c>
      <c r="G209" s="48" t="s">
        <v>91</v>
      </c>
      <c r="J209" s="44">
        <f>YEAR(A209)</f>
        <v>2023</v>
      </c>
    </row>
    <row r="210" spans="1:10" ht="12" customHeight="1" x14ac:dyDescent="0.25">
      <c r="A210" s="43">
        <v>44958</v>
      </c>
      <c r="B210" s="47">
        <v>15155</v>
      </c>
      <c r="C210" s="44" t="s">
        <v>600</v>
      </c>
      <c r="D210" s="45">
        <v>-2.88</v>
      </c>
      <c r="E210" s="48" t="s">
        <v>299</v>
      </c>
      <c r="F210" s="48" t="s">
        <v>90</v>
      </c>
      <c r="G210" s="48" t="s">
        <v>305</v>
      </c>
      <c r="I210" s="44" t="s">
        <v>656</v>
      </c>
      <c r="J210" s="44">
        <f>YEAR(A210)</f>
        <v>2023</v>
      </c>
    </row>
    <row r="211" spans="1:10" ht="12" customHeight="1" x14ac:dyDescent="0.25">
      <c r="A211" s="43">
        <v>44959</v>
      </c>
      <c r="B211" s="47">
        <v>15156</v>
      </c>
      <c r="C211" s="44" t="s">
        <v>463</v>
      </c>
      <c r="D211" s="45">
        <v>62.51</v>
      </c>
      <c r="E211" s="48" t="s">
        <v>89</v>
      </c>
      <c r="F211" s="48" t="s">
        <v>90</v>
      </c>
      <c r="G211" s="48" t="s">
        <v>91</v>
      </c>
      <c r="J211" s="44">
        <f>YEAR(A211)</f>
        <v>2023</v>
      </c>
    </row>
    <row r="212" spans="1:10" ht="12" customHeight="1" x14ac:dyDescent="0.25">
      <c r="A212" s="43">
        <v>44959</v>
      </c>
      <c r="B212" s="47">
        <v>15156</v>
      </c>
      <c r="C212" s="44" t="s">
        <v>463</v>
      </c>
      <c r="D212" s="45">
        <v>-62.51</v>
      </c>
      <c r="E212" s="48" t="s">
        <v>299</v>
      </c>
      <c r="F212" s="48" t="s">
        <v>90</v>
      </c>
      <c r="G212" s="48" t="s">
        <v>305</v>
      </c>
      <c r="I212" s="44" t="s">
        <v>656</v>
      </c>
      <c r="J212" s="44">
        <f>YEAR(A212)</f>
        <v>2023</v>
      </c>
    </row>
    <row r="213" spans="1:10" ht="12" customHeight="1" x14ac:dyDescent="0.25">
      <c r="A213" s="43">
        <v>44960</v>
      </c>
      <c r="B213" s="47">
        <v>15157</v>
      </c>
      <c r="C213" s="44" t="s">
        <v>493</v>
      </c>
      <c r="D213" s="45">
        <v>19.989999999999998</v>
      </c>
      <c r="E213" s="48" t="s">
        <v>197</v>
      </c>
      <c r="F213" s="48" t="s">
        <v>96</v>
      </c>
      <c r="G213" s="48" t="s">
        <v>93</v>
      </c>
      <c r="J213" s="44">
        <f>YEAR(A213)</f>
        <v>2023</v>
      </c>
    </row>
    <row r="214" spans="1:10" ht="12" customHeight="1" x14ac:dyDescent="0.25">
      <c r="A214" s="43">
        <v>44960</v>
      </c>
      <c r="B214" s="47">
        <v>15157</v>
      </c>
      <c r="C214" s="44" t="s">
        <v>493</v>
      </c>
      <c r="D214" s="45">
        <v>10.199999999999999</v>
      </c>
      <c r="E214" s="48" t="s">
        <v>89</v>
      </c>
      <c r="F214" s="48" t="s">
        <v>90</v>
      </c>
      <c r="G214" s="48" t="s">
        <v>91</v>
      </c>
      <c r="J214" s="44">
        <f>YEAR(A214)</f>
        <v>2023</v>
      </c>
    </row>
    <row r="215" spans="1:10" ht="12" customHeight="1" x14ac:dyDescent="0.25">
      <c r="A215" s="43">
        <v>44960</v>
      </c>
      <c r="B215" s="47">
        <v>15157</v>
      </c>
      <c r="C215" s="44" t="s">
        <v>493</v>
      </c>
      <c r="D215" s="45">
        <v>-30.19</v>
      </c>
      <c r="E215" s="48" t="s">
        <v>299</v>
      </c>
      <c r="F215" s="48" t="s">
        <v>90</v>
      </c>
      <c r="G215" s="48" t="s">
        <v>305</v>
      </c>
      <c r="I215" s="44" t="s">
        <v>656</v>
      </c>
      <c r="J215" s="44">
        <f>YEAR(A215)</f>
        <v>2023</v>
      </c>
    </row>
    <row r="216" spans="1:10" ht="12" customHeight="1" x14ac:dyDescent="0.25">
      <c r="A216" s="43">
        <v>44961</v>
      </c>
      <c r="B216" s="47">
        <v>15158</v>
      </c>
      <c r="C216" s="44" t="s">
        <v>501</v>
      </c>
      <c r="D216" s="45">
        <v>4.3</v>
      </c>
      <c r="E216" s="48" t="s">
        <v>89</v>
      </c>
      <c r="F216" s="48" t="s">
        <v>90</v>
      </c>
      <c r="G216" s="48" t="s">
        <v>91</v>
      </c>
      <c r="J216" s="44">
        <f>YEAR(A216)</f>
        <v>2023</v>
      </c>
    </row>
    <row r="217" spans="1:10" ht="12" customHeight="1" x14ac:dyDescent="0.25">
      <c r="A217" s="43">
        <v>44961</v>
      </c>
      <c r="B217" s="47">
        <v>15158</v>
      </c>
      <c r="C217" s="44" t="s">
        <v>501</v>
      </c>
      <c r="D217" s="45">
        <v>-4.3</v>
      </c>
      <c r="E217" s="48" t="s">
        <v>299</v>
      </c>
      <c r="F217" s="48" t="s">
        <v>90</v>
      </c>
      <c r="G217" s="48" t="s">
        <v>305</v>
      </c>
      <c r="I217" s="44" t="s">
        <v>656</v>
      </c>
      <c r="J217" s="44">
        <f>YEAR(A217)</f>
        <v>2023</v>
      </c>
    </row>
    <row r="218" spans="1:10" ht="12" customHeight="1" x14ac:dyDescent="0.25">
      <c r="A218" s="43">
        <v>44961</v>
      </c>
      <c r="B218" s="47">
        <v>15159</v>
      </c>
      <c r="C218" s="44" t="s">
        <v>505</v>
      </c>
      <c r="D218" s="45">
        <v>93.28</v>
      </c>
      <c r="E218" s="48" t="s">
        <v>89</v>
      </c>
      <c r="F218" s="48" t="s">
        <v>90</v>
      </c>
      <c r="G218" s="48" t="s">
        <v>91</v>
      </c>
      <c r="J218" s="44">
        <f>YEAR(A218)</f>
        <v>2023</v>
      </c>
    </row>
    <row r="219" spans="1:10" ht="12" customHeight="1" x14ac:dyDescent="0.25">
      <c r="A219" s="43">
        <v>44961</v>
      </c>
      <c r="B219" s="47">
        <v>15159</v>
      </c>
      <c r="C219" s="44" t="s">
        <v>505</v>
      </c>
      <c r="D219" s="45">
        <v>-93.28</v>
      </c>
      <c r="E219" s="48" t="s">
        <v>299</v>
      </c>
      <c r="F219" s="48" t="s">
        <v>90</v>
      </c>
      <c r="G219" s="48" t="s">
        <v>305</v>
      </c>
      <c r="I219" s="44" t="s">
        <v>656</v>
      </c>
      <c r="J219" s="44">
        <f>YEAR(A219)</f>
        <v>2023</v>
      </c>
    </row>
    <row r="220" spans="1:10" ht="12" customHeight="1" x14ac:dyDescent="0.25">
      <c r="A220" s="43">
        <v>44961</v>
      </c>
      <c r="B220" s="47">
        <v>15160</v>
      </c>
      <c r="C220" s="44" t="s">
        <v>446</v>
      </c>
      <c r="D220" s="45">
        <v>120.05</v>
      </c>
      <c r="E220" s="48" t="s">
        <v>89</v>
      </c>
      <c r="F220" s="48" t="s">
        <v>90</v>
      </c>
      <c r="G220" s="48" t="s">
        <v>91</v>
      </c>
      <c r="J220" s="44">
        <f>YEAR(A220)</f>
        <v>2023</v>
      </c>
    </row>
    <row r="221" spans="1:10" ht="12" customHeight="1" x14ac:dyDescent="0.25">
      <c r="A221" s="43">
        <v>44961</v>
      </c>
      <c r="B221" s="47">
        <v>15160</v>
      </c>
      <c r="C221" s="44" t="s">
        <v>446</v>
      </c>
      <c r="D221" s="45">
        <v>-120.05</v>
      </c>
      <c r="E221" s="48" t="s">
        <v>299</v>
      </c>
      <c r="F221" s="48" t="s">
        <v>90</v>
      </c>
      <c r="G221" s="48" t="s">
        <v>305</v>
      </c>
      <c r="I221" s="44" t="s">
        <v>656</v>
      </c>
      <c r="J221" s="44">
        <f>YEAR(A221)</f>
        <v>2023</v>
      </c>
    </row>
    <row r="222" spans="1:10" ht="12" customHeight="1" x14ac:dyDescent="0.25">
      <c r="A222" s="43">
        <v>44964</v>
      </c>
      <c r="B222" s="47">
        <v>15161</v>
      </c>
      <c r="C222" s="44" t="s">
        <v>480</v>
      </c>
      <c r="D222" s="45">
        <v>2.9</v>
      </c>
      <c r="E222" s="48" t="s">
        <v>145</v>
      </c>
      <c r="F222" s="48" t="s">
        <v>128</v>
      </c>
      <c r="G222" s="48" t="s">
        <v>115</v>
      </c>
      <c r="J222" s="44">
        <f>YEAR(A222)</f>
        <v>2023</v>
      </c>
    </row>
    <row r="223" spans="1:10" ht="12" customHeight="1" x14ac:dyDescent="0.25">
      <c r="A223" s="43">
        <v>44964</v>
      </c>
      <c r="B223" s="47">
        <v>15161</v>
      </c>
      <c r="C223" s="44" t="s">
        <v>480</v>
      </c>
      <c r="D223" s="45">
        <v>-2.9</v>
      </c>
      <c r="E223" s="48" t="s">
        <v>299</v>
      </c>
      <c r="F223" s="48" t="s">
        <v>90</v>
      </c>
      <c r="G223" s="48" t="s">
        <v>305</v>
      </c>
      <c r="I223" s="44" t="s">
        <v>656</v>
      </c>
      <c r="J223" s="44">
        <f>YEAR(A223)</f>
        <v>2023</v>
      </c>
    </row>
    <row r="224" spans="1:10" ht="12" customHeight="1" x14ac:dyDescent="0.25">
      <c r="A224" s="43">
        <v>44964</v>
      </c>
      <c r="B224" s="47">
        <v>15162</v>
      </c>
      <c r="C224" s="44" t="s">
        <v>475</v>
      </c>
      <c r="D224" s="45">
        <v>22.48</v>
      </c>
      <c r="E224" s="48" t="s">
        <v>89</v>
      </c>
      <c r="F224" s="48" t="s">
        <v>90</v>
      </c>
      <c r="G224" s="48" t="s">
        <v>91</v>
      </c>
      <c r="J224" s="44">
        <f>YEAR(A224)</f>
        <v>2023</v>
      </c>
    </row>
    <row r="225" spans="1:11" ht="12" customHeight="1" x14ac:dyDescent="0.25">
      <c r="A225" s="43">
        <v>44964</v>
      </c>
      <c r="B225" s="47">
        <v>15162</v>
      </c>
      <c r="C225" s="44" t="s">
        <v>475</v>
      </c>
      <c r="D225" s="45">
        <v>-22.48</v>
      </c>
      <c r="E225" s="48" t="s">
        <v>299</v>
      </c>
      <c r="F225" s="48" t="s">
        <v>90</v>
      </c>
      <c r="G225" s="48" t="s">
        <v>305</v>
      </c>
      <c r="I225" s="44" t="s">
        <v>656</v>
      </c>
      <c r="J225" s="44">
        <f>YEAR(A225)</f>
        <v>2023</v>
      </c>
    </row>
    <row r="226" spans="1:11" ht="12" customHeight="1" x14ac:dyDescent="0.25">
      <c r="A226" s="43">
        <v>44964</v>
      </c>
      <c r="B226" s="47">
        <v>15163</v>
      </c>
      <c r="C226" s="44" t="s">
        <v>453</v>
      </c>
      <c r="D226" s="45">
        <v>25.8</v>
      </c>
      <c r="E226" s="48" t="s">
        <v>89</v>
      </c>
      <c r="F226" s="48" t="s">
        <v>90</v>
      </c>
      <c r="G226" s="48" t="s">
        <v>91</v>
      </c>
      <c r="J226" s="44">
        <f>YEAR(A226)</f>
        <v>2023</v>
      </c>
    </row>
    <row r="227" spans="1:11" ht="12" customHeight="1" x14ac:dyDescent="0.25">
      <c r="A227" s="43">
        <v>44964</v>
      </c>
      <c r="B227" s="47">
        <v>15163</v>
      </c>
      <c r="C227" s="44" t="s">
        <v>453</v>
      </c>
      <c r="D227" s="45">
        <v>-25.8</v>
      </c>
      <c r="E227" s="48" t="s">
        <v>299</v>
      </c>
      <c r="F227" s="48" t="s">
        <v>90</v>
      </c>
      <c r="G227" s="48" t="s">
        <v>305</v>
      </c>
      <c r="I227" s="44" t="s">
        <v>656</v>
      </c>
      <c r="J227" s="44">
        <f>YEAR(A227)</f>
        <v>2023</v>
      </c>
    </row>
    <row r="228" spans="1:11" ht="12" customHeight="1" x14ac:dyDescent="0.25">
      <c r="A228" s="43">
        <v>44964</v>
      </c>
      <c r="B228" s="47">
        <v>15164</v>
      </c>
      <c r="C228" s="44" t="s">
        <v>481</v>
      </c>
      <c r="D228" s="45">
        <v>16.600000000000001</v>
      </c>
      <c r="E228" s="48" t="s">
        <v>89</v>
      </c>
      <c r="F228" s="48" t="s">
        <v>90</v>
      </c>
      <c r="G228" s="48" t="s">
        <v>91</v>
      </c>
      <c r="J228" s="44">
        <f>YEAR(A228)</f>
        <v>2023</v>
      </c>
    </row>
    <row r="229" spans="1:11" ht="12" customHeight="1" x14ac:dyDescent="0.25">
      <c r="A229" s="43">
        <v>44964</v>
      </c>
      <c r="B229" s="47">
        <v>15164</v>
      </c>
      <c r="C229" s="44" t="s">
        <v>481</v>
      </c>
      <c r="D229" s="45">
        <v>-16.600000000000001</v>
      </c>
      <c r="E229" s="48" t="s">
        <v>299</v>
      </c>
      <c r="F229" s="48" t="s">
        <v>90</v>
      </c>
      <c r="G229" s="48" t="s">
        <v>305</v>
      </c>
      <c r="I229" s="44" t="s">
        <v>656</v>
      </c>
      <c r="J229" s="44">
        <f>YEAR(A229)</f>
        <v>2023</v>
      </c>
    </row>
    <row r="230" spans="1:11" ht="12" customHeight="1" x14ac:dyDescent="0.25">
      <c r="A230" s="43">
        <v>44964</v>
      </c>
      <c r="B230" s="47">
        <v>15165</v>
      </c>
      <c r="C230" s="44" t="s">
        <v>446</v>
      </c>
      <c r="D230" s="45">
        <v>16.55</v>
      </c>
      <c r="E230" s="48" t="s">
        <v>89</v>
      </c>
      <c r="F230" s="48" t="s">
        <v>90</v>
      </c>
      <c r="G230" s="48" t="s">
        <v>91</v>
      </c>
      <c r="J230" s="44">
        <f>YEAR(A230)</f>
        <v>2023</v>
      </c>
    </row>
    <row r="231" spans="1:11" ht="12" customHeight="1" x14ac:dyDescent="0.25">
      <c r="A231" s="43">
        <v>44964</v>
      </c>
      <c r="B231" s="47">
        <v>15165</v>
      </c>
      <c r="C231" s="44" t="s">
        <v>446</v>
      </c>
      <c r="D231" s="45">
        <v>-16.55</v>
      </c>
      <c r="E231" s="48" t="s">
        <v>299</v>
      </c>
      <c r="F231" s="48" t="s">
        <v>90</v>
      </c>
      <c r="G231" s="48" t="s">
        <v>305</v>
      </c>
      <c r="I231" s="44" t="s">
        <v>656</v>
      </c>
      <c r="J231" s="44">
        <f>YEAR(A231)</f>
        <v>2023</v>
      </c>
    </row>
    <row r="232" spans="1:11" ht="12" customHeight="1" x14ac:dyDescent="0.25">
      <c r="A232" s="43">
        <v>44964</v>
      </c>
      <c r="B232" s="47">
        <v>15166</v>
      </c>
      <c r="C232" s="44" t="s">
        <v>568</v>
      </c>
      <c r="D232" s="45">
        <v>15.99</v>
      </c>
      <c r="E232" s="48" t="s">
        <v>89</v>
      </c>
      <c r="F232" s="48" t="s">
        <v>90</v>
      </c>
      <c r="G232" s="48" t="s">
        <v>91</v>
      </c>
      <c r="J232" s="44">
        <f>YEAR(A232)</f>
        <v>2023</v>
      </c>
    </row>
    <row r="233" spans="1:11" ht="12" customHeight="1" x14ac:dyDescent="0.25">
      <c r="A233" s="43">
        <v>44964</v>
      </c>
      <c r="B233" s="47">
        <v>15166</v>
      </c>
      <c r="C233" s="44" t="s">
        <v>568</v>
      </c>
      <c r="D233" s="45">
        <v>-15.99</v>
      </c>
      <c r="E233" s="48" t="s">
        <v>299</v>
      </c>
      <c r="F233" s="48" t="s">
        <v>90</v>
      </c>
      <c r="G233" s="48" t="s">
        <v>305</v>
      </c>
      <c r="I233" s="44" t="s">
        <v>656</v>
      </c>
      <c r="J233" s="44">
        <f>YEAR(A233)</f>
        <v>2023</v>
      </c>
    </row>
    <row r="234" spans="1:11" ht="12" customHeight="1" x14ac:dyDescent="0.25">
      <c r="A234" s="43">
        <v>44964</v>
      </c>
      <c r="B234" s="47">
        <v>15167</v>
      </c>
      <c r="C234" s="44" t="s">
        <v>47</v>
      </c>
      <c r="D234" s="45">
        <v>44.6</v>
      </c>
      <c r="E234" s="48" t="s">
        <v>180</v>
      </c>
      <c r="F234" s="48" t="s">
        <v>96</v>
      </c>
      <c r="G234" s="48" t="s">
        <v>592</v>
      </c>
      <c r="J234" s="44">
        <f>YEAR(A234)</f>
        <v>2023</v>
      </c>
    </row>
    <row r="235" spans="1:11" ht="12" customHeight="1" x14ac:dyDescent="0.25">
      <c r="A235" s="43">
        <v>44964</v>
      </c>
      <c r="B235" s="47">
        <v>15167</v>
      </c>
      <c r="C235" s="44" t="s">
        <v>47</v>
      </c>
      <c r="D235" s="45">
        <v>-44.6</v>
      </c>
      <c r="E235" s="48" t="s">
        <v>299</v>
      </c>
      <c r="F235" s="48" t="s">
        <v>90</v>
      </c>
      <c r="G235" s="48" t="s">
        <v>305</v>
      </c>
      <c r="I235" s="44" t="s">
        <v>656</v>
      </c>
      <c r="J235" s="44">
        <f>YEAR(A235)</f>
        <v>2023</v>
      </c>
    </row>
    <row r="236" spans="1:11" ht="12" customHeight="1" x14ac:dyDescent="0.25">
      <c r="A236" s="43">
        <v>44965</v>
      </c>
      <c r="B236" s="47">
        <v>15168</v>
      </c>
      <c r="C236" s="44" t="s">
        <v>585</v>
      </c>
      <c r="D236" s="45">
        <v>-75</v>
      </c>
      <c r="E236" s="48" t="s">
        <v>197</v>
      </c>
      <c r="F236" s="48" t="s">
        <v>90</v>
      </c>
      <c r="G236" s="48" t="s">
        <v>99</v>
      </c>
      <c r="J236" s="44">
        <f>YEAR(A236)</f>
        <v>2023</v>
      </c>
    </row>
    <row r="237" spans="1:11" ht="12" customHeight="1" x14ac:dyDescent="0.25">
      <c r="A237" s="43">
        <v>44965</v>
      </c>
      <c r="B237" s="47">
        <v>15168</v>
      </c>
      <c r="C237" s="44" t="s">
        <v>585</v>
      </c>
      <c r="D237" s="45">
        <v>75</v>
      </c>
      <c r="E237" s="48" t="s">
        <v>299</v>
      </c>
      <c r="F237" s="48" t="s">
        <v>90</v>
      </c>
      <c r="G237" s="48" t="s">
        <v>91</v>
      </c>
      <c r="H237" s="44" t="s">
        <v>398</v>
      </c>
      <c r="I237" s="44" t="s">
        <v>659</v>
      </c>
      <c r="J237" s="44">
        <f>YEAR(A237)</f>
        <v>2023</v>
      </c>
    </row>
    <row r="238" spans="1:11" ht="12" customHeight="1" x14ac:dyDescent="0.25">
      <c r="A238" s="43">
        <v>44965</v>
      </c>
      <c r="B238" s="47">
        <v>15169</v>
      </c>
      <c r="C238" s="44" t="s">
        <v>585</v>
      </c>
      <c r="D238" s="45">
        <v>-20.5</v>
      </c>
      <c r="E238" s="48" t="s">
        <v>197</v>
      </c>
      <c r="F238" s="48" t="s">
        <v>90</v>
      </c>
      <c r="G238" s="48" t="s">
        <v>99</v>
      </c>
      <c r="J238" s="44">
        <f>YEAR(A238)</f>
        <v>2023</v>
      </c>
    </row>
    <row r="239" spans="1:11" ht="12" customHeight="1" x14ac:dyDescent="0.25">
      <c r="A239" s="43">
        <v>44965</v>
      </c>
      <c r="B239" s="47">
        <v>15169</v>
      </c>
      <c r="C239" s="44" t="s">
        <v>585</v>
      </c>
      <c r="D239" s="45">
        <v>20.5</v>
      </c>
      <c r="E239" s="48" t="s">
        <v>299</v>
      </c>
      <c r="F239" s="48" t="s">
        <v>90</v>
      </c>
      <c r="G239" s="48" t="s">
        <v>91</v>
      </c>
      <c r="H239" s="44" t="s">
        <v>398</v>
      </c>
      <c r="I239" s="44" t="s">
        <v>659</v>
      </c>
      <c r="J239" s="44">
        <f>YEAR(A239)</f>
        <v>2023</v>
      </c>
    </row>
    <row r="240" spans="1:11" ht="12" customHeight="1" x14ac:dyDescent="0.25">
      <c r="A240" s="43">
        <v>44966</v>
      </c>
      <c r="B240" s="47">
        <v>15170</v>
      </c>
      <c r="C240" s="44" t="s">
        <v>468</v>
      </c>
      <c r="D240" s="45">
        <v>3.95</v>
      </c>
      <c r="E240" s="48" t="s">
        <v>197</v>
      </c>
      <c r="F240" s="48" t="s">
        <v>96</v>
      </c>
      <c r="G240" s="48" t="s">
        <v>93</v>
      </c>
      <c r="J240" s="44">
        <f>YEAR(A240)</f>
        <v>2023</v>
      </c>
      <c r="K240" s="49" t="s">
        <v>625</v>
      </c>
    </row>
    <row r="241" spans="1:11" ht="12" customHeight="1" x14ac:dyDescent="0.25">
      <c r="A241" s="43">
        <v>44966</v>
      </c>
      <c r="B241" s="47">
        <v>15170</v>
      </c>
      <c r="C241" s="44" t="s">
        <v>468</v>
      </c>
      <c r="D241" s="45">
        <v>4.5</v>
      </c>
      <c r="E241" s="48" t="s">
        <v>197</v>
      </c>
      <c r="F241" s="48" t="s">
        <v>90</v>
      </c>
      <c r="G241" s="48" t="s">
        <v>91</v>
      </c>
      <c r="J241" s="44">
        <f>YEAR(A241)</f>
        <v>2023</v>
      </c>
    </row>
    <row r="242" spans="1:11" ht="12" customHeight="1" x14ac:dyDescent="0.25">
      <c r="A242" s="43">
        <v>44966</v>
      </c>
      <c r="B242" s="47">
        <v>15170</v>
      </c>
      <c r="C242" s="44" t="s">
        <v>468</v>
      </c>
      <c r="D242" s="45">
        <v>-4.5</v>
      </c>
      <c r="E242" s="48" t="s">
        <v>299</v>
      </c>
      <c r="F242" s="48" t="s">
        <v>90</v>
      </c>
      <c r="G242" s="48" t="s">
        <v>305</v>
      </c>
      <c r="I242" s="44" t="s">
        <v>656</v>
      </c>
      <c r="J242" s="44">
        <f>YEAR(A242)</f>
        <v>2023</v>
      </c>
    </row>
    <row r="243" spans="1:11" ht="12" customHeight="1" x14ac:dyDescent="0.25">
      <c r="A243" s="43">
        <v>44966</v>
      </c>
      <c r="B243" s="47">
        <v>15170</v>
      </c>
      <c r="C243" s="44" t="s">
        <v>468</v>
      </c>
      <c r="D243" s="45">
        <v>-3.95</v>
      </c>
      <c r="E243" s="48" t="s">
        <v>299</v>
      </c>
      <c r="F243" s="48" t="s">
        <v>90</v>
      </c>
      <c r="G243" s="48" t="s">
        <v>305</v>
      </c>
      <c r="I243" s="44" t="s">
        <v>656</v>
      </c>
      <c r="J243" s="44">
        <f>YEAR(A243)</f>
        <v>2023</v>
      </c>
    </row>
    <row r="244" spans="1:11" ht="12" customHeight="1" x14ac:dyDescent="0.25">
      <c r="A244" s="43">
        <v>44966</v>
      </c>
      <c r="B244" s="47">
        <v>15171</v>
      </c>
      <c r="C244" s="44" t="s">
        <v>573</v>
      </c>
      <c r="D244" s="45">
        <v>1</v>
      </c>
      <c r="E244" s="48" t="s">
        <v>180</v>
      </c>
      <c r="F244" s="48" t="s">
        <v>90</v>
      </c>
      <c r="G244" s="48" t="s">
        <v>91</v>
      </c>
      <c r="J244" s="44">
        <f>YEAR(A244)</f>
        <v>2023</v>
      </c>
    </row>
    <row r="245" spans="1:11" ht="12" customHeight="1" x14ac:dyDescent="0.25">
      <c r="A245" s="43">
        <v>44966</v>
      </c>
      <c r="B245" s="47">
        <v>15171</v>
      </c>
      <c r="C245" s="44" t="s">
        <v>573</v>
      </c>
      <c r="D245" s="45">
        <v>-1</v>
      </c>
      <c r="E245" s="48" t="s">
        <v>299</v>
      </c>
      <c r="F245" s="48" t="s">
        <v>90</v>
      </c>
      <c r="G245" s="48" t="s">
        <v>305</v>
      </c>
      <c r="I245" s="44" t="s">
        <v>656</v>
      </c>
      <c r="J245" s="44">
        <f>YEAR(A245)</f>
        <v>2023</v>
      </c>
    </row>
    <row r="246" spans="1:11" ht="12" customHeight="1" x14ac:dyDescent="0.25">
      <c r="A246" s="43">
        <v>44966</v>
      </c>
      <c r="B246" s="47">
        <v>15172</v>
      </c>
      <c r="C246" s="44" t="s">
        <v>626</v>
      </c>
      <c r="D246" s="45">
        <v>13.5</v>
      </c>
      <c r="E246" s="48" t="s">
        <v>105</v>
      </c>
      <c r="F246" s="48" t="s">
        <v>90</v>
      </c>
      <c r="G246" s="48" t="s">
        <v>91</v>
      </c>
      <c r="J246" s="44">
        <f>YEAR(A246)</f>
        <v>2023</v>
      </c>
    </row>
    <row r="247" spans="1:11" ht="12" customHeight="1" x14ac:dyDescent="0.25">
      <c r="A247" s="43">
        <v>44966</v>
      </c>
      <c r="B247" s="47">
        <v>15172</v>
      </c>
      <c r="C247" s="44" t="s">
        <v>626</v>
      </c>
      <c r="D247" s="45">
        <v>-13.5</v>
      </c>
      <c r="E247" s="48" t="s">
        <v>299</v>
      </c>
      <c r="F247" s="48" t="s">
        <v>90</v>
      </c>
      <c r="G247" s="48" t="s">
        <v>305</v>
      </c>
      <c r="I247" s="44" t="s">
        <v>656</v>
      </c>
      <c r="J247" s="44">
        <f>YEAR(A247)</f>
        <v>2023</v>
      </c>
    </row>
    <row r="248" spans="1:11" ht="12" customHeight="1" x14ac:dyDescent="0.25">
      <c r="A248" s="43">
        <v>44966</v>
      </c>
      <c r="B248" s="47">
        <v>15173</v>
      </c>
      <c r="C248" s="44" t="s">
        <v>574</v>
      </c>
      <c r="D248" s="45">
        <v>29.9</v>
      </c>
      <c r="E248" s="48" t="s">
        <v>145</v>
      </c>
      <c r="F248" s="48" t="s">
        <v>116</v>
      </c>
      <c r="G248" s="48" t="s">
        <v>98</v>
      </c>
      <c r="J248" s="44">
        <f>YEAR(A248)</f>
        <v>2023</v>
      </c>
      <c r="K248" s="49" t="s">
        <v>627</v>
      </c>
    </row>
    <row r="249" spans="1:11" ht="12" customHeight="1" x14ac:dyDescent="0.25">
      <c r="A249" s="43">
        <v>44966</v>
      </c>
      <c r="B249" s="47">
        <v>15173</v>
      </c>
      <c r="C249" s="44" t="s">
        <v>574</v>
      </c>
      <c r="D249" s="45">
        <v>-29.9</v>
      </c>
      <c r="E249" s="48" t="s">
        <v>299</v>
      </c>
      <c r="F249" s="48" t="s">
        <v>90</v>
      </c>
      <c r="G249" s="48" t="s">
        <v>305</v>
      </c>
      <c r="I249" s="44" t="s">
        <v>656</v>
      </c>
      <c r="J249" s="44">
        <f>YEAR(A249)</f>
        <v>2023</v>
      </c>
    </row>
    <row r="250" spans="1:11" ht="12" customHeight="1" x14ac:dyDescent="0.25">
      <c r="A250" s="43">
        <v>44967</v>
      </c>
      <c r="B250" s="47">
        <v>15174</v>
      </c>
      <c r="C250" s="44" t="s">
        <v>501</v>
      </c>
      <c r="D250" s="45">
        <v>11.9</v>
      </c>
      <c r="E250" s="48" t="s">
        <v>89</v>
      </c>
      <c r="F250" s="48" t="s">
        <v>90</v>
      </c>
      <c r="G250" s="48" t="s">
        <v>91</v>
      </c>
      <c r="J250" s="44">
        <f>YEAR(A250)</f>
        <v>2023</v>
      </c>
      <c r="K250" s="49" t="s">
        <v>627</v>
      </c>
    </row>
    <row r="251" spans="1:11" ht="12" customHeight="1" x14ac:dyDescent="0.25">
      <c r="A251" s="43">
        <v>44967</v>
      </c>
      <c r="B251" s="47">
        <v>15174</v>
      </c>
      <c r="C251" s="44" t="s">
        <v>501</v>
      </c>
      <c r="D251" s="45">
        <v>-11.9</v>
      </c>
      <c r="E251" s="48" t="s">
        <v>299</v>
      </c>
      <c r="F251" s="48" t="s">
        <v>90</v>
      </c>
      <c r="G251" s="48" t="s">
        <v>305</v>
      </c>
      <c r="I251" s="44" t="s">
        <v>656</v>
      </c>
      <c r="J251" s="44">
        <f>YEAR(A251)</f>
        <v>2023</v>
      </c>
    </row>
    <row r="252" spans="1:11" ht="12" customHeight="1" x14ac:dyDescent="0.25">
      <c r="A252" s="43">
        <v>44968</v>
      </c>
      <c r="B252" s="47">
        <v>15175</v>
      </c>
      <c r="C252" s="44" t="s">
        <v>446</v>
      </c>
      <c r="D252" s="45">
        <v>28.98</v>
      </c>
      <c r="E252" s="48" t="s">
        <v>89</v>
      </c>
      <c r="F252" s="48" t="s">
        <v>90</v>
      </c>
      <c r="G252" s="48" t="s">
        <v>91</v>
      </c>
      <c r="J252" s="44">
        <f>YEAR(A252)</f>
        <v>2023</v>
      </c>
    </row>
    <row r="253" spans="1:11" ht="12" customHeight="1" x14ac:dyDescent="0.25">
      <c r="A253" s="43">
        <v>44968</v>
      </c>
      <c r="B253" s="47">
        <v>15175</v>
      </c>
      <c r="C253" s="44" t="s">
        <v>446</v>
      </c>
      <c r="D253" s="45">
        <v>-28.98</v>
      </c>
      <c r="E253" s="48" t="s">
        <v>299</v>
      </c>
      <c r="F253" s="48" t="s">
        <v>90</v>
      </c>
      <c r="G253" s="48" t="s">
        <v>305</v>
      </c>
      <c r="I253" s="44" t="s">
        <v>656</v>
      </c>
      <c r="J253" s="44">
        <f>YEAR(A253)</f>
        <v>2023</v>
      </c>
    </row>
    <row r="254" spans="1:11" ht="12" customHeight="1" x14ac:dyDescent="0.25">
      <c r="A254" s="43">
        <v>44966</v>
      </c>
      <c r="B254" s="47">
        <v>15176</v>
      </c>
      <c r="C254" s="44" t="s">
        <v>478</v>
      </c>
      <c r="D254" s="45">
        <v>-63</v>
      </c>
      <c r="E254" s="48" t="s">
        <v>299</v>
      </c>
      <c r="F254" s="48" t="s">
        <v>90</v>
      </c>
      <c r="G254" s="48" t="s">
        <v>91</v>
      </c>
      <c r="H254" s="44">
        <v>3995</v>
      </c>
      <c r="I254" s="44" t="s">
        <v>633</v>
      </c>
      <c r="J254" s="44">
        <f>YEAR(A254)</f>
        <v>2023</v>
      </c>
    </row>
    <row r="255" spans="1:11" ht="12" customHeight="1" x14ac:dyDescent="0.25">
      <c r="A255" s="43">
        <v>44966</v>
      </c>
      <c r="B255" s="47">
        <v>15176</v>
      </c>
      <c r="C255" s="44" t="s">
        <v>478</v>
      </c>
      <c r="D255" s="45">
        <v>63</v>
      </c>
      <c r="E255" s="48" t="s">
        <v>197</v>
      </c>
      <c r="F255" s="48" t="s">
        <v>90</v>
      </c>
      <c r="G255" s="48" t="s">
        <v>91</v>
      </c>
      <c r="J255" s="44">
        <f>YEAR(A255)</f>
        <v>2023</v>
      </c>
    </row>
    <row r="256" spans="1:11" ht="12" customHeight="1" x14ac:dyDescent="0.25">
      <c r="A256" s="43">
        <v>44970</v>
      </c>
      <c r="B256" s="47">
        <v>15177</v>
      </c>
      <c r="C256" s="44" t="s">
        <v>455</v>
      </c>
      <c r="D256" s="45">
        <v>61.28</v>
      </c>
      <c r="E256" s="48" t="s">
        <v>180</v>
      </c>
      <c r="F256" s="48" t="s">
        <v>96</v>
      </c>
      <c r="G256" s="48" t="s">
        <v>592</v>
      </c>
      <c r="J256" s="44">
        <f>YEAR(A256)</f>
        <v>2023</v>
      </c>
    </row>
    <row r="257" spans="1:11" ht="12" customHeight="1" x14ac:dyDescent="0.25">
      <c r="A257" s="43">
        <v>44970</v>
      </c>
      <c r="B257" s="47">
        <v>15177</v>
      </c>
      <c r="C257" s="44" t="s">
        <v>455</v>
      </c>
      <c r="D257" s="45">
        <v>-61.28</v>
      </c>
      <c r="E257" s="48" t="s">
        <v>299</v>
      </c>
      <c r="F257" s="48" t="s">
        <v>90</v>
      </c>
      <c r="G257" s="48" t="s">
        <v>305</v>
      </c>
      <c r="I257" s="44" t="s">
        <v>656</v>
      </c>
      <c r="J257" s="44">
        <f>YEAR(A257)</f>
        <v>2023</v>
      </c>
    </row>
    <row r="258" spans="1:11" ht="12" customHeight="1" x14ac:dyDescent="0.25">
      <c r="A258" s="43">
        <v>44971</v>
      </c>
      <c r="B258" s="47">
        <v>15178</v>
      </c>
      <c r="C258" s="44" t="s">
        <v>559</v>
      </c>
      <c r="D258" s="45">
        <v>10.130000000000001</v>
      </c>
      <c r="E258" s="48" t="s">
        <v>197</v>
      </c>
      <c r="F258" s="48" t="s">
        <v>96</v>
      </c>
      <c r="G258" s="48" t="s">
        <v>93</v>
      </c>
      <c r="J258" s="44">
        <f>YEAR(A258)</f>
        <v>2023</v>
      </c>
      <c r="K258" s="49" t="s">
        <v>628</v>
      </c>
    </row>
    <row r="259" spans="1:11" ht="12" customHeight="1" x14ac:dyDescent="0.25">
      <c r="A259" s="43">
        <v>44971</v>
      </c>
      <c r="B259" s="47">
        <v>15178</v>
      </c>
      <c r="C259" s="44" t="s">
        <v>559</v>
      </c>
      <c r="D259" s="45">
        <v>-10.130000000000001</v>
      </c>
      <c r="E259" s="48" t="s">
        <v>299</v>
      </c>
      <c r="F259" s="48" t="s">
        <v>90</v>
      </c>
      <c r="G259" s="48" t="s">
        <v>305</v>
      </c>
      <c r="I259" s="44" t="s">
        <v>656</v>
      </c>
      <c r="J259" s="44">
        <f>YEAR(A259)</f>
        <v>2023</v>
      </c>
    </row>
    <row r="260" spans="1:11" ht="12" customHeight="1" x14ac:dyDescent="0.25">
      <c r="A260" s="43">
        <v>44971</v>
      </c>
      <c r="B260" s="47">
        <v>15179</v>
      </c>
      <c r="C260" s="44" t="s">
        <v>558</v>
      </c>
      <c r="D260" s="45">
        <v>3.4</v>
      </c>
      <c r="E260" s="48" t="s">
        <v>89</v>
      </c>
      <c r="F260" s="48" t="s">
        <v>90</v>
      </c>
      <c r="G260" s="48" t="s">
        <v>91</v>
      </c>
      <c r="J260" s="44">
        <f>YEAR(A260)</f>
        <v>2023</v>
      </c>
    </row>
    <row r="261" spans="1:11" ht="12" customHeight="1" x14ac:dyDescent="0.25">
      <c r="A261" s="43">
        <v>44971</v>
      </c>
      <c r="B261" s="47">
        <v>15179</v>
      </c>
      <c r="C261" s="44" t="s">
        <v>558</v>
      </c>
      <c r="D261" s="45">
        <v>-3.4</v>
      </c>
      <c r="E261" s="48" t="s">
        <v>299</v>
      </c>
      <c r="F261" s="48" t="s">
        <v>90</v>
      </c>
      <c r="G261" s="48" t="s">
        <v>305</v>
      </c>
      <c r="I261" s="44" t="s">
        <v>656</v>
      </c>
      <c r="J261" s="44">
        <f>YEAR(A261)</f>
        <v>2023</v>
      </c>
    </row>
    <row r="262" spans="1:11" ht="12" customHeight="1" x14ac:dyDescent="0.25">
      <c r="A262" s="43">
        <v>44971</v>
      </c>
      <c r="B262" s="47">
        <v>15180</v>
      </c>
      <c r="C262" s="44" t="s">
        <v>491</v>
      </c>
      <c r="D262" s="45">
        <v>17.5</v>
      </c>
      <c r="E262" s="48" t="s">
        <v>89</v>
      </c>
      <c r="F262" s="48" t="s">
        <v>90</v>
      </c>
      <c r="G262" s="48" t="s">
        <v>91</v>
      </c>
      <c r="J262" s="44">
        <f>YEAR(A262)</f>
        <v>2023</v>
      </c>
    </row>
    <row r="263" spans="1:11" ht="12" customHeight="1" x14ac:dyDescent="0.25">
      <c r="A263" s="43">
        <v>44971</v>
      </c>
      <c r="B263" s="47">
        <v>15180</v>
      </c>
      <c r="C263" s="44" t="s">
        <v>491</v>
      </c>
      <c r="D263" s="45">
        <v>-17.5</v>
      </c>
      <c r="E263" s="48" t="s">
        <v>299</v>
      </c>
      <c r="F263" s="48" t="s">
        <v>90</v>
      </c>
      <c r="G263" s="48" t="s">
        <v>305</v>
      </c>
      <c r="I263" s="44" t="s">
        <v>656</v>
      </c>
      <c r="J263" s="44">
        <f>YEAR(A263)</f>
        <v>2023</v>
      </c>
    </row>
    <row r="264" spans="1:11" ht="12" customHeight="1" x14ac:dyDescent="0.25">
      <c r="A264" s="43">
        <v>44973</v>
      </c>
      <c r="B264" s="47">
        <v>15181</v>
      </c>
      <c r="C264" s="44" t="s">
        <v>593</v>
      </c>
      <c r="D264" s="45">
        <v>14.7</v>
      </c>
      <c r="E264" s="48" t="s">
        <v>89</v>
      </c>
      <c r="F264" s="48" t="s">
        <v>90</v>
      </c>
      <c r="G264" s="48" t="s">
        <v>91</v>
      </c>
      <c r="J264" s="44">
        <f>YEAR(A264)</f>
        <v>2023</v>
      </c>
    </row>
    <row r="265" spans="1:11" ht="12" customHeight="1" x14ac:dyDescent="0.25">
      <c r="A265" s="43">
        <v>44973</v>
      </c>
      <c r="B265" s="47">
        <v>15181</v>
      </c>
      <c r="C265" s="44" t="s">
        <v>593</v>
      </c>
      <c r="D265" s="45">
        <v>-14.7</v>
      </c>
      <c r="E265" s="48" t="s">
        <v>299</v>
      </c>
      <c r="F265" s="48" t="s">
        <v>90</v>
      </c>
      <c r="G265" s="48" t="s">
        <v>305</v>
      </c>
      <c r="I265" s="44" t="s">
        <v>656</v>
      </c>
      <c r="J265" s="44">
        <f>YEAR(A265)</f>
        <v>2023</v>
      </c>
    </row>
    <row r="266" spans="1:11" ht="12" customHeight="1" x14ac:dyDescent="0.25">
      <c r="A266" s="43">
        <v>44984</v>
      </c>
      <c r="B266" s="47">
        <v>15182</v>
      </c>
      <c r="C266" s="44" t="s">
        <v>629</v>
      </c>
      <c r="D266" s="45">
        <v>-326.14999999999998</v>
      </c>
      <c r="E266" s="48" t="s">
        <v>299</v>
      </c>
      <c r="F266" s="48" t="s">
        <v>90</v>
      </c>
      <c r="G266" s="48" t="s">
        <v>91</v>
      </c>
      <c r="H266" s="44" t="s">
        <v>391</v>
      </c>
      <c r="I266" s="44" t="s">
        <v>658</v>
      </c>
      <c r="J266" s="44">
        <f>YEAR(A266)</f>
        <v>2023</v>
      </c>
    </row>
    <row r="267" spans="1:11" ht="12" customHeight="1" x14ac:dyDescent="0.25">
      <c r="A267" s="43">
        <v>44984</v>
      </c>
      <c r="B267" s="47">
        <v>15182</v>
      </c>
      <c r="C267" s="44" t="s">
        <v>629</v>
      </c>
      <c r="D267" s="45">
        <v>326.14999999999998</v>
      </c>
      <c r="E267" s="48" t="s">
        <v>157</v>
      </c>
      <c r="F267" s="48" t="s">
        <v>137</v>
      </c>
      <c r="G267" s="48" t="s">
        <v>91</v>
      </c>
      <c r="J267" s="44">
        <f>YEAR(A267)</f>
        <v>2023</v>
      </c>
    </row>
    <row r="268" spans="1:11" ht="12" customHeight="1" x14ac:dyDescent="0.25">
      <c r="A268" s="43">
        <v>44984</v>
      </c>
      <c r="B268" s="47">
        <v>15183</v>
      </c>
      <c r="C268" s="44" t="s">
        <v>630</v>
      </c>
      <c r="D268" s="45">
        <v>-652.21</v>
      </c>
      <c r="E268" s="48" t="s">
        <v>299</v>
      </c>
      <c r="F268" s="48" t="s">
        <v>90</v>
      </c>
      <c r="G268" s="48" t="s">
        <v>91</v>
      </c>
      <c r="H268" s="44" t="s">
        <v>391</v>
      </c>
      <c r="I268" s="44" t="s">
        <v>658</v>
      </c>
      <c r="J268" s="44">
        <f>YEAR(A268)</f>
        <v>2023</v>
      </c>
    </row>
    <row r="269" spans="1:11" ht="12" customHeight="1" x14ac:dyDescent="0.25">
      <c r="A269" s="43">
        <v>44984</v>
      </c>
      <c r="B269" s="47">
        <v>15183</v>
      </c>
      <c r="C269" s="44" t="s">
        <v>630</v>
      </c>
      <c r="D269" s="45">
        <v>652.21</v>
      </c>
      <c r="E269" s="48" t="s">
        <v>157</v>
      </c>
      <c r="F269" s="48" t="s">
        <v>137</v>
      </c>
      <c r="G269" s="48" t="s">
        <v>91</v>
      </c>
      <c r="J269" s="44">
        <f>YEAR(A269)</f>
        <v>2023</v>
      </c>
    </row>
    <row r="270" spans="1:11" ht="12" customHeight="1" x14ac:dyDescent="0.25">
      <c r="A270" s="43">
        <v>44972</v>
      </c>
      <c r="B270" s="47">
        <v>15184</v>
      </c>
      <c r="C270" s="44" t="s">
        <v>448</v>
      </c>
      <c r="D270" s="45">
        <v>67.3</v>
      </c>
      <c r="E270" s="48" t="s">
        <v>180</v>
      </c>
      <c r="F270" s="48" t="s">
        <v>90</v>
      </c>
      <c r="G270" s="48" t="s">
        <v>91</v>
      </c>
      <c r="J270" s="44">
        <f>YEAR(A270)</f>
        <v>2023</v>
      </c>
    </row>
    <row r="271" spans="1:11" ht="12" customHeight="1" x14ac:dyDescent="0.25">
      <c r="A271" s="43">
        <v>44972</v>
      </c>
      <c r="B271" s="47">
        <v>15184</v>
      </c>
      <c r="C271" s="44" t="s">
        <v>448</v>
      </c>
      <c r="D271" s="45">
        <v>-67.3</v>
      </c>
      <c r="E271" s="48" t="s">
        <v>299</v>
      </c>
      <c r="F271" s="48" t="s">
        <v>90</v>
      </c>
      <c r="G271" s="48" t="s">
        <v>91</v>
      </c>
      <c r="H271" s="44" t="s">
        <v>391</v>
      </c>
      <c r="I271" s="44" t="s">
        <v>658</v>
      </c>
      <c r="J271" s="44">
        <f>YEAR(A271)</f>
        <v>2023</v>
      </c>
    </row>
    <row r="272" spans="1:11" ht="12" customHeight="1" x14ac:dyDescent="0.25">
      <c r="A272" s="43">
        <v>44963</v>
      </c>
      <c r="B272" s="47">
        <v>15185</v>
      </c>
      <c r="C272" s="44" t="s">
        <v>417</v>
      </c>
      <c r="D272" s="45">
        <v>-1364.56</v>
      </c>
      <c r="E272" s="48" t="s">
        <v>299</v>
      </c>
      <c r="F272" s="48" t="s">
        <v>90</v>
      </c>
      <c r="G272" s="48" t="s">
        <v>91</v>
      </c>
      <c r="I272" s="44" t="s">
        <v>633</v>
      </c>
      <c r="J272" s="44">
        <f>YEAR(A272)</f>
        <v>2023</v>
      </c>
    </row>
    <row r="273" spans="1:10" ht="12" customHeight="1" x14ac:dyDescent="0.25">
      <c r="A273" s="43">
        <v>44963</v>
      </c>
      <c r="B273" s="47">
        <v>15185</v>
      </c>
      <c r="C273" s="44" t="s">
        <v>417</v>
      </c>
      <c r="D273" s="45">
        <v>1364.56</v>
      </c>
      <c r="E273" s="48" t="s">
        <v>299</v>
      </c>
      <c r="F273" s="48" t="s">
        <v>90</v>
      </c>
      <c r="G273" s="48" t="s">
        <v>305</v>
      </c>
      <c r="I273" s="44" t="s">
        <v>631</v>
      </c>
      <c r="J273" s="44">
        <f>YEAR(A273)</f>
        <v>2023</v>
      </c>
    </row>
    <row r="274" spans="1:10" ht="12" customHeight="1" x14ac:dyDescent="0.25">
      <c r="A274" s="43">
        <v>44936</v>
      </c>
      <c r="B274" s="47">
        <v>15186</v>
      </c>
      <c r="C274" s="44" t="s">
        <v>204</v>
      </c>
      <c r="D274" s="45">
        <v>16.149999999999999</v>
      </c>
      <c r="E274" s="48" t="s">
        <v>145</v>
      </c>
      <c r="F274" s="48" t="s">
        <v>116</v>
      </c>
      <c r="G274" s="48" t="s">
        <v>91</v>
      </c>
      <c r="J274" s="44">
        <f>YEAR(A274)</f>
        <v>2023</v>
      </c>
    </row>
    <row r="275" spans="1:10" ht="12" customHeight="1" x14ac:dyDescent="0.25">
      <c r="A275" s="43">
        <v>44936</v>
      </c>
      <c r="B275" s="47">
        <v>15186</v>
      </c>
      <c r="C275" s="44" t="s">
        <v>204</v>
      </c>
      <c r="D275" s="45">
        <v>-16.149999999999999</v>
      </c>
      <c r="E275" s="48" t="s">
        <v>299</v>
      </c>
      <c r="F275" s="48" t="s">
        <v>90</v>
      </c>
      <c r="G275" s="48" t="s">
        <v>305</v>
      </c>
      <c r="I275" s="44" t="s">
        <v>632</v>
      </c>
      <c r="J275" s="44">
        <f>YEAR(A275)</f>
        <v>2023</v>
      </c>
    </row>
    <row r="276" spans="1:10" ht="12" customHeight="1" x14ac:dyDescent="0.25">
      <c r="A276" s="43">
        <v>44959</v>
      </c>
      <c r="B276" s="47">
        <v>15187</v>
      </c>
      <c r="C276" s="44" t="s">
        <v>409</v>
      </c>
      <c r="D276" s="45">
        <v>-3200</v>
      </c>
      <c r="E276" s="48" t="s">
        <v>214</v>
      </c>
      <c r="F276" s="48" t="s">
        <v>90</v>
      </c>
      <c r="G276" s="48" t="s">
        <v>107</v>
      </c>
      <c r="J276" s="44">
        <f>YEAR(A276)</f>
        <v>2023</v>
      </c>
    </row>
    <row r="277" spans="1:10" ht="12" customHeight="1" x14ac:dyDescent="0.25">
      <c r="A277" s="43">
        <v>44959</v>
      </c>
      <c r="B277" s="47">
        <v>15187</v>
      </c>
      <c r="C277" s="44" t="s">
        <v>409</v>
      </c>
      <c r="D277" s="45">
        <v>3200</v>
      </c>
      <c r="E277" s="48" t="s">
        <v>299</v>
      </c>
      <c r="F277" s="48" t="s">
        <v>90</v>
      </c>
      <c r="G277" s="48" t="s">
        <v>91</v>
      </c>
      <c r="H277" s="44" t="s">
        <v>398</v>
      </c>
      <c r="I277" s="44" t="s">
        <v>634</v>
      </c>
      <c r="J277" s="44">
        <f>YEAR(A277)</f>
        <v>2023</v>
      </c>
    </row>
    <row r="278" spans="1:10" ht="12" customHeight="1" x14ac:dyDescent="0.25">
      <c r="A278" s="43">
        <v>44943</v>
      </c>
      <c r="B278" s="47">
        <v>15188</v>
      </c>
      <c r="C278" s="44" t="s">
        <v>390</v>
      </c>
      <c r="D278" s="45">
        <v>6.3</v>
      </c>
      <c r="E278" s="48" t="s">
        <v>124</v>
      </c>
      <c r="F278" s="48" t="s">
        <v>128</v>
      </c>
      <c r="G278" s="48" t="s">
        <v>91</v>
      </c>
      <c r="J278" s="44">
        <f>YEAR(A278)</f>
        <v>2023</v>
      </c>
    </row>
    <row r="279" spans="1:10" ht="12" customHeight="1" x14ac:dyDescent="0.25">
      <c r="A279" s="43">
        <v>44943</v>
      </c>
      <c r="B279" s="47">
        <v>15188</v>
      </c>
      <c r="C279" s="44" t="s">
        <v>390</v>
      </c>
      <c r="D279" s="45">
        <v>-6.3</v>
      </c>
      <c r="E279" s="48" t="s">
        <v>299</v>
      </c>
      <c r="F279" s="48" t="s">
        <v>90</v>
      </c>
      <c r="G279" s="48" t="s">
        <v>91</v>
      </c>
      <c r="H279" s="44" t="s">
        <v>391</v>
      </c>
      <c r="I279" s="44" t="s">
        <v>633</v>
      </c>
      <c r="J279" s="44">
        <f>YEAR(A279)</f>
        <v>2023</v>
      </c>
    </row>
    <row r="280" spans="1:10" ht="12" customHeight="1" x14ac:dyDescent="0.25">
      <c r="A280" s="43">
        <v>44943</v>
      </c>
      <c r="B280" s="47">
        <v>15188</v>
      </c>
      <c r="C280" s="44" t="s">
        <v>393</v>
      </c>
      <c r="D280" s="45">
        <v>16.100000000000001</v>
      </c>
      <c r="E280" s="48" t="s">
        <v>124</v>
      </c>
      <c r="F280" s="48" t="s">
        <v>128</v>
      </c>
      <c r="G280" s="48" t="s">
        <v>91</v>
      </c>
      <c r="J280" s="44">
        <f>YEAR(A280)</f>
        <v>2023</v>
      </c>
    </row>
    <row r="281" spans="1:10" ht="12" customHeight="1" x14ac:dyDescent="0.25">
      <c r="A281" s="43">
        <v>44943</v>
      </c>
      <c r="B281" s="47">
        <v>15188</v>
      </c>
      <c r="C281" s="44" t="s">
        <v>393</v>
      </c>
      <c r="D281" s="45">
        <v>-16.100000000000001</v>
      </c>
      <c r="E281" s="48" t="s">
        <v>299</v>
      </c>
      <c r="F281" s="48" t="s">
        <v>90</v>
      </c>
      <c r="G281" s="48" t="s">
        <v>91</v>
      </c>
      <c r="H281" s="44" t="s">
        <v>391</v>
      </c>
      <c r="I281" s="44" t="s">
        <v>633</v>
      </c>
      <c r="J281" s="44">
        <f>YEAR(A281)</f>
        <v>2023</v>
      </c>
    </row>
    <row r="282" spans="1:10" ht="12" customHeight="1" x14ac:dyDescent="0.25">
      <c r="A282" s="43">
        <v>44943</v>
      </c>
      <c r="B282" s="47">
        <v>15188</v>
      </c>
      <c r="C282" s="44" t="s">
        <v>394</v>
      </c>
      <c r="D282" s="45">
        <v>0.49</v>
      </c>
      <c r="E282" s="48" t="s">
        <v>124</v>
      </c>
      <c r="F282" s="48" t="s">
        <v>128</v>
      </c>
      <c r="G282" s="48" t="s">
        <v>91</v>
      </c>
      <c r="J282" s="44">
        <f>YEAR(A282)</f>
        <v>2023</v>
      </c>
    </row>
    <row r="283" spans="1:10" ht="12" customHeight="1" x14ac:dyDescent="0.25">
      <c r="A283" s="43">
        <v>44943</v>
      </c>
      <c r="B283" s="47">
        <v>15188</v>
      </c>
      <c r="C283" s="44" t="s">
        <v>394</v>
      </c>
      <c r="D283" s="45">
        <v>-0.49</v>
      </c>
      <c r="E283" s="48" t="s">
        <v>299</v>
      </c>
      <c r="F283" s="48" t="s">
        <v>90</v>
      </c>
      <c r="G283" s="48" t="s">
        <v>91</v>
      </c>
      <c r="H283" s="44" t="s">
        <v>391</v>
      </c>
      <c r="I283" s="44" t="s">
        <v>633</v>
      </c>
      <c r="J283" s="44">
        <f>YEAR(A283)</f>
        <v>2023</v>
      </c>
    </row>
    <row r="284" spans="1:10" ht="12" customHeight="1" x14ac:dyDescent="0.25">
      <c r="A284" s="43">
        <v>44943</v>
      </c>
      <c r="B284" s="47">
        <v>15188</v>
      </c>
      <c r="C284" s="44" t="s">
        <v>395</v>
      </c>
      <c r="D284" s="45">
        <v>0.7</v>
      </c>
      <c r="E284" s="48" t="s">
        <v>124</v>
      </c>
      <c r="F284" s="48" t="s">
        <v>128</v>
      </c>
      <c r="G284" s="48" t="s">
        <v>91</v>
      </c>
      <c r="J284" s="44">
        <f>YEAR(A284)</f>
        <v>2023</v>
      </c>
    </row>
    <row r="285" spans="1:10" ht="12" customHeight="1" x14ac:dyDescent="0.25">
      <c r="A285" s="43">
        <v>44943</v>
      </c>
      <c r="B285" s="47">
        <v>15188</v>
      </c>
      <c r="C285" s="44" t="s">
        <v>395</v>
      </c>
      <c r="D285" s="45">
        <v>-0.7</v>
      </c>
      <c r="E285" s="48" t="s">
        <v>299</v>
      </c>
      <c r="F285" s="48" t="s">
        <v>90</v>
      </c>
      <c r="G285" s="48" t="s">
        <v>91</v>
      </c>
      <c r="H285" s="44" t="s">
        <v>391</v>
      </c>
      <c r="I285" s="44" t="s">
        <v>633</v>
      </c>
      <c r="J285" s="44">
        <f>YEAR(A285)</f>
        <v>2023</v>
      </c>
    </row>
    <row r="286" spans="1:10" ht="12" customHeight="1" x14ac:dyDescent="0.25">
      <c r="A286" s="43">
        <v>44953</v>
      </c>
      <c r="B286" s="47">
        <v>15189</v>
      </c>
      <c r="C286" s="44" t="s">
        <v>396</v>
      </c>
      <c r="D286" s="45">
        <v>28.39</v>
      </c>
      <c r="E286" s="48" t="s">
        <v>157</v>
      </c>
      <c r="F286" s="48" t="s">
        <v>155</v>
      </c>
      <c r="G286" s="48" t="s">
        <v>94</v>
      </c>
      <c r="J286" s="44">
        <f>YEAR(A286)</f>
        <v>2023</v>
      </c>
    </row>
    <row r="287" spans="1:10" ht="12" customHeight="1" x14ac:dyDescent="0.25">
      <c r="A287" s="43">
        <v>44953</v>
      </c>
      <c r="B287" s="47">
        <v>15189</v>
      </c>
      <c r="C287" s="44" t="s">
        <v>396</v>
      </c>
      <c r="D287" s="45">
        <v>-28.39</v>
      </c>
      <c r="E287" s="48" t="s">
        <v>299</v>
      </c>
      <c r="F287" s="48" t="s">
        <v>90</v>
      </c>
      <c r="G287" s="48" t="s">
        <v>91</v>
      </c>
      <c r="H287" s="44" t="s">
        <v>391</v>
      </c>
      <c r="I287" s="44" t="s">
        <v>633</v>
      </c>
      <c r="J287" s="44">
        <f>YEAR(A287)</f>
        <v>2023</v>
      </c>
    </row>
    <row r="288" spans="1:10" ht="12" customHeight="1" x14ac:dyDescent="0.25">
      <c r="A288" s="43">
        <v>44942</v>
      </c>
      <c r="B288" s="47">
        <v>15190</v>
      </c>
      <c r="C288" s="44" t="s">
        <v>397</v>
      </c>
      <c r="D288" s="45">
        <v>-800</v>
      </c>
      <c r="E288" s="48" t="s">
        <v>244</v>
      </c>
      <c r="F288" s="48" t="s">
        <v>90</v>
      </c>
      <c r="G288" s="48" t="s">
        <v>114</v>
      </c>
      <c r="J288" s="44">
        <f>YEAR(A288)</f>
        <v>2023</v>
      </c>
    </row>
    <row r="289" spans="1:12" ht="12" customHeight="1" x14ac:dyDescent="0.25">
      <c r="A289" s="43">
        <v>44942</v>
      </c>
      <c r="B289" s="47">
        <v>15190</v>
      </c>
      <c r="C289" s="44" t="s">
        <v>397</v>
      </c>
      <c r="D289" s="45">
        <v>800</v>
      </c>
      <c r="E289" s="48" t="s">
        <v>299</v>
      </c>
      <c r="F289" s="48" t="s">
        <v>90</v>
      </c>
      <c r="G289" s="48" t="s">
        <v>91</v>
      </c>
      <c r="H289" s="44" t="s">
        <v>398</v>
      </c>
      <c r="I289" s="44" t="s">
        <v>634</v>
      </c>
      <c r="J289" s="44">
        <f>YEAR(A289)</f>
        <v>2023</v>
      </c>
    </row>
    <row r="290" spans="1:12" ht="12" customHeight="1" x14ac:dyDescent="0.25">
      <c r="A290" s="43">
        <v>44959</v>
      </c>
      <c r="B290" s="47">
        <v>15191</v>
      </c>
      <c r="C290" s="44" t="s">
        <v>399</v>
      </c>
      <c r="D290" s="45">
        <v>19.989999999999998</v>
      </c>
      <c r="E290" s="48" t="s">
        <v>157</v>
      </c>
      <c r="F290" s="48" t="s">
        <v>155</v>
      </c>
      <c r="G290" s="48" t="s">
        <v>98</v>
      </c>
      <c r="J290" s="44">
        <f>YEAR(A290)</f>
        <v>2023</v>
      </c>
    </row>
    <row r="291" spans="1:12" ht="12" customHeight="1" x14ac:dyDescent="0.25">
      <c r="A291" s="43">
        <v>44959</v>
      </c>
      <c r="B291" s="47">
        <v>15191</v>
      </c>
      <c r="C291" s="44" t="s">
        <v>399</v>
      </c>
      <c r="D291" s="45">
        <v>-19.989999999999998</v>
      </c>
      <c r="E291" s="48" t="s">
        <v>299</v>
      </c>
      <c r="F291" s="48" t="s">
        <v>90</v>
      </c>
      <c r="G291" s="48" t="s">
        <v>91</v>
      </c>
      <c r="H291" s="44" t="s">
        <v>391</v>
      </c>
      <c r="I291" s="44" t="s">
        <v>633</v>
      </c>
      <c r="J291" s="44">
        <f>YEAR(A291)</f>
        <v>2023</v>
      </c>
    </row>
    <row r="292" spans="1:12" ht="12" customHeight="1" x14ac:dyDescent="0.25">
      <c r="A292" s="43">
        <v>44959</v>
      </c>
      <c r="B292" s="47">
        <v>15191</v>
      </c>
      <c r="C292" s="44" t="s">
        <v>400</v>
      </c>
      <c r="D292" s="45">
        <v>19.989999999999998</v>
      </c>
      <c r="E292" s="48" t="s">
        <v>157</v>
      </c>
      <c r="F292" s="48" t="s">
        <v>155</v>
      </c>
      <c r="G292" s="48" t="s">
        <v>95</v>
      </c>
      <c r="J292" s="44">
        <f>YEAR(A292)</f>
        <v>2023</v>
      </c>
    </row>
    <row r="293" spans="1:12" ht="12" customHeight="1" x14ac:dyDescent="0.25">
      <c r="A293" s="43">
        <v>44959</v>
      </c>
      <c r="B293" s="47">
        <v>15191</v>
      </c>
      <c r="C293" s="44" t="s">
        <v>400</v>
      </c>
      <c r="D293" s="45">
        <v>-19.989999999999998</v>
      </c>
      <c r="E293" s="48" t="s">
        <v>299</v>
      </c>
      <c r="F293" s="48" t="s">
        <v>90</v>
      </c>
      <c r="G293" s="48" t="s">
        <v>91</v>
      </c>
      <c r="H293" s="44" t="s">
        <v>391</v>
      </c>
      <c r="I293" s="44" t="s">
        <v>633</v>
      </c>
      <c r="J293" s="44">
        <f>YEAR(A293)</f>
        <v>2023</v>
      </c>
    </row>
    <row r="294" spans="1:12" ht="12" customHeight="1" x14ac:dyDescent="0.25">
      <c r="A294" s="43">
        <v>44942</v>
      </c>
      <c r="B294" s="47">
        <v>15192</v>
      </c>
      <c r="C294" s="44" t="s">
        <v>401</v>
      </c>
      <c r="D294" s="45">
        <v>238</v>
      </c>
      <c r="E294" s="48" t="s">
        <v>110</v>
      </c>
      <c r="F294" s="48" t="s">
        <v>90</v>
      </c>
      <c r="G294" s="48" t="s">
        <v>91</v>
      </c>
      <c r="J294" s="44">
        <f>YEAR(A294)</f>
        <v>2023</v>
      </c>
      <c r="L294" s="44" t="s">
        <v>699</v>
      </c>
    </row>
    <row r="295" spans="1:12" ht="12" customHeight="1" x14ac:dyDescent="0.25">
      <c r="A295" s="43">
        <v>44942</v>
      </c>
      <c r="B295" s="47">
        <v>15192</v>
      </c>
      <c r="C295" s="44" t="s">
        <v>401</v>
      </c>
      <c r="D295" s="45">
        <v>-238</v>
      </c>
      <c r="E295" s="48" t="s">
        <v>299</v>
      </c>
      <c r="F295" s="48" t="s">
        <v>90</v>
      </c>
      <c r="G295" s="48" t="s">
        <v>91</v>
      </c>
      <c r="H295" s="44" t="s">
        <v>402</v>
      </c>
      <c r="I295" s="44" t="s">
        <v>633</v>
      </c>
      <c r="J295" s="44">
        <f>YEAR(A295)</f>
        <v>2023</v>
      </c>
    </row>
    <row r="296" spans="1:12" ht="12" customHeight="1" x14ac:dyDescent="0.25">
      <c r="A296" s="43">
        <v>44942</v>
      </c>
      <c r="B296" s="47">
        <v>15193</v>
      </c>
      <c r="C296" s="44" t="s">
        <v>225</v>
      </c>
      <c r="D296" s="45">
        <v>-41.5</v>
      </c>
      <c r="E296" s="48" t="s">
        <v>222</v>
      </c>
      <c r="F296" s="48" t="s">
        <v>90</v>
      </c>
      <c r="G296" s="48" t="s">
        <v>225</v>
      </c>
      <c r="J296" s="44">
        <f>YEAR(A296)</f>
        <v>2023</v>
      </c>
    </row>
    <row r="297" spans="1:12" ht="12" customHeight="1" x14ac:dyDescent="0.25">
      <c r="A297" s="43">
        <v>44942</v>
      </c>
      <c r="B297" s="47">
        <v>15193</v>
      </c>
      <c r="C297" s="44" t="s">
        <v>225</v>
      </c>
      <c r="D297" s="45">
        <v>41.5</v>
      </c>
      <c r="E297" s="48" t="s">
        <v>299</v>
      </c>
      <c r="F297" s="48" t="s">
        <v>90</v>
      </c>
      <c r="G297" s="48" t="s">
        <v>91</v>
      </c>
      <c r="H297" s="44" t="s">
        <v>398</v>
      </c>
      <c r="I297" s="44" t="s">
        <v>634</v>
      </c>
      <c r="J297" s="44">
        <f>YEAR(A297)</f>
        <v>2023</v>
      </c>
    </row>
    <row r="298" spans="1:12" ht="12" customHeight="1" x14ac:dyDescent="0.25">
      <c r="A298" s="43">
        <v>44944</v>
      </c>
      <c r="B298" s="47">
        <v>15194</v>
      </c>
      <c r="C298" s="44" t="s">
        <v>225</v>
      </c>
      <c r="D298" s="45">
        <v>-16.5</v>
      </c>
      <c r="E298" s="48" t="s">
        <v>222</v>
      </c>
      <c r="F298" s="48" t="s">
        <v>90</v>
      </c>
      <c r="G298" s="48" t="s">
        <v>225</v>
      </c>
      <c r="J298" s="44">
        <f>YEAR(A298)</f>
        <v>2023</v>
      </c>
    </row>
    <row r="299" spans="1:12" ht="12" customHeight="1" x14ac:dyDescent="0.25">
      <c r="A299" s="43">
        <v>44944</v>
      </c>
      <c r="B299" s="47">
        <v>15194</v>
      </c>
      <c r="C299" s="44" t="s">
        <v>225</v>
      </c>
      <c r="D299" s="45">
        <v>16.5</v>
      </c>
      <c r="E299" s="48" t="s">
        <v>299</v>
      </c>
      <c r="F299" s="48" t="s">
        <v>90</v>
      </c>
      <c r="G299" s="48" t="s">
        <v>91</v>
      </c>
      <c r="H299" s="44" t="s">
        <v>398</v>
      </c>
      <c r="I299" s="44" t="s">
        <v>634</v>
      </c>
      <c r="J299" s="44">
        <f>YEAR(A299)</f>
        <v>2023</v>
      </c>
    </row>
    <row r="300" spans="1:12" ht="12" customHeight="1" x14ac:dyDescent="0.25">
      <c r="A300" s="43">
        <v>44965</v>
      </c>
      <c r="B300" s="47">
        <v>15195</v>
      </c>
      <c r="C300" s="44" t="s">
        <v>225</v>
      </c>
      <c r="D300" s="45">
        <v>-36.08</v>
      </c>
      <c r="E300" s="48" t="s">
        <v>222</v>
      </c>
      <c r="F300" s="48" t="s">
        <v>90</v>
      </c>
      <c r="G300" s="48" t="s">
        <v>225</v>
      </c>
      <c r="J300" s="44">
        <f>YEAR(A300)</f>
        <v>2023</v>
      </c>
    </row>
    <row r="301" spans="1:12" ht="12" customHeight="1" x14ac:dyDescent="0.25">
      <c r="A301" s="43">
        <v>44965</v>
      </c>
      <c r="B301" s="47">
        <v>15195</v>
      </c>
      <c r="C301" s="44" t="s">
        <v>225</v>
      </c>
      <c r="D301" s="45">
        <v>36.08</v>
      </c>
      <c r="E301" s="48" t="s">
        <v>299</v>
      </c>
      <c r="F301" s="48" t="s">
        <v>90</v>
      </c>
      <c r="G301" s="48" t="s">
        <v>91</v>
      </c>
      <c r="H301" s="44" t="s">
        <v>398</v>
      </c>
      <c r="I301" s="44" t="s">
        <v>634</v>
      </c>
      <c r="J301" s="44">
        <f>YEAR(A301)</f>
        <v>2023</v>
      </c>
    </row>
    <row r="302" spans="1:12" ht="12" customHeight="1" x14ac:dyDescent="0.25">
      <c r="A302" s="43">
        <v>44945</v>
      </c>
      <c r="B302" s="47">
        <v>15196</v>
      </c>
      <c r="C302" s="44" t="s">
        <v>405</v>
      </c>
      <c r="D302" s="45">
        <v>-44.05</v>
      </c>
      <c r="E302" s="48" t="s">
        <v>299</v>
      </c>
      <c r="F302" s="48" t="s">
        <v>90</v>
      </c>
      <c r="G302" s="48" t="s">
        <v>91</v>
      </c>
      <c r="H302" s="44" t="s">
        <v>391</v>
      </c>
      <c r="I302" s="44" t="s">
        <v>633</v>
      </c>
      <c r="J302" s="44">
        <f>YEAR(A302)</f>
        <v>2023</v>
      </c>
    </row>
    <row r="303" spans="1:12" ht="12" customHeight="1" x14ac:dyDescent="0.25">
      <c r="A303" s="43">
        <v>44945</v>
      </c>
      <c r="B303" s="47">
        <v>15196</v>
      </c>
      <c r="C303" s="44" t="s">
        <v>405</v>
      </c>
      <c r="D303" s="45">
        <v>44.05</v>
      </c>
      <c r="E303" s="48" t="s">
        <v>157</v>
      </c>
      <c r="F303" s="48" t="s">
        <v>137</v>
      </c>
      <c r="G303" s="48" t="s">
        <v>115</v>
      </c>
      <c r="J303" s="44">
        <f>YEAR(A303)</f>
        <v>2023</v>
      </c>
    </row>
    <row r="304" spans="1:12" ht="12" customHeight="1" x14ac:dyDescent="0.25">
      <c r="A304" s="43">
        <v>44946</v>
      </c>
      <c r="B304" s="47">
        <v>15197</v>
      </c>
      <c r="C304" s="44" t="s">
        <v>406</v>
      </c>
      <c r="D304" s="45">
        <v>-112.54</v>
      </c>
      <c r="E304" s="48" t="s">
        <v>299</v>
      </c>
      <c r="F304" s="48" t="s">
        <v>90</v>
      </c>
      <c r="G304" s="48" t="s">
        <v>91</v>
      </c>
      <c r="H304" s="44" t="s">
        <v>391</v>
      </c>
      <c r="I304" s="44" t="s">
        <v>633</v>
      </c>
      <c r="J304" s="44">
        <f>YEAR(A304)</f>
        <v>2023</v>
      </c>
    </row>
    <row r="305" spans="1:12" ht="12" customHeight="1" x14ac:dyDescent="0.25">
      <c r="A305" s="43">
        <v>44946</v>
      </c>
      <c r="B305" s="47">
        <v>15197</v>
      </c>
      <c r="C305" s="44" t="s">
        <v>406</v>
      </c>
      <c r="D305" s="45">
        <v>112.54</v>
      </c>
      <c r="E305" s="48" t="s">
        <v>157</v>
      </c>
      <c r="F305" s="48" t="s">
        <v>137</v>
      </c>
      <c r="G305" s="48" t="s">
        <v>115</v>
      </c>
      <c r="J305" s="44">
        <f>YEAR(A305)</f>
        <v>2023</v>
      </c>
    </row>
    <row r="306" spans="1:12" ht="12" customHeight="1" x14ac:dyDescent="0.25">
      <c r="A306" s="43">
        <v>44950</v>
      </c>
      <c r="B306" s="47">
        <v>15198</v>
      </c>
      <c r="C306" s="44" t="s">
        <v>407</v>
      </c>
      <c r="D306" s="45">
        <v>14.99</v>
      </c>
      <c r="E306" s="48" t="s">
        <v>157</v>
      </c>
      <c r="F306" s="48" t="s">
        <v>116</v>
      </c>
      <c r="G306" s="48" t="s">
        <v>91</v>
      </c>
      <c r="J306" s="44">
        <f>YEAR(A306)</f>
        <v>2023</v>
      </c>
    </row>
    <row r="307" spans="1:12" ht="12" customHeight="1" x14ac:dyDescent="0.25">
      <c r="A307" s="43">
        <v>44950</v>
      </c>
      <c r="B307" s="47">
        <v>15198</v>
      </c>
      <c r="C307" s="44" t="s">
        <v>407</v>
      </c>
      <c r="D307" s="45">
        <v>-14.99</v>
      </c>
      <c r="E307" s="48" t="s">
        <v>299</v>
      </c>
      <c r="F307" s="48" t="s">
        <v>90</v>
      </c>
      <c r="G307" s="48" t="s">
        <v>91</v>
      </c>
      <c r="H307" s="44" t="s">
        <v>391</v>
      </c>
      <c r="I307" s="44" t="s">
        <v>633</v>
      </c>
      <c r="J307" s="44">
        <f>YEAR(A307)</f>
        <v>2023</v>
      </c>
    </row>
    <row r="308" spans="1:12" ht="12" customHeight="1" x14ac:dyDescent="0.25">
      <c r="A308" s="43">
        <v>44946</v>
      </c>
      <c r="B308" s="47">
        <v>15199</v>
      </c>
      <c r="C308" s="44" t="s">
        <v>513</v>
      </c>
      <c r="D308" s="45">
        <v>17.5</v>
      </c>
      <c r="E308" s="48" t="s">
        <v>124</v>
      </c>
      <c r="F308" s="48" t="s">
        <v>128</v>
      </c>
      <c r="G308" s="48" t="s">
        <v>91</v>
      </c>
      <c r="J308" s="44">
        <f>YEAR(A308)</f>
        <v>2023</v>
      </c>
    </row>
    <row r="309" spans="1:12" ht="12" customHeight="1" x14ac:dyDescent="0.25">
      <c r="A309" s="43">
        <v>44946</v>
      </c>
      <c r="B309" s="47">
        <v>15199</v>
      </c>
      <c r="C309" s="44" t="s">
        <v>513</v>
      </c>
      <c r="D309" s="45">
        <v>-17.5</v>
      </c>
      <c r="E309" s="48" t="s">
        <v>299</v>
      </c>
      <c r="F309" s="48" t="s">
        <v>90</v>
      </c>
      <c r="G309" s="48" t="s">
        <v>91</v>
      </c>
      <c r="H309" s="44" t="s">
        <v>391</v>
      </c>
      <c r="I309" s="44" t="s">
        <v>633</v>
      </c>
      <c r="J309" s="44">
        <f>YEAR(A309)</f>
        <v>2023</v>
      </c>
    </row>
    <row r="310" spans="1:12" ht="12" customHeight="1" x14ac:dyDescent="0.25">
      <c r="A310" s="43">
        <v>44946</v>
      </c>
      <c r="B310" s="47">
        <v>15200</v>
      </c>
      <c r="C310" s="44" t="s">
        <v>513</v>
      </c>
      <c r="D310" s="45">
        <v>17.5</v>
      </c>
      <c r="E310" s="48" t="s">
        <v>124</v>
      </c>
      <c r="F310" s="48" t="s">
        <v>128</v>
      </c>
      <c r="G310" s="48" t="s">
        <v>91</v>
      </c>
      <c r="J310" s="44">
        <f>YEAR(A310)</f>
        <v>2023</v>
      </c>
    </row>
    <row r="311" spans="1:12" ht="12" customHeight="1" x14ac:dyDescent="0.25">
      <c r="A311" s="43">
        <v>44946</v>
      </c>
      <c r="B311" s="47">
        <v>15200</v>
      </c>
      <c r="C311" s="44" t="s">
        <v>513</v>
      </c>
      <c r="D311" s="45">
        <v>-17.5</v>
      </c>
      <c r="E311" s="48" t="s">
        <v>299</v>
      </c>
      <c r="F311" s="48" t="s">
        <v>90</v>
      </c>
      <c r="G311" s="48" t="s">
        <v>91</v>
      </c>
      <c r="H311" s="44" t="s">
        <v>391</v>
      </c>
      <c r="I311" s="44" t="s">
        <v>633</v>
      </c>
      <c r="J311" s="44">
        <f>YEAR(A311)</f>
        <v>2023</v>
      </c>
    </row>
    <row r="312" spans="1:12" ht="12" customHeight="1" x14ac:dyDescent="0.25">
      <c r="A312" s="43">
        <v>44963</v>
      </c>
      <c r="B312" s="47">
        <v>15201</v>
      </c>
      <c r="C312" s="44" t="s">
        <v>444</v>
      </c>
      <c r="D312" s="45">
        <v>51.71</v>
      </c>
      <c r="E312" s="48" t="s">
        <v>89</v>
      </c>
      <c r="F312" s="48" t="s">
        <v>90</v>
      </c>
      <c r="G312" s="48" t="s">
        <v>91</v>
      </c>
      <c r="J312" s="44">
        <f>YEAR(A312)</f>
        <v>2023</v>
      </c>
    </row>
    <row r="313" spans="1:12" ht="12" customHeight="1" x14ac:dyDescent="0.25">
      <c r="A313" s="43">
        <v>44963</v>
      </c>
      <c r="B313" s="47">
        <v>15201</v>
      </c>
      <c r="C313" s="44" t="s">
        <v>444</v>
      </c>
      <c r="D313" s="45">
        <v>22.2</v>
      </c>
      <c r="E313" s="48" t="s">
        <v>197</v>
      </c>
      <c r="F313" s="48" t="s">
        <v>96</v>
      </c>
      <c r="G313" s="48" t="s">
        <v>91</v>
      </c>
      <c r="J313" s="44">
        <f>YEAR(A313)</f>
        <v>2023</v>
      </c>
    </row>
    <row r="314" spans="1:12" ht="12" customHeight="1" x14ac:dyDescent="0.25">
      <c r="A314" s="43">
        <v>44963</v>
      </c>
      <c r="B314" s="47">
        <v>15201</v>
      </c>
      <c r="C314" s="44" t="s">
        <v>444</v>
      </c>
      <c r="D314" s="45">
        <v>19.07</v>
      </c>
      <c r="E314" s="48" t="s">
        <v>157</v>
      </c>
      <c r="F314" s="48" t="s">
        <v>96</v>
      </c>
      <c r="G314" s="48" t="s">
        <v>91</v>
      </c>
      <c r="J314" s="44">
        <f>YEAR(A314)</f>
        <v>2023</v>
      </c>
    </row>
    <row r="315" spans="1:12" ht="12" customHeight="1" x14ac:dyDescent="0.25">
      <c r="A315" s="43">
        <v>44963</v>
      </c>
      <c r="B315" s="47">
        <v>15201</v>
      </c>
      <c r="C315" s="44" t="s">
        <v>444</v>
      </c>
      <c r="D315" s="45">
        <v>-92.98</v>
      </c>
      <c r="E315" s="48" t="s">
        <v>299</v>
      </c>
      <c r="F315" s="48" t="s">
        <v>90</v>
      </c>
      <c r="G315" s="48" t="s">
        <v>91</v>
      </c>
      <c r="H315" s="44" t="s">
        <v>459</v>
      </c>
      <c r="I315" s="44" t="s">
        <v>633</v>
      </c>
      <c r="J315" s="44">
        <f>YEAR(A315)</f>
        <v>2023</v>
      </c>
    </row>
    <row r="316" spans="1:12" ht="12" customHeight="1" x14ac:dyDescent="0.25">
      <c r="A316" s="43">
        <v>44964</v>
      </c>
      <c r="B316" s="47">
        <v>15202</v>
      </c>
      <c r="C316" s="44" t="s">
        <v>440</v>
      </c>
      <c r="D316" s="45">
        <v>306.13</v>
      </c>
      <c r="E316" s="48" t="s">
        <v>124</v>
      </c>
      <c r="F316" s="48" t="s">
        <v>90</v>
      </c>
      <c r="G316" s="48" t="s">
        <v>91</v>
      </c>
      <c r="J316" s="44">
        <f>YEAR(A316)</f>
        <v>2023</v>
      </c>
    </row>
    <row r="317" spans="1:12" ht="12" customHeight="1" x14ac:dyDescent="0.25">
      <c r="A317" s="43">
        <v>44964</v>
      </c>
      <c r="B317" s="47">
        <v>15202</v>
      </c>
      <c r="C317" s="44" t="s">
        <v>440</v>
      </c>
      <c r="D317" s="45">
        <v>-306.13</v>
      </c>
      <c r="E317" s="48" t="s">
        <v>299</v>
      </c>
      <c r="F317" s="48" t="s">
        <v>90</v>
      </c>
      <c r="G317" s="48" t="s">
        <v>91</v>
      </c>
      <c r="H317" s="44" t="s">
        <v>391</v>
      </c>
      <c r="I317" s="44" t="s">
        <v>633</v>
      </c>
      <c r="J317" s="44">
        <f>YEAR(A317)</f>
        <v>2023</v>
      </c>
    </row>
    <row r="318" spans="1:12" ht="12" customHeight="1" x14ac:dyDescent="0.25">
      <c r="A318" s="43">
        <v>44942</v>
      </c>
      <c r="B318" s="47">
        <v>15203</v>
      </c>
      <c r="C318" s="44" t="s">
        <v>635</v>
      </c>
      <c r="D318" s="45">
        <v>-59</v>
      </c>
      <c r="E318" s="48" t="s">
        <v>110</v>
      </c>
      <c r="F318" s="48" t="s">
        <v>90</v>
      </c>
      <c r="G318" s="48" t="s">
        <v>91</v>
      </c>
      <c r="J318" s="44">
        <f>YEAR(A318)</f>
        <v>2023</v>
      </c>
      <c r="K318" s="49" t="s">
        <v>701</v>
      </c>
      <c r="L318" s="44" t="s">
        <v>700</v>
      </c>
    </row>
    <row r="319" spans="1:12" ht="12" customHeight="1" x14ac:dyDescent="0.25">
      <c r="A319" s="43">
        <v>44942</v>
      </c>
      <c r="B319" s="47">
        <v>15203</v>
      </c>
      <c r="C319" s="44" t="s">
        <v>635</v>
      </c>
      <c r="D319" s="45">
        <v>59</v>
      </c>
      <c r="E319" s="48" t="s">
        <v>299</v>
      </c>
      <c r="F319" s="48" t="s">
        <v>90</v>
      </c>
      <c r="G319" s="48" t="s">
        <v>91</v>
      </c>
      <c r="H319" s="44" t="s">
        <v>398</v>
      </c>
      <c r="I319" s="44" t="s">
        <v>634</v>
      </c>
      <c r="J319" s="44">
        <f>YEAR(A319)</f>
        <v>2023</v>
      </c>
    </row>
    <row r="320" spans="1:12" ht="12" customHeight="1" x14ac:dyDescent="0.25">
      <c r="A320" s="43">
        <v>44960</v>
      </c>
      <c r="B320" s="47">
        <v>15204</v>
      </c>
      <c r="C320" s="44" t="s">
        <v>410</v>
      </c>
      <c r="D320" s="45">
        <v>-705.31</v>
      </c>
      <c r="E320" s="48" t="s">
        <v>214</v>
      </c>
      <c r="F320" s="48" t="s">
        <v>128</v>
      </c>
      <c r="G320" s="48" t="s">
        <v>99</v>
      </c>
      <c r="J320" s="44">
        <f>YEAR(A320)</f>
        <v>2023</v>
      </c>
    </row>
    <row r="321" spans="1:10" ht="12" customHeight="1" x14ac:dyDescent="0.25">
      <c r="A321" s="43">
        <v>44960</v>
      </c>
      <c r="B321" s="47">
        <v>15204</v>
      </c>
      <c r="C321" s="44" t="s">
        <v>411</v>
      </c>
      <c r="D321" s="45">
        <v>110.98</v>
      </c>
      <c r="E321" s="48" t="s">
        <v>110</v>
      </c>
      <c r="F321" s="48" t="s">
        <v>90</v>
      </c>
      <c r="G321" s="48" t="s">
        <v>91</v>
      </c>
      <c r="J321" s="44">
        <f>YEAR(A321)</f>
        <v>2023</v>
      </c>
    </row>
    <row r="322" spans="1:10" ht="12" customHeight="1" x14ac:dyDescent="0.25">
      <c r="A322" s="43">
        <v>44960</v>
      </c>
      <c r="B322" s="47">
        <v>15204</v>
      </c>
      <c r="C322" s="44" t="s">
        <v>410</v>
      </c>
      <c r="D322" s="45">
        <v>594.33000000000004</v>
      </c>
      <c r="E322" s="48" t="s">
        <v>299</v>
      </c>
      <c r="F322" s="48" t="s">
        <v>90</v>
      </c>
      <c r="G322" s="48" t="s">
        <v>91</v>
      </c>
      <c r="H322" s="44" t="s">
        <v>398</v>
      </c>
      <c r="I322" s="44" t="s">
        <v>634</v>
      </c>
      <c r="J322" s="44">
        <f>YEAR(A322)</f>
        <v>2023</v>
      </c>
    </row>
    <row r="323" spans="1:10" ht="12" customHeight="1" x14ac:dyDescent="0.25">
      <c r="A323" s="43">
        <v>44956</v>
      </c>
      <c r="B323" s="47">
        <v>15205</v>
      </c>
      <c r="C323" s="44" t="s">
        <v>560</v>
      </c>
      <c r="D323" s="45">
        <v>-395.38</v>
      </c>
      <c r="E323" s="48" t="s">
        <v>214</v>
      </c>
      <c r="F323" s="48" t="s">
        <v>128</v>
      </c>
      <c r="G323" s="48" t="s">
        <v>99</v>
      </c>
      <c r="J323" s="44">
        <f>YEAR(A323)</f>
        <v>2023</v>
      </c>
    </row>
    <row r="324" spans="1:10" ht="12" customHeight="1" x14ac:dyDescent="0.25">
      <c r="A324" s="43">
        <v>44956</v>
      </c>
      <c r="B324" s="47">
        <v>15205</v>
      </c>
      <c r="C324" s="44" t="s">
        <v>560</v>
      </c>
      <c r="D324" s="45">
        <v>62.2</v>
      </c>
      <c r="E324" s="48" t="s">
        <v>110</v>
      </c>
      <c r="F324" s="48" t="s">
        <v>90</v>
      </c>
      <c r="G324" s="48" t="s">
        <v>91</v>
      </c>
      <c r="J324" s="44">
        <f>YEAR(A324)</f>
        <v>2023</v>
      </c>
    </row>
    <row r="325" spans="1:10" ht="12" customHeight="1" x14ac:dyDescent="0.25">
      <c r="A325" s="43">
        <v>44956</v>
      </c>
      <c r="B325" s="47">
        <v>15205</v>
      </c>
      <c r="C325" s="44" t="s">
        <v>560</v>
      </c>
      <c r="D325" s="45">
        <v>333.18</v>
      </c>
      <c r="E325" s="48" t="s">
        <v>299</v>
      </c>
      <c r="F325" s="48" t="s">
        <v>90</v>
      </c>
      <c r="G325" s="48" t="s">
        <v>91</v>
      </c>
      <c r="H325" s="44" t="s">
        <v>398</v>
      </c>
      <c r="I325" s="44" t="s">
        <v>634</v>
      </c>
      <c r="J325" s="44">
        <f>YEAR(A325)</f>
        <v>2023</v>
      </c>
    </row>
    <row r="326" spans="1:10" ht="12" customHeight="1" x14ac:dyDescent="0.25">
      <c r="A326" s="43">
        <v>44958</v>
      </c>
      <c r="B326" s="47">
        <v>15206</v>
      </c>
      <c r="C326" s="44" t="s">
        <v>563</v>
      </c>
      <c r="D326" s="45">
        <v>-1128.0899999999999</v>
      </c>
      <c r="E326" s="48" t="s">
        <v>214</v>
      </c>
      <c r="F326" s="48" t="s">
        <v>90</v>
      </c>
      <c r="G326" s="48" t="s">
        <v>99</v>
      </c>
      <c r="J326" s="44">
        <f>YEAR(A326)</f>
        <v>2023</v>
      </c>
    </row>
    <row r="327" spans="1:10" ht="12" customHeight="1" x14ac:dyDescent="0.25">
      <c r="A327" s="43">
        <v>44958</v>
      </c>
      <c r="B327" s="47">
        <v>15206</v>
      </c>
      <c r="C327" s="44" t="s">
        <v>564</v>
      </c>
      <c r="D327" s="45">
        <v>171.43</v>
      </c>
      <c r="E327" s="48" t="s">
        <v>110</v>
      </c>
      <c r="F327" s="48" t="s">
        <v>90</v>
      </c>
      <c r="G327" s="48" t="s">
        <v>91</v>
      </c>
      <c r="J327" s="44">
        <f>YEAR(A327)</f>
        <v>2023</v>
      </c>
    </row>
    <row r="328" spans="1:10" ht="12" customHeight="1" x14ac:dyDescent="0.25">
      <c r="A328" s="43">
        <v>44958</v>
      </c>
      <c r="B328" s="47">
        <v>15206</v>
      </c>
      <c r="C328" s="44" t="s">
        <v>563</v>
      </c>
      <c r="D328" s="45">
        <v>956.66</v>
      </c>
      <c r="E328" s="48" t="s">
        <v>299</v>
      </c>
      <c r="F328" s="48" t="s">
        <v>90</v>
      </c>
      <c r="G328" s="48" t="s">
        <v>91</v>
      </c>
      <c r="H328" s="44" t="s">
        <v>398</v>
      </c>
      <c r="I328" s="44" t="s">
        <v>634</v>
      </c>
      <c r="J328" s="44">
        <f>YEAR(A328)</f>
        <v>2023</v>
      </c>
    </row>
    <row r="329" spans="1:10" ht="12" customHeight="1" x14ac:dyDescent="0.25">
      <c r="A329" s="43">
        <v>44950</v>
      </c>
      <c r="B329" s="47">
        <v>15207</v>
      </c>
      <c r="C329" s="44" t="s">
        <v>636</v>
      </c>
      <c r="D329" s="45">
        <v>35</v>
      </c>
      <c r="E329" s="48" t="s">
        <v>299</v>
      </c>
      <c r="F329" s="48" t="s">
        <v>90</v>
      </c>
      <c r="G329" s="48" t="s">
        <v>91</v>
      </c>
      <c r="H329" s="44" t="s">
        <v>398</v>
      </c>
      <c r="I329" s="44" t="s">
        <v>634</v>
      </c>
      <c r="J329" s="44">
        <f>YEAR(A329)</f>
        <v>2023</v>
      </c>
    </row>
    <row r="330" spans="1:10" ht="12" customHeight="1" x14ac:dyDescent="0.25">
      <c r="A330" s="43">
        <v>44950</v>
      </c>
      <c r="B330" s="47">
        <v>15207</v>
      </c>
      <c r="C330" s="44" t="s">
        <v>636</v>
      </c>
      <c r="D330" s="45">
        <v>-35</v>
      </c>
      <c r="E330" s="48" t="s">
        <v>299</v>
      </c>
      <c r="F330" s="48" t="s">
        <v>90</v>
      </c>
      <c r="G330" s="48" t="s">
        <v>91</v>
      </c>
      <c r="H330" s="44" t="s">
        <v>391</v>
      </c>
      <c r="I330" s="44" t="s">
        <v>633</v>
      </c>
      <c r="J330" s="44">
        <f>YEAR(A330)</f>
        <v>2023</v>
      </c>
    </row>
    <row r="331" spans="1:10" ht="12" customHeight="1" x14ac:dyDescent="0.25">
      <c r="A331" s="43">
        <v>44975</v>
      </c>
      <c r="B331" s="47">
        <v>15208</v>
      </c>
      <c r="C331" s="44" t="s">
        <v>640</v>
      </c>
      <c r="D331" s="45">
        <v>-144</v>
      </c>
      <c r="E331" s="48" t="s">
        <v>299</v>
      </c>
      <c r="F331" s="48" t="s">
        <v>321</v>
      </c>
      <c r="G331" s="48" t="s">
        <v>99</v>
      </c>
      <c r="J331" s="44">
        <f>YEAR(A331)</f>
        <v>2023</v>
      </c>
    </row>
    <row r="332" spans="1:10" ht="12" customHeight="1" x14ac:dyDescent="0.25">
      <c r="A332" s="43">
        <v>44975</v>
      </c>
      <c r="B332" s="47">
        <v>15208</v>
      </c>
      <c r="C332" s="44" t="s">
        <v>640</v>
      </c>
      <c r="D332" s="45">
        <v>144</v>
      </c>
      <c r="E332" s="48" t="s">
        <v>299</v>
      </c>
      <c r="F332" s="48" t="s">
        <v>90</v>
      </c>
      <c r="G332" s="48" t="s">
        <v>91</v>
      </c>
      <c r="H332" s="44" t="s">
        <v>398</v>
      </c>
      <c r="I332" s="44" t="s">
        <v>659</v>
      </c>
      <c r="J332" s="44">
        <f>YEAR(A332)</f>
        <v>2023</v>
      </c>
    </row>
    <row r="333" spans="1:10" ht="12" customHeight="1" x14ac:dyDescent="0.25">
      <c r="A333" s="43">
        <v>44952</v>
      </c>
      <c r="B333" s="47">
        <v>15209</v>
      </c>
      <c r="C333" s="44" t="s">
        <v>496</v>
      </c>
      <c r="D333" s="45">
        <v>35.6</v>
      </c>
      <c r="E333" s="48" t="s">
        <v>89</v>
      </c>
      <c r="F333" s="48" t="s">
        <v>90</v>
      </c>
      <c r="G333" s="48" t="s">
        <v>91</v>
      </c>
      <c r="J333" s="44">
        <f>YEAR(A333)</f>
        <v>2023</v>
      </c>
    </row>
    <row r="334" spans="1:10" ht="12" customHeight="1" x14ac:dyDescent="0.25">
      <c r="A334" s="43">
        <v>44936</v>
      </c>
      <c r="B334" s="47">
        <v>15209</v>
      </c>
      <c r="C334" s="44" t="s">
        <v>490</v>
      </c>
      <c r="D334" s="45">
        <v>9.9</v>
      </c>
      <c r="E334" s="48" t="s">
        <v>197</v>
      </c>
      <c r="F334" s="48" t="s">
        <v>90</v>
      </c>
      <c r="G334" s="48" t="s">
        <v>91</v>
      </c>
      <c r="J334" s="44">
        <f>YEAR(A334)</f>
        <v>2023</v>
      </c>
    </row>
    <row r="335" spans="1:10" ht="12" customHeight="1" x14ac:dyDescent="0.25">
      <c r="A335" s="43">
        <v>44966</v>
      </c>
      <c r="B335" s="47">
        <v>15209</v>
      </c>
      <c r="C335" s="44" t="s">
        <v>639</v>
      </c>
      <c r="D335" s="45">
        <v>8.6</v>
      </c>
      <c r="E335" s="48" t="s">
        <v>89</v>
      </c>
      <c r="F335" s="48" t="s">
        <v>90</v>
      </c>
      <c r="G335" s="48" t="s">
        <v>91</v>
      </c>
      <c r="J335" s="44">
        <f>YEAR(A335)</f>
        <v>2023</v>
      </c>
    </row>
    <row r="336" spans="1:10" ht="12" customHeight="1" x14ac:dyDescent="0.25">
      <c r="A336" s="43">
        <v>44951</v>
      </c>
      <c r="B336" s="47">
        <v>15209</v>
      </c>
      <c r="C336" s="44" t="s">
        <v>489</v>
      </c>
      <c r="D336" s="45">
        <v>19.989999999999998</v>
      </c>
      <c r="E336" s="48" t="s">
        <v>157</v>
      </c>
      <c r="F336" s="48" t="s">
        <v>155</v>
      </c>
      <c r="G336" s="48" t="s">
        <v>99</v>
      </c>
      <c r="J336" s="44">
        <f>YEAR(A336)</f>
        <v>2023</v>
      </c>
    </row>
    <row r="337" spans="1:10" ht="12" customHeight="1" x14ac:dyDescent="0.25">
      <c r="A337" s="43">
        <v>44951</v>
      </c>
      <c r="B337" s="47">
        <v>15209</v>
      </c>
      <c r="C337" s="44" t="s">
        <v>614</v>
      </c>
      <c r="D337" s="45">
        <v>1.8</v>
      </c>
      <c r="E337" s="48" t="s">
        <v>89</v>
      </c>
      <c r="F337" s="48" t="s">
        <v>90</v>
      </c>
      <c r="G337" s="48" t="s">
        <v>91</v>
      </c>
      <c r="J337" s="44">
        <f>YEAR(A337)</f>
        <v>2023</v>
      </c>
    </row>
    <row r="338" spans="1:10" ht="12" customHeight="1" x14ac:dyDescent="0.25">
      <c r="A338" s="43">
        <v>44941</v>
      </c>
      <c r="B338" s="47">
        <v>15209</v>
      </c>
      <c r="C338" s="44" t="s">
        <v>641</v>
      </c>
      <c r="D338" s="45">
        <v>-75.89</v>
      </c>
      <c r="E338" s="48" t="s">
        <v>299</v>
      </c>
      <c r="F338" s="48" t="s">
        <v>90</v>
      </c>
      <c r="G338" s="48" t="s">
        <v>91</v>
      </c>
      <c r="H338" s="44" t="s">
        <v>402</v>
      </c>
      <c r="I338" s="44" t="s">
        <v>658</v>
      </c>
      <c r="J338" s="44">
        <f>YEAR(A338)</f>
        <v>2023</v>
      </c>
    </row>
    <row r="339" spans="1:10" ht="12" customHeight="1" x14ac:dyDescent="0.25">
      <c r="A339" s="43">
        <v>44954</v>
      </c>
      <c r="B339" s="47">
        <v>15210</v>
      </c>
      <c r="C339" s="44" t="s">
        <v>451</v>
      </c>
      <c r="D339" s="45">
        <v>4.3</v>
      </c>
      <c r="E339" s="48" t="s">
        <v>89</v>
      </c>
      <c r="F339" s="48" t="s">
        <v>90</v>
      </c>
      <c r="G339" s="48" t="s">
        <v>91</v>
      </c>
      <c r="J339" s="44">
        <f>YEAR(A339)</f>
        <v>2023</v>
      </c>
    </row>
    <row r="340" spans="1:10" ht="12" customHeight="1" x14ac:dyDescent="0.25">
      <c r="A340" s="43">
        <v>44954</v>
      </c>
      <c r="B340" s="47">
        <v>15210</v>
      </c>
      <c r="C340" s="44" t="s">
        <v>509</v>
      </c>
      <c r="D340" s="45">
        <v>71.989999999999995</v>
      </c>
      <c r="E340" s="48" t="s">
        <v>180</v>
      </c>
      <c r="F340" s="48" t="s">
        <v>96</v>
      </c>
      <c r="G340" s="48" t="s">
        <v>592</v>
      </c>
      <c r="J340" s="44">
        <f>YEAR(A340)</f>
        <v>2023</v>
      </c>
    </row>
    <row r="341" spans="1:10" ht="12" customHeight="1" x14ac:dyDescent="0.25">
      <c r="A341" s="43">
        <v>44966</v>
      </c>
      <c r="B341" s="47">
        <v>15210</v>
      </c>
      <c r="C341" s="44" t="s">
        <v>571</v>
      </c>
      <c r="D341" s="45">
        <v>84.71</v>
      </c>
      <c r="E341" s="48" t="s">
        <v>180</v>
      </c>
      <c r="F341" s="48" t="s">
        <v>96</v>
      </c>
      <c r="G341" s="48" t="s">
        <v>187</v>
      </c>
      <c r="J341" s="44">
        <f>YEAR(A341)</f>
        <v>2023</v>
      </c>
    </row>
    <row r="342" spans="1:10" ht="12" customHeight="1" x14ac:dyDescent="0.25">
      <c r="A342" s="43">
        <v>44968</v>
      </c>
      <c r="B342" s="47">
        <v>15210</v>
      </c>
      <c r="C342" s="44" t="s">
        <v>469</v>
      </c>
      <c r="D342" s="45">
        <v>10.4</v>
      </c>
      <c r="E342" s="48" t="s">
        <v>89</v>
      </c>
      <c r="F342" s="48" t="s">
        <v>90</v>
      </c>
      <c r="G342" s="48" t="s">
        <v>91</v>
      </c>
      <c r="J342" s="44">
        <f>YEAR(A342)</f>
        <v>2023</v>
      </c>
    </row>
    <row r="343" spans="1:10" ht="12" customHeight="1" x14ac:dyDescent="0.25">
      <c r="A343" s="43">
        <v>44970</v>
      </c>
      <c r="B343" s="47">
        <v>15210</v>
      </c>
      <c r="C343" s="44" t="s">
        <v>451</v>
      </c>
      <c r="D343" s="45">
        <v>1.5</v>
      </c>
      <c r="E343" s="48" t="s">
        <v>89</v>
      </c>
      <c r="F343" s="48" t="s">
        <v>90</v>
      </c>
      <c r="G343" s="48" t="s">
        <v>91</v>
      </c>
      <c r="J343" s="44">
        <f>YEAR(A343)</f>
        <v>2023</v>
      </c>
    </row>
    <row r="344" spans="1:10" ht="12" customHeight="1" x14ac:dyDescent="0.25">
      <c r="A344" s="43">
        <v>44974</v>
      </c>
      <c r="B344" s="47">
        <v>15210</v>
      </c>
      <c r="C344" s="44" t="s">
        <v>451</v>
      </c>
      <c r="D344" s="45">
        <v>2.2999999999999998</v>
      </c>
      <c r="E344" s="48" t="s">
        <v>89</v>
      </c>
      <c r="F344" s="48" t="s">
        <v>90</v>
      </c>
      <c r="G344" s="48" t="s">
        <v>91</v>
      </c>
      <c r="J344" s="44">
        <f>YEAR(A344)</f>
        <v>2023</v>
      </c>
    </row>
    <row r="345" spans="1:10" ht="12" customHeight="1" x14ac:dyDescent="0.25">
      <c r="A345" s="43">
        <v>44975</v>
      </c>
      <c r="B345" s="47">
        <v>15210</v>
      </c>
      <c r="C345" s="44" t="s">
        <v>469</v>
      </c>
      <c r="D345" s="45">
        <v>9.4</v>
      </c>
      <c r="E345" s="48" t="s">
        <v>89</v>
      </c>
      <c r="F345" s="48" t="s">
        <v>90</v>
      </c>
      <c r="G345" s="48" t="s">
        <v>91</v>
      </c>
      <c r="J345" s="44">
        <f>YEAR(A345)</f>
        <v>2023</v>
      </c>
    </row>
    <row r="346" spans="1:10" ht="12" customHeight="1" x14ac:dyDescent="0.25">
      <c r="A346" s="43">
        <v>44975</v>
      </c>
      <c r="B346" s="47">
        <v>15210</v>
      </c>
      <c r="C346" s="44" t="s">
        <v>642</v>
      </c>
      <c r="D346" s="45">
        <v>27.83</v>
      </c>
      <c r="E346" s="48" t="s">
        <v>89</v>
      </c>
      <c r="F346" s="48" t="s">
        <v>90</v>
      </c>
      <c r="G346" s="48" t="s">
        <v>91</v>
      </c>
      <c r="J346" s="44">
        <f>YEAR(A346)</f>
        <v>2023</v>
      </c>
    </row>
    <row r="347" spans="1:10" ht="12" customHeight="1" x14ac:dyDescent="0.25">
      <c r="A347" s="43">
        <v>44975</v>
      </c>
      <c r="B347" s="47">
        <v>15210</v>
      </c>
      <c r="C347" s="44" t="s">
        <v>643</v>
      </c>
      <c r="D347" s="45">
        <v>18.079999999999998</v>
      </c>
      <c r="E347" s="48" t="s">
        <v>157</v>
      </c>
      <c r="F347" s="48" t="s">
        <v>96</v>
      </c>
      <c r="G347" s="48" t="s">
        <v>91</v>
      </c>
      <c r="J347" s="44">
        <f>YEAR(A347)</f>
        <v>2023</v>
      </c>
    </row>
    <row r="348" spans="1:10" ht="12" customHeight="1" x14ac:dyDescent="0.25">
      <c r="A348" s="43">
        <v>44975</v>
      </c>
      <c r="B348" s="47">
        <v>15210</v>
      </c>
      <c r="C348" s="44" t="s">
        <v>457</v>
      </c>
      <c r="D348" s="45">
        <v>46.76</v>
      </c>
      <c r="E348" s="48" t="s">
        <v>89</v>
      </c>
      <c r="F348" s="48" t="s">
        <v>90</v>
      </c>
      <c r="G348" s="48" t="s">
        <v>91</v>
      </c>
      <c r="J348" s="44">
        <f>YEAR(A348)</f>
        <v>2023</v>
      </c>
    </row>
    <row r="349" spans="1:10" ht="12" customHeight="1" x14ac:dyDescent="0.25">
      <c r="A349" s="43">
        <v>44975</v>
      </c>
      <c r="B349" s="47">
        <v>15210</v>
      </c>
      <c r="C349" s="44" t="s">
        <v>450</v>
      </c>
      <c r="D349" s="45">
        <v>-277.27</v>
      </c>
      <c r="E349" s="48" t="s">
        <v>299</v>
      </c>
      <c r="F349" s="48" t="s">
        <v>321</v>
      </c>
      <c r="G349" s="48" t="s">
        <v>107</v>
      </c>
      <c r="J349" s="44">
        <f>YEAR(A349)</f>
        <v>2023</v>
      </c>
    </row>
    <row r="350" spans="1:10" ht="12" customHeight="1" x14ac:dyDescent="0.25">
      <c r="A350" s="43">
        <v>44975</v>
      </c>
      <c r="B350" s="47">
        <v>15211</v>
      </c>
      <c r="C350" s="44" t="s">
        <v>452</v>
      </c>
      <c r="D350" s="45">
        <v>-277.27</v>
      </c>
      <c r="E350" s="48" t="s">
        <v>299</v>
      </c>
      <c r="F350" s="48" t="s">
        <v>90</v>
      </c>
      <c r="G350" s="48" t="s">
        <v>91</v>
      </c>
      <c r="H350" s="44" t="s">
        <v>402</v>
      </c>
      <c r="I350" s="44" t="s">
        <v>658</v>
      </c>
      <c r="J350" s="44">
        <f>YEAR(A350)</f>
        <v>2023</v>
      </c>
    </row>
    <row r="351" spans="1:10" ht="12" customHeight="1" x14ac:dyDescent="0.25">
      <c r="A351" s="43">
        <v>44975</v>
      </c>
      <c r="B351" s="47">
        <v>15211</v>
      </c>
      <c r="C351" s="44" t="s">
        <v>452</v>
      </c>
      <c r="D351" s="45">
        <v>277.27</v>
      </c>
      <c r="E351" s="48" t="s">
        <v>299</v>
      </c>
      <c r="F351" s="48" t="s">
        <v>321</v>
      </c>
      <c r="G351" s="48" t="s">
        <v>107</v>
      </c>
      <c r="J351" s="44">
        <f>YEAR(A351)</f>
        <v>2023</v>
      </c>
    </row>
    <row r="352" spans="1:10" ht="12" customHeight="1" x14ac:dyDescent="0.25">
      <c r="A352" s="43">
        <v>44972</v>
      </c>
      <c r="B352" s="47">
        <v>15212</v>
      </c>
      <c r="C352" s="44" t="s">
        <v>585</v>
      </c>
      <c r="D352" s="45">
        <v>-20.5</v>
      </c>
      <c r="E352" s="48" t="s">
        <v>197</v>
      </c>
      <c r="F352" s="48" t="s">
        <v>90</v>
      </c>
      <c r="G352" s="48" t="s">
        <v>99</v>
      </c>
      <c r="J352" s="44">
        <f>YEAR(A352)</f>
        <v>2023</v>
      </c>
    </row>
    <row r="353" spans="1:10" ht="12" customHeight="1" x14ac:dyDescent="0.25">
      <c r="A353" s="43">
        <v>44972</v>
      </c>
      <c r="B353" s="47">
        <v>15212</v>
      </c>
      <c r="C353" s="44" t="s">
        <v>585</v>
      </c>
      <c r="D353" s="45">
        <v>20.5</v>
      </c>
      <c r="E353" s="48" t="s">
        <v>299</v>
      </c>
      <c r="F353" s="48" t="s">
        <v>90</v>
      </c>
      <c r="G353" s="48" t="s">
        <v>91</v>
      </c>
      <c r="H353" s="44" t="s">
        <v>398</v>
      </c>
      <c r="I353" s="44" t="s">
        <v>659</v>
      </c>
      <c r="J353" s="44">
        <f>YEAR(A353)</f>
        <v>2023</v>
      </c>
    </row>
    <row r="354" spans="1:10" ht="12" customHeight="1" x14ac:dyDescent="0.25">
      <c r="A354" s="43">
        <v>44982</v>
      </c>
      <c r="B354" s="47">
        <v>15213</v>
      </c>
      <c r="C354" s="44" t="s">
        <v>768</v>
      </c>
      <c r="D354" s="45">
        <v>-65.12</v>
      </c>
      <c r="E354" s="48" t="s">
        <v>299</v>
      </c>
      <c r="F354" s="48" t="s">
        <v>90</v>
      </c>
      <c r="G354" s="48" t="s">
        <v>91</v>
      </c>
      <c r="H354" s="44" t="s">
        <v>402</v>
      </c>
      <c r="I354" s="44" t="s">
        <v>658</v>
      </c>
      <c r="J354" s="44">
        <f>YEAR(A354)</f>
        <v>2023</v>
      </c>
    </row>
    <row r="355" spans="1:10" ht="12" customHeight="1" x14ac:dyDescent="0.25">
      <c r="A355" s="43">
        <v>44982</v>
      </c>
      <c r="B355" s="47">
        <v>15213</v>
      </c>
      <c r="C355" s="44" t="s">
        <v>767</v>
      </c>
      <c r="D355" s="45">
        <v>65.12</v>
      </c>
      <c r="E355" s="48" t="s">
        <v>244</v>
      </c>
      <c r="F355" s="48" t="s">
        <v>90</v>
      </c>
      <c r="G355" s="48" t="s">
        <v>114</v>
      </c>
      <c r="J355" s="44">
        <f>YEAR(A355)</f>
        <v>2023</v>
      </c>
    </row>
    <row r="356" spans="1:10" ht="12" customHeight="1" x14ac:dyDescent="0.25">
      <c r="A356" s="43">
        <v>44982</v>
      </c>
      <c r="B356" s="47">
        <v>15214</v>
      </c>
      <c r="C356" s="44" t="s">
        <v>644</v>
      </c>
      <c r="D356" s="45">
        <v>-119</v>
      </c>
      <c r="E356" s="48" t="s">
        <v>299</v>
      </c>
      <c r="F356" s="48" t="s">
        <v>90</v>
      </c>
      <c r="G356" s="48" t="s">
        <v>91</v>
      </c>
      <c r="H356" s="44">
        <v>3996</v>
      </c>
      <c r="I356" s="44" t="s">
        <v>681</v>
      </c>
      <c r="J356" s="44">
        <f>YEAR(A356)</f>
        <v>2023</v>
      </c>
    </row>
    <row r="357" spans="1:10" ht="12" customHeight="1" x14ac:dyDescent="0.25">
      <c r="A357" s="43">
        <v>44982</v>
      </c>
      <c r="B357" s="47">
        <v>15214</v>
      </c>
      <c r="C357" s="44" t="s">
        <v>644</v>
      </c>
      <c r="D357" s="45">
        <v>119</v>
      </c>
      <c r="E357" s="48" t="s">
        <v>145</v>
      </c>
      <c r="F357" s="48" t="s">
        <v>116</v>
      </c>
      <c r="G357" s="48" t="s">
        <v>91</v>
      </c>
      <c r="J357" s="44">
        <f>YEAR(A357)</f>
        <v>2023</v>
      </c>
    </row>
    <row r="358" spans="1:10" ht="12" customHeight="1" x14ac:dyDescent="0.25">
      <c r="A358" s="43">
        <v>44977</v>
      </c>
      <c r="B358" s="47">
        <v>15215</v>
      </c>
      <c r="C358" s="44" t="s">
        <v>453</v>
      </c>
      <c r="D358" s="45">
        <v>27.19</v>
      </c>
      <c r="E358" s="48" t="s">
        <v>89</v>
      </c>
      <c r="F358" s="48" t="s">
        <v>90</v>
      </c>
      <c r="G358" s="48" t="s">
        <v>91</v>
      </c>
      <c r="J358" s="44">
        <f>YEAR(A358)</f>
        <v>2023</v>
      </c>
    </row>
    <row r="359" spans="1:10" ht="12" customHeight="1" x14ac:dyDescent="0.25">
      <c r="A359" s="43">
        <v>44977</v>
      </c>
      <c r="B359" s="47">
        <v>15215</v>
      </c>
      <c r="C359" s="44" t="s">
        <v>453</v>
      </c>
      <c r="D359" s="45">
        <v>-27.19</v>
      </c>
      <c r="E359" s="48" t="s">
        <v>299</v>
      </c>
      <c r="F359" s="48" t="s">
        <v>90</v>
      </c>
      <c r="G359" s="48" t="s">
        <v>305</v>
      </c>
      <c r="I359" s="44" t="s">
        <v>656</v>
      </c>
      <c r="J359" s="44">
        <f>YEAR(A359)</f>
        <v>2023</v>
      </c>
    </row>
    <row r="360" spans="1:10" ht="12" customHeight="1" x14ac:dyDescent="0.25">
      <c r="A360" s="43">
        <v>44977</v>
      </c>
      <c r="B360" s="47">
        <v>15216</v>
      </c>
      <c r="C360" s="44" t="s">
        <v>493</v>
      </c>
      <c r="D360" s="45">
        <v>27.14</v>
      </c>
      <c r="E360" s="48" t="s">
        <v>89</v>
      </c>
      <c r="F360" s="48" t="s">
        <v>90</v>
      </c>
      <c r="G360" s="48" t="s">
        <v>91</v>
      </c>
      <c r="J360" s="44">
        <f>YEAR(A360)</f>
        <v>2023</v>
      </c>
    </row>
    <row r="361" spans="1:10" ht="12" customHeight="1" x14ac:dyDescent="0.25">
      <c r="A361" s="43">
        <v>44977</v>
      </c>
      <c r="B361" s="47">
        <v>15216</v>
      </c>
      <c r="C361" s="44" t="s">
        <v>493</v>
      </c>
      <c r="D361" s="45">
        <v>-27.14</v>
      </c>
      <c r="E361" s="48" t="s">
        <v>299</v>
      </c>
      <c r="F361" s="48" t="s">
        <v>90</v>
      </c>
      <c r="G361" s="48" t="s">
        <v>305</v>
      </c>
      <c r="I361" s="44" t="s">
        <v>656</v>
      </c>
      <c r="J361" s="44">
        <f>YEAR(A361)</f>
        <v>2023</v>
      </c>
    </row>
    <row r="362" spans="1:10" ht="12" customHeight="1" x14ac:dyDescent="0.25">
      <c r="A362" s="43">
        <v>44977</v>
      </c>
      <c r="B362" s="47">
        <v>15217</v>
      </c>
      <c r="C362" s="44" t="s">
        <v>468</v>
      </c>
      <c r="D362" s="45">
        <v>13.6</v>
      </c>
      <c r="E362" s="48" t="s">
        <v>197</v>
      </c>
      <c r="F362" s="48" t="s">
        <v>90</v>
      </c>
      <c r="G362" s="48" t="s">
        <v>91</v>
      </c>
      <c r="J362" s="44">
        <f>YEAR(A362)</f>
        <v>2023</v>
      </c>
    </row>
    <row r="363" spans="1:10" ht="12" customHeight="1" x14ac:dyDescent="0.25">
      <c r="A363" s="43">
        <v>44977</v>
      </c>
      <c r="B363" s="47">
        <v>15217</v>
      </c>
      <c r="C363" s="44" t="s">
        <v>468</v>
      </c>
      <c r="D363" s="45">
        <v>-13.6</v>
      </c>
      <c r="E363" s="48" t="s">
        <v>299</v>
      </c>
      <c r="F363" s="48" t="s">
        <v>90</v>
      </c>
      <c r="G363" s="48" t="s">
        <v>305</v>
      </c>
      <c r="I363" s="44" t="s">
        <v>656</v>
      </c>
      <c r="J363" s="44">
        <f>YEAR(A363)</f>
        <v>2023</v>
      </c>
    </row>
    <row r="364" spans="1:10" ht="12" customHeight="1" x14ac:dyDescent="0.25">
      <c r="A364" s="43">
        <v>44978</v>
      </c>
      <c r="B364" s="47">
        <v>15218</v>
      </c>
      <c r="C364" s="44" t="s">
        <v>444</v>
      </c>
      <c r="D364" s="45">
        <v>-76.58</v>
      </c>
      <c r="E364" s="48" t="s">
        <v>299</v>
      </c>
      <c r="F364" s="48" t="s">
        <v>90</v>
      </c>
      <c r="G364" s="48" t="s">
        <v>91</v>
      </c>
      <c r="H364" s="44" t="s">
        <v>459</v>
      </c>
      <c r="I364" s="44" t="s">
        <v>658</v>
      </c>
      <c r="J364" s="44">
        <f>YEAR(A364)</f>
        <v>2023</v>
      </c>
    </row>
    <row r="365" spans="1:10" ht="12" customHeight="1" x14ac:dyDescent="0.25">
      <c r="A365" s="43">
        <v>44978</v>
      </c>
      <c r="B365" s="47">
        <v>15218</v>
      </c>
      <c r="C365" s="44" t="s">
        <v>444</v>
      </c>
      <c r="D365" s="45">
        <v>46.81</v>
      </c>
      <c r="E365" s="48" t="s">
        <v>89</v>
      </c>
      <c r="F365" s="48" t="s">
        <v>90</v>
      </c>
      <c r="G365" s="48" t="s">
        <v>91</v>
      </c>
      <c r="J365" s="44">
        <f>YEAR(A365)</f>
        <v>2023</v>
      </c>
    </row>
    <row r="366" spans="1:10" ht="12" customHeight="1" x14ac:dyDescent="0.25">
      <c r="A366" s="43">
        <v>44978</v>
      </c>
      <c r="B366" s="47">
        <v>15218</v>
      </c>
      <c r="C366" s="44" t="s">
        <v>444</v>
      </c>
      <c r="D366" s="45">
        <v>9.6</v>
      </c>
      <c r="E366" s="48" t="s">
        <v>197</v>
      </c>
      <c r="F366" s="48" t="s">
        <v>96</v>
      </c>
      <c r="G366" s="48" t="s">
        <v>91</v>
      </c>
      <c r="J366" s="44">
        <f>YEAR(A366)</f>
        <v>2023</v>
      </c>
    </row>
    <row r="367" spans="1:10" ht="12" customHeight="1" x14ac:dyDescent="0.25">
      <c r="A367" s="43">
        <v>44978</v>
      </c>
      <c r="B367" s="47">
        <v>15218</v>
      </c>
      <c r="C367" s="44" t="s">
        <v>444</v>
      </c>
      <c r="D367" s="45">
        <v>20.170000000000002</v>
      </c>
      <c r="E367" s="48" t="s">
        <v>157</v>
      </c>
      <c r="F367" s="48" t="s">
        <v>96</v>
      </c>
      <c r="G367" s="48" t="s">
        <v>91</v>
      </c>
      <c r="J367" s="44">
        <f>YEAR(A367)</f>
        <v>2023</v>
      </c>
    </row>
    <row r="368" spans="1:10" ht="12" customHeight="1" x14ac:dyDescent="0.25">
      <c r="A368" s="43">
        <v>44980</v>
      </c>
      <c r="B368" s="47">
        <v>15219</v>
      </c>
      <c r="C368" s="44" t="s">
        <v>444</v>
      </c>
      <c r="D368" s="45">
        <v>58.74</v>
      </c>
      <c r="E368" s="48" t="s">
        <v>180</v>
      </c>
      <c r="F368" s="48" t="s">
        <v>96</v>
      </c>
      <c r="G368" s="48" t="s">
        <v>592</v>
      </c>
      <c r="J368" s="44">
        <f>YEAR(A368)</f>
        <v>2023</v>
      </c>
    </row>
    <row r="369" spans="1:12" ht="12" customHeight="1" x14ac:dyDescent="0.25">
      <c r="A369" s="43">
        <v>44980</v>
      </c>
      <c r="B369" s="47">
        <v>15219</v>
      </c>
      <c r="C369" s="44" t="s">
        <v>444</v>
      </c>
      <c r="D369" s="45">
        <v>-58.74</v>
      </c>
      <c r="E369" s="48" t="s">
        <v>299</v>
      </c>
      <c r="F369" s="48" t="s">
        <v>90</v>
      </c>
      <c r="G369" s="48" t="s">
        <v>305</v>
      </c>
      <c r="I369" s="44" t="s">
        <v>656</v>
      </c>
      <c r="J369" s="44">
        <f>YEAR(A369)</f>
        <v>2023</v>
      </c>
    </row>
    <row r="370" spans="1:12" ht="12" customHeight="1" x14ac:dyDescent="0.25">
      <c r="A370" s="43">
        <v>44980</v>
      </c>
      <c r="B370" s="47">
        <v>15220</v>
      </c>
      <c r="C370" s="44" t="s">
        <v>444</v>
      </c>
      <c r="D370" s="45">
        <v>-2.99</v>
      </c>
      <c r="E370" s="48" t="s">
        <v>299</v>
      </c>
      <c r="F370" s="48" t="s">
        <v>90</v>
      </c>
      <c r="G370" s="48" t="s">
        <v>91</v>
      </c>
      <c r="H370" s="44" t="s">
        <v>459</v>
      </c>
      <c r="I370" s="44" t="s">
        <v>658</v>
      </c>
      <c r="J370" s="44">
        <f>YEAR(A370)</f>
        <v>2023</v>
      </c>
    </row>
    <row r="371" spans="1:12" ht="12" customHeight="1" x14ac:dyDescent="0.25">
      <c r="A371" s="43">
        <v>44980</v>
      </c>
      <c r="B371" s="47">
        <v>15220</v>
      </c>
      <c r="C371" s="44" t="s">
        <v>444</v>
      </c>
      <c r="D371" s="45">
        <v>2.99</v>
      </c>
      <c r="E371" s="48" t="s">
        <v>89</v>
      </c>
      <c r="F371" s="48" t="s">
        <v>90</v>
      </c>
      <c r="G371" s="48" t="s">
        <v>91</v>
      </c>
      <c r="J371" s="44">
        <f>YEAR(A371)</f>
        <v>2023</v>
      </c>
    </row>
    <row r="372" spans="1:12" ht="12" customHeight="1" x14ac:dyDescent="0.25">
      <c r="A372" s="43">
        <v>44981</v>
      </c>
      <c r="B372" s="47">
        <v>15221</v>
      </c>
      <c r="C372" s="44" t="s">
        <v>463</v>
      </c>
      <c r="D372" s="45">
        <v>40.04</v>
      </c>
      <c r="E372" s="48" t="s">
        <v>89</v>
      </c>
      <c r="F372" s="48" t="s">
        <v>90</v>
      </c>
      <c r="G372" s="48" t="s">
        <v>91</v>
      </c>
      <c r="J372" s="44">
        <f>YEAR(A372)</f>
        <v>2023</v>
      </c>
    </row>
    <row r="373" spans="1:12" ht="12" customHeight="1" x14ac:dyDescent="0.25">
      <c r="A373" s="43">
        <v>44981</v>
      </c>
      <c r="B373" s="47">
        <v>15221</v>
      </c>
      <c r="C373" s="44" t="s">
        <v>463</v>
      </c>
      <c r="D373" s="45">
        <v>-40.04</v>
      </c>
      <c r="E373" s="48" t="s">
        <v>299</v>
      </c>
      <c r="F373" s="48" t="s">
        <v>90</v>
      </c>
      <c r="G373" s="48" t="s">
        <v>305</v>
      </c>
      <c r="I373" s="44" t="s">
        <v>656</v>
      </c>
      <c r="J373" s="44">
        <f>YEAR(A373)</f>
        <v>2023</v>
      </c>
    </row>
    <row r="374" spans="1:12" ht="12" customHeight="1" x14ac:dyDescent="0.25">
      <c r="A374" s="43">
        <v>44981</v>
      </c>
      <c r="B374" s="47">
        <v>15222</v>
      </c>
      <c r="C374" s="44" t="s">
        <v>493</v>
      </c>
      <c r="D374" s="45">
        <v>14.13</v>
      </c>
      <c r="E374" s="48" t="s">
        <v>89</v>
      </c>
      <c r="F374" s="48" t="s">
        <v>90</v>
      </c>
      <c r="G374" s="48" t="s">
        <v>91</v>
      </c>
      <c r="J374" s="44">
        <f>YEAR(A374)</f>
        <v>2023</v>
      </c>
    </row>
    <row r="375" spans="1:12" ht="12" customHeight="1" x14ac:dyDescent="0.25">
      <c r="A375" s="43">
        <v>44981</v>
      </c>
      <c r="B375" s="47">
        <v>15222</v>
      </c>
      <c r="C375" s="44" t="s">
        <v>493</v>
      </c>
      <c r="D375" s="45">
        <v>-14.13</v>
      </c>
      <c r="E375" s="48" t="s">
        <v>299</v>
      </c>
      <c r="F375" s="48" t="s">
        <v>90</v>
      </c>
      <c r="G375" s="48" t="s">
        <v>305</v>
      </c>
      <c r="I375" s="44" t="s">
        <v>656</v>
      </c>
      <c r="J375" s="44">
        <f>YEAR(A375)</f>
        <v>2023</v>
      </c>
    </row>
    <row r="376" spans="1:12" ht="12" customHeight="1" x14ac:dyDescent="0.25">
      <c r="A376" s="43">
        <v>44984</v>
      </c>
      <c r="B376" s="47">
        <v>15223</v>
      </c>
      <c r="C376" s="44" t="s">
        <v>481</v>
      </c>
      <c r="D376" s="45">
        <v>1.43</v>
      </c>
      <c r="E376" s="48" t="s">
        <v>197</v>
      </c>
      <c r="F376" s="48" t="s">
        <v>96</v>
      </c>
      <c r="G376" s="48" t="s">
        <v>107</v>
      </c>
      <c r="J376" s="44">
        <f>YEAR(A376)</f>
        <v>2023</v>
      </c>
    </row>
    <row r="377" spans="1:12" ht="12" customHeight="1" x14ac:dyDescent="0.25">
      <c r="A377" s="43">
        <v>44984</v>
      </c>
      <c r="B377" s="47">
        <v>15223</v>
      </c>
      <c r="C377" s="44" t="s">
        <v>481</v>
      </c>
      <c r="D377" s="45">
        <v>-1.43</v>
      </c>
      <c r="E377" s="48" t="s">
        <v>299</v>
      </c>
      <c r="F377" s="48" t="s">
        <v>90</v>
      </c>
      <c r="G377" s="48" t="s">
        <v>305</v>
      </c>
      <c r="I377" s="44" t="s">
        <v>656</v>
      </c>
      <c r="J377" s="44">
        <f>YEAR(A377)</f>
        <v>2023</v>
      </c>
    </row>
    <row r="378" spans="1:12" ht="12" customHeight="1" x14ac:dyDescent="0.25">
      <c r="A378" s="43">
        <v>44979</v>
      </c>
      <c r="B378" s="47">
        <v>15224</v>
      </c>
      <c r="C378" s="44" t="s">
        <v>474</v>
      </c>
      <c r="D378" s="45">
        <v>4</v>
      </c>
      <c r="E378" s="48" t="s">
        <v>89</v>
      </c>
      <c r="F378" s="48" t="s">
        <v>90</v>
      </c>
      <c r="G378" s="48" t="s">
        <v>91</v>
      </c>
      <c r="J378" s="44">
        <f>YEAR(A378)</f>
        <v>2023</v>
      </c>
    </row>
    <row r="379" spans="1:12" ht="12" customHeight="1" x14ac:dyDescent="0.25">
      <c r="A379" s="43">
        <v>44979</v>
      </c>
      <c r="B379" s="47">
        <v>15224</v>
      </c>
      <c r="C379" s="44" t="s">
        <v>474</v>
      </c>
      <c r="D379" s="45">
        <v>-4</v>
      </c>
      <c r="E379" s="48" t="s">
        <v>299</v>
      </c>
      <c r="F379" s="48" t="s">
        <v>101</v>
      </c>
      <c r="G379" s="48" t="s">
        <v>91</v>
      </c>
      <c r="J379" s="44">
        <f>YEAR(A379)</f>
        <v>2023</v>
      </c>
    </row>
    <row r="380" spans="1:12" ht="12" customHeight="1" x14ac:dyDescent="0.25">
      <c r="A380" s="43">
        <v>44986</v>
      </c>
      <c r="B380" s="47">
        <v>15225</v>
      </c>
      <c r="C380" s="44" t="s">
        <v>645</v>
      </c>
      <c r="D380" s="45">
        <v>-300</v>
      </c>
      <c r="E380" s="48" t="s">
        <v>299</v>
      </c>
      <c r="F380" s="48" t="s">
        <v>90</v>
      </c>
      <c r="G380" s="48" t="s">
        <v>91</v>
      </c>
      <c r="H380" s="44" t="s">
        <v>402</v>
      </c>
      <c r="I380" s="44" t="s">
        <v>658</v>
      </c>
      <c r="J380" s="44">
        <f>YEAR(A380)</f>
        <v>2023</v>
      </c>
    </row>
    <row r="381" spans="1:12" ht="12" customHeight="1" x14ac:dyDescent="0.25">
      <c r="A381" s="43">
        <v>44986</v>
      </c>
      <c r="B381" s="47">
        <v>15225</v>
      </c>
      <c r="C381" s="44" t="s">
        <v>645</v>
      </c>
      <c r="D381" s="45">
        <v>300</v>
      </c>
      <c r="E381" s="48" t="s">
        <v>139</v>
      </c>
      <c r="F381" s="48" t="s">
        <v>128</v>
      </c>
      <c r="G381" s="48" t="s">
        <v>94</v>
      </c>
      <c r="J381" s="44">
        <f>YEAR(A381)</f>
        <v>2023</v>
      </c>
      <c r="L381" s="44" t="s">
        <v>598</v>
      </c>
    </row>
    <row r="382" spans="1:12" ht="12" customHeight="1" x14ac:dyDescent="0.25">
      <c r="A382" s="43">
        <v>44985</v>
      </c>
      <c r="B382" s="47">
        <v>15226</v>
      </c>
      <c r="C382" s="44" t="s">
        <v>507</v>
      </c>
      <c r="D382" s="45">
        <v>2.8</v>
      </c>
      <c r="E382" s="48" t="s">
        <v>180</v>
      </c>
      <c r="F382" s="48" t="s">
        <v>90</v>
      </c>
      <c r="G382" s="48" t="s">
        <v>91</v>
      </c>
      <c r="J382" s="44">
        <f>YEAR(A382)</f>
        <v>2023</v>
      </c>
    </row>
    <row r="383" spans="1:12" ht="12" customHeight="1" x14ac:dyDescent="0.25">
      <c r="A383" s="43">
        <v>44985</v>
      </c>
      <c r="B383" s="47">
        <v>15226</v>
      </c>
      <c r="C383" s="44" t="s">
        <v>507</v>
      </c>
      <c r="D383" s="45">
        <v>-2.8</v>
      </c>
      <c r="E383" s="48" t="s">
        <v>299</v>
      </c>
      <c r="F383" s="48" t="s">
        <v>90</v>
      </c>
      <c r="G383" s="48" t="s">
        <v>305</v>
      </c>
      <c r="I383" s="44" t="s">
        <v>656</v>
      </c>
      <c r="J383" s="44">
        <f>YEAR(A383)</f>
        <v>2023</v>
      </c>
    </row>
    <row r="384" spans="1:12" ht="12" customHeight="1" x14ac:dyDescent="0.25">
      <c r="A384" s="43">
        <v>44985</v>
      </c>
      <c r="B384" s="47">
        <v>15227</v>
      </c>
      <c r="C384" s="44" t="s">
        <v>556</v>
      </c>
      <c r="D384" s="45">
        <v>24.99</v>
      </c>
      <c r="E384" s="48" t="s">
        <v>145</v>
      </c>
      <c r="F384" s="48" t="s">
        <v>135</v>
      </c>
      <c r="G384" s="48" t="s">
        <v>91</v>
      </c>
      <c r="J384" s="44">
        <f>YEAR(A384)</f>
        <v>2023</v>
      </c>
    </row>
    <row r="385" spans="1:10" ht="12" customHeight="1" x14ac:dyDescent="0.25">
      <c r="A385" s="43">
        <v>44985</v>
      </c>
      <c r="B385" s="47">
        <v>15227</v>
      </c>
      <c r="C385" s="44" t="s">
        <v>556</v>
      </c>
      <c r="D385" s="45">
        <v>-24.99</v>
      </c>
      <c r="E385" s="48" t="s">
        <v>299</v>
      </c>
      <c r="F385" s="48" t="s">
        <v>90</v>
      </c>
      <c r="G385" s="48" t="s">
        <v>305</v>
      </c>
      <c r="I385" s="44" t="s">
        <v>656</v>
      </c>
      <c r="J385" s="44">
        <f>YEAR(A385)</f>
        <v>2023</v>
      </c>
    </row>
    <row r="386" spans="1:10" ht="12" customHeight="1" x14ac:dyDescent="0.25">
      <c r="A386" s="43">
        <v>44985</v>
      </c>
      <c r="B386" s="47">
        <v>15228</v>
      </c>
      <c r="C386" s="44" t="s">
        <v>444</v>
      </c>
      <c r="D386" s="45">
        <v>22.7</v>
      </c>
      <c r="E386" s="48" t="s">
        <v>89</v>
      </c>
      <c r="F386" s="48" t="s">
        <v>90</v>
      </c>
      <c r="G386" s="48" t="s">
        <v>91</v>
      </c>
      <c r="J386" s="44">
        <f>YEAR(A386)</f>
        <v>2023</v>
      </c>
    </row>
    <row r="387" spans="1:10" ht="12" customHeight="1" x14ac:dyDescent="0.25">
      <c r="A387" s="43">
        <v>44985</v>
      </c>
      <c r="B387" s="47">
        <v>15228</v>
      </c>
      <c r="C387" s="44" t="s">
        <v>444</v>
      </c>
      <c r="D387" s="45">
        <v>-22.7</v>
      </c>
      <c r="E387" s="48" t="s">
        <v>299</v>
      </c>
      <c r="F387" s="48" t="s">
        <v>90</v>
      </c>
      <c r="G387" s="48" t="s">
        <v>91</v>
      </c>
      <c r="H387" s="44" t="s">
        <v>459</v>
      </c>
      <c r="I387" s="44" t="s">
        <v>658</v>
      </c>
      <c r="J387" s="44">
        <f>YEAR(A387)</f>
        <v>2023</v>
      </c>
    </row>
    <row r="388" spans="1:10" ht="12" customHeight="1" x14ac:dyDescent="0.25">
      <c r="A388" s="43">
        <v>44985</v>
      </c>
      <c r="B388" s="47">
        <v>15229</v>
      </c>
      <c r="C388" s="44" t="s">
        <v>646</v>
      </c>
      <c r="D388" s="45">
        <v>-240</v>
      </c>
      <c r="E388" s="48" t="s">
        <v>299</v>
      </c>
      <c r="F388" s="48" t="s">
        <v>90</v>
      </c>
      <c r="G388" s="48" t="s">
        <v>91</v>
      </c>
      <c r="H388" s="44">
        <v>3997</v>
      </c>
      <c r="I388" s="44" t="s">
        <v>658</v>
      </c>
      <c r="J388" s="44">
        <f>YEAR(A388)</f>
        <v>2023</v>
      </c>
    </row>
    <row r="389" spans="1:10" ht="12" customHeight="1" x14ac:dyDescent="0.25">
      <c r="A389" s="43">
        <v>44985</v>
      </c>
      <c r="B389" s="47">
        <v>15229</v>
      </c>
      <c r="C389" s="44" t="s">
        <v>646</v>
      </c>
      <c r="D389" s="45">
        <v>240</v>
      </c>
      <c r="E389" s="48" t="s">
        <v>145</v>
      </c>
      <c r="F389" s="48" t="s">
        <v>116</v>
      </c>
      <c r="G389" s="48" t="s">
        <v>91</v>
      </c>
      <c r="J389" s="44">
        <f>YEAR(A389)</f>
        <v>2023</v>
      </c>
    </row>
    <row r="390" spans="1:10" ht="12" customHeight="1" x14ac:dyDescent="0.25">
      <c r="A390" s="43">
        <v>44986</v>
      </c>
      <c r="B390" s="47">
        <v>15230</v>
      </c>
      <c r="C390" s="44" t="s">
        <v>647</v>
      </c>
      <c r="D390" s="45">
        <v>-75</v>
      </c>
      <c r="E390" s="48" t="s">
        <v>299</v>
      </c>
      <c r="F390" s="48" t="s">
        <v>90</v>
      </c>
      <c r="G390" s="48" t="s">
        <v>91</v>
      </c>
      <c r="H390" s="44">
        <v>3998</v>
      </c>
      <c r="I390" s="44" t="s">
        <v>658</v>
      </c>
      <c r="J390" s="44">
        <f>YEAR(A390)</f>
        <v>2023</v>
      </c>
    </row>
    <row r="391" spans="1:10" ht="12" customHeight="1" x14ac:dyDescent="0.25">
      <c r="A391" s="43">
        <v>44986</v>
      </c>
      <c r="B391" s="47">
        <v>15230</v>
      </c>
      <c r="C391" s="44" t="s">
        <v>647</v>
      </c>
      <c r="D391" s="45">
        <v>75</v>
      </c>
      <c r="E391" s="48" t="s">
        <v>197</v>
      </c>
      <c r="F391" s="48" t="s">
        <v>90</v>
      </c>
      <c r="G391" s="48" t="s">
        <v>99</v>
      </c>
      <c r="J391" s="44">
        <f>YEAR(A391)</f>
        <v>2023</v>
      </c>
    </row>
    <row r="392" spans="1:10" ht="12" customHeight="1" x14ac:dyDescent="0.25">
      <c r="A392" s="43">
        <v>44987</v>
      </c>
      <c r="B392" s="47">
        <v>15231</v>
      </c>
      <c r="C392" s="44" t="s">
        <v>478</v>
      </c>
      <c r="D392" s="45">
        <v>-63</v>
      </c>
      <c r="E392" s="48" t="s">
        <v>299</v>
      </c>
      <c r="F392" s="48" t="s">
        <v>90</v>
      </c>
      <c r="G392" s="48" t="s">
        <v>91</v>
      </c>
      <c r="H392" s="44">
        <v>3999</v>
      </c>
      <c r="I392" s="44" t="s">
        <v>658</v>
      </c>
      <c r="J392" s="44">
        <f>YEAR(A392)</f>
        <v>2023</v>
      </c>
    </row>
    <row r="393" spans="1:10" ht="12" customHeight="1" x14ac:dyDescent="0.25">
      <c r="A393" s="43">
        <v>44987</v>
      </c>
      <c r="B393" s="47">
        <v>15231</v>
      </c>
      <c r="C393" s="44" t="s">
        <v>478</v>
      </c>
      <c r="D393" s="45">
        <v>63</v>
      </c>
      <c r="E393" s="48" t="s">
        <v>197</v>
      </c>
      <c r="F393" s="48" t="s">
        <v>90</v>
      </c>
      <c r="G393" s="48" t="s">
        <v>99</v>
      </c>
      <c r="J393" s="44">
        <f>YEAR(A393)</f>
        <v>2023</v>
      </c>
    </row>
    <row r="394" spans="1:10" ht="12" customHeight="1" x14ac:dyDescent="0.25">
      <c r="A394" s="43">
        <v>44987</v>
      </c>
      <c r="B394" s="47">
        <v>15232</v>
      </c>
      <c r="C394" s="44" t="s">
        <v>648</v>
      </c>
      <c r="D394" s="45">
        <v>15.47</v>
      </c>
      <c r="E394" s="48" t="s">
        <v>89</v>
      </c>
      <c r="F394" s="48" t="s">
        <v>90</v>
      </c>
      <c r="G394" s="48" t="s">
        <v>91</v>
      </c>
      <c r="J394" s="44">
        <f>YEAR(A394)</f>
        <v>2023</v>
      </c>
    </row>
    <row r="395" spans="1:10" ht="12" customHeight="1" x14ac:dyDescent="0.25">
      <c r="A395" s="43">
        <v>44987</v>
      </c>
      <c r="B395" s="47">
        <v>15232</v>
      </c>
      <c r="C395" s="44" t="s">
        <v>648</v>
      </c>
      <c r="D395" s="45">
        <v>-15.47</v>
      </c>
      <c r="E395" s="48" t="s">
        <v>299</v>
      </c>
      <c r="F395" s="48" t="s">
        <v>90</v>
      </c>
      <c r="G395" s="48" t="s">
        <v>305</v>
      </c>
      <c r="I395" s="44" t="s">
        <v>673</v>
      </c>
      <c r="J395" s="44">
        <f>YEAR(A395)</f>
        <v>2023</v>
      </c>
    </row>
    <row r="396" spans="1:10" ht="12" customHeight="1" x14ac:dyDescent="0.25">
      <c r="A396" s="43">
        <v>44987</v>
      </c>
      <c r="B396" s="47">
        <v>15233</v>
      </c>
      <c r="C396" s="44" t="s">
        <v>613</v>
      </c>
      <c r="D396" s="45">
        <v>6.6</v>
      </c>
      <c r="E396" s="48" t="s">
        <v>89</v>
      </c>
      <c r="F396" s="48" t="s">
        <v>90</v>
      </c>
      <c r="G396" s="48" t="s">
        <v>91</v>
      </c>
      <c r="J396" s="44">
        <f>YEAR(A396)</f>
        <v>2023</v>
      </c>
    </row>
    <row r="397" spans="1:10" ht="12" customHeight="1" x14ac:dyDescent="0.25">
      <c r="A397" s="43">
        <v>44987</v>
      </c>
      <c r="B397" s="47">
        <v>15233</v>
      </c>
      <c r="C397" s="44" t="s">
        <v>613</v>
      </c>
      <c r="D397" s="45">
        <v>-6.6</v>
      </c>
      <c r="E397" s="48" t="s">
        <v>299</v>
      </c>
      <c r="F397" s="48" t="s">
        <v>90</v>
      </c>
      <c r="G397" s="48" t="s">
        <v>305</v>
      </c>
      <c r="I397" s="44" t="s">
        <v>673</v>
      </c>
      <c r="J397" s="44">
        <f>YEAR(A397)</f>
        <v>2023</v>
      </c>
    </row>
    <row r="398" spans="1:10" ht="12" customHeight="1" x14ac:dyDescent="0.25">
      <c r="A398" s="43">
        <v>44987</v>
      </c>
      <c r="B398" s="47">
        <v>15234</v>
      </c>
      <c r="C398" s="44" t="s">
        <v>649</v>
      </c>
      <c r="D398" s="45">
        <v>37</v>
      </c>
      <c r="E398" s="48" t="s">
        <v>139</v>
      </c>
      <c r="F398" s="48" t="s">
        <v>90</v>
      </c>
      <c r="G398" s="48" t="s">
        <v>91</v>
      </c>
      <c r="J398" s="44">
        <f>YEAR(A398)</f>
        <v>2023</v>
      </c>
    </row>
    <row r="399" spans="1:10" ht="12" customHeight="1" x14ac:dyDescent="0.25">
      <c r="A399" s="43">
        <v>44987</v>
      </c>
      <c r="B399" s="47">
        <v>15234</v>
      </c>
      <c r="C399" s="44" t="s">
        <v>649</v>
      </c>
      <c r="D399" s="45">
        <v>-37</v>
      </c>
      <c r="E399" s="48" t="s">
        <v>299</v>
      </c>
      <c r="F399" s="48" t="s">
        <v>90</v>
      </c>
      <c r="G399" s="48" t="s">
        <v>305</v>
      </c>
      <c r="I399" s="44" t="s">
        <v>673</v>
      </c>
      <c r="J399" s="44">
        <f>YEAR(A399)</f>
        <v>2023</v>
      </c>
    </row>
    <row r="400" spans="1:10" ht="12" customHeight="1" x14ac:dyDescent="0.25">
      <c r="A400" s="43">
        <v>44987</v>
      </c>
      <c r="B400" s="47">
        <v>15235</v>
      </c>
      <c r="C400" s="44" t="s">
        <v>494</v>
      </c>
      <c r="D400" s="45">
        <v>19.989999999999998</v>
      </c>
      <c r="E400" s="48" t="s">
        <v>157</v>
      </c>
      <c r="F400" s="48" t="s">
        <v>96</v>
      </c>
      <c r="G400" s="48" t="s">
        <v>91</v>
      </c>
      <c r="J400" s="44">
        <f>YEAR(A400)</f>
        <v>2023</v>
      </c>
    </row>
    <row r="401" spans="1:10" ht="12" customHeight="1" x14ac:dyDescent="0.25">
      <c r="A401" s="43">
        <v>44987</v>
      </c>
      <c r="B401" s="47">
        <v>15235</v>
      </c>
      <c r="C401" s="44" t="s">
        <v>494</v>
      </c>
      <c r="D401" s="45">
        <v>-19.989999999999998</v>
      </c>
      <c r="E401" s="48" t="s">
        <v>299</v>
      </c>
      <c r="F401" s="48" t="s">
        <v>90</v>
      </c>
      <c r="G401" s="48" t="s">
        <v>305</v>
      </c>
      <c r="I401" s="44" t="s">
        <v>673</v>
      </c>
      <c r="J401" s="44">
        <f>YEAR(A401)</f>
        <v>2023</v>
      </c>
    </row>
    <row r="402" spans="1:10" ht="12" customHeight="1" x14ac:dyDescent="0.25">
      <c r="A402" s="43">
        <v>44987</v>
      </c>
      <c r="B402" s="47">
        <v>15236</v>
      </c>
      <c r="C402" s="44" t="s">
        <v>444</v>
      </c>
      <c r="D402" s="45">
        <v>-16.82</v>
      </c>
      <c r="E402" s="48" t="s">
        <v>299</v>
      </c>
      <c r="F402" s="48" t="s">
        <v>90</v>
      </c>
      <c r="G402" s="48" t="s">
        <v>91</v>
      </c>
      <c r="H402" s="44" t="s">
        <v>459</v>
      </c>
      <c r="I402" s="44" t="s">
        <v>658</v>
      </c>
      <c r="J402" s="44">
        <f>YEAR(A402)</f>
        <v>2023</v>
      </c>
    </row>
    <row r="403" spans="1:10" ht="12" customHeight="1" x14ac:dyDescent="0.25">
      <c r="A403" s="43">
        <v>44987</v>
      </c>
      <c r="B403" s="47">
        <v>15236</v>
      </c>
      <c r="C403" s="44" t="s">
        <v>444</v>
      </c>
      <c r="D403" s="45">
        <v>6.09</v>
      </c>
      <c r="E403" s="48" t="s">
        <v>89</v>
      </c>
      <c r="F403" s="48" t="s">
        <v>90</v>
      </c>
      <c r="G403" s="48" t="s">
        <v>91</v>
      </c>
      <c r="J403" s="44">
        <f>YEAR(A403)</f>
        <v>2023</v>
      </c>
    </row>
    <row r="404" spans="1:10" ht="12" customHeight="1" x14ac:dyDescent="0.25">
      <c r="A404" s="43">
        <v>44987</v>
      </c>
      <c r="B404" s="47">
        <v>15236</v>
      </c>
      <c r="C404" s="44" t="s">
        <v>444</v>
      </c>
      <c r="D404" s="45">
        <v>10.73</v>
      </c>
      <c r="E404" s="48" t="s">
        <v>157</v>
      </c>
      <c r="F404" s="48" t="s">
        <v>96</v>
      </c>
      <c r="G404" s="48" t="s">
        <v>91</v>
      </c>
      <c r="J404" s="44">
        <f>YEAR(A404)</f>
        <v>2023</v>
      </c>
    </row>
    <row r="405" spans="1:10" ht="12" customHeight="1" x14ac:dyDescent="0.25">
      <c r="A405" s="43">
        <v>44987</v>
      </c>
      <c r="B405" s="47">
        <v>15237</v>
      </c>
      <c r="C405" s="44" t="s">
        <v>444</v>
      </c>
      <c r="D405" s="45">
        <v>-64.39</v>
      </c>
      <c r="E405" s="48" t="s">
        <v>299</v>
      </c>
      <c r="F405" s="48" t="s">
        <v>90</v>
      </c>
      <c r="G405" s="48" t="s">
        <v>91</v>
      </c>
      <c r="H405" s="44" t="s">
        <v>459</v>
      </c>
      <c r="I405" s="44" t="s">
        <v>658</v>
      </c>
      <c r="J405" s="44">
        <f>YEAR(A405)</f>
        <v>2023</v>
      </c>
    </row>
    <row r="406" spans="1:10" ht="12" customHeight="1" x14ac:dyDescent="0.25">
      <c r="A406" s="43">
        <v>44987</v>
      </c>
      <c r="B406" s="47">
        <v>15237</v>
      </c>
      <c r="C406" s="44" t="s">
        <v>444</v>
      </c>
      <c r="D406" s="45">
        <v>64.39</v>
      </c>
      <c r="E406" s="48" t="s">
        <v>180</v>
      </c>
      <c r="F406" s="48" t="s">
        <v>96</v>
      </c>
      <c r="G406" s="48" t="s">
        <v>592</v>
      </c>
      <c r="J406" s="44">
        <f>YEAR(A406)</f>
        <v>2023</v>
      </c>
    </row>
    <row r="407" spans="1:10" ht="12" customHeight="1" x14ac:dyDescent="0.25">
      <c r="A407" s="43">
        <v>44987</v>
      </c>
      <c r="B407" s="47">
        <v>15238</v>
      </c>
      <c r="C407" s="44" t="s">
        <v>410</v>
      </c>
      <c r="D407" s="45">
        <v>-705.31</v>
      </c>
      <c r="E407" s="48" t="s">
        <v>214</v>
      </c>
      <c r="F407" s="48" t="s">
        <v>128</v>
      </c>
      <c r="G407" s="48" t="s">
        <v>99</v>
      </c>
      <c r="J407" s="44">
        <f>YEAR(A407)</f>
        <v>2023</v>
      </c>
    </row>
    <row r="408" spans="1:10" ht="12" customHeight="1" x14ac:dyDescent="0.25">
      <c r="A408" s="43">
        <v>44987</v>
      </c>
      <c r="B408" s="47">
        <v>15238</v>
      </c>
      <c r="C408" s="44" t="s">
        <v>411</v>
      </c>
      <c r="D408" s="45">
        <v>110.98</v>
      </c>
      <c r="E408" s="48" t="s">
        <v>110</v>
      </c>
      <c r="F408" s="48" t="s">
        <v>90</v>
      </c>
      <c r="G408" s="48" t="s">
        <v>91</v>
      </c>
      <c r="J408" s="44">
        <f>YEAR(A408)</f>
        <v>2023</v>
      </c>
    </row>
    <row r="409" spans="1:10" ht="12" customHeight="1" x14ac:dyDescent="0.25">
      <c r="A409" s="43">
        <v>44987</v>
      </c>
      <c r="B409" s="47">
        <v>15238</v>
      </c>
      <c r="C409" s="44" t="s">
        <v>410</v>
      </c>
      <c r="D409" s="45">
        <v>594.33000000000004</v>
      </c>
      <c r="E409" s="48" t="s">
        <v>299</v>
      </c>
      <c r="F409" s="48" t="s">
        <v>90</v>
      </c>
      <c r="G409" s="48" t="s">
        <v>91</v>
      </c>
      <c r="H409" s="44" t="s">
        <v>398</v>
      </c>
      <c r="I409" s="44" t="s">
        <v>659</v>
      </c>
      <c r="J409" s="44">
        <f>YEAR(A409)</f>
        <v>2023</v>
      </c>
    </row>
    <row r="410" spans="1:10" ht="12" customHeight="1" x14ac:dyDescent="0.25">
      <c r="A410" s="43">
        <v>44975</v>
      </c>
      <c r="B410" s="47">
        <v>15239</v>
      </c>
      <c r="C410" s="44" t="s">
        <v>650</v>
      </c>
      <c r="D410" s="45">
        <v>7.5</v>
      </c>
      <c r="E410" s="48" t="s">
        <v>1080</v>
      </c>
      <c r="F410" s="48" t="s">
        <v>1078</v>
      </c>
      <c r="G410" s="48" t="s">
        <v>91</v>
      </c>
      <c r="J410" s="44">
        <f>YEAR(A410)</f>
        <v>2023</v>
      </c>
    </row>
    <row r="411" spans="1:10" ht="12" customHeight="1" x14ac:dyDescent="0.25">
      <c r="A411" s="43">
        <v>44987</v>
      </c>
      <c r="B411" s="47">
        <v>15239</v>
      </c>
      <c r="C411" s="44" t="s">
        <v>467</v>
      </c>
      <c r="D411" s="45">
        <v>2.9</v>
      </c>
      <c r="E411" s="48" t="s">
        <v>145</v>
      </c>
      <c r="F411" s="48" t="s">
        <v>135</v>
      </c>
      <c r="G411" s="48" t="s">
        <v>91</v>
      </c>
      <c r="J411" s="44">
        <f>YEAR(A411)</f>
        <v>2023</v>
      </c>
    </row>
    <row r="412" spans="1:10" ht="12" customHeight="1" x14ac:dyDescent="0.25">
      <c r="A412" s="43">
        <v>44987</v>
      </c>
      <c r="B412" s="47">
        <v>15239</v>
      </c>
      <c r="C412" s="44" t="s">
        <v>441</v>
      </c>
      <c r="D412" s="45">
        <v>-2.9</v>
      </c>
      <c r="E412" s="48" t="s">
        <v>299</v>
      </c>
      <c r="F412" s="48" t="s">
        <v>101</v>
      </c>
      <c r="G412" s="48" t="s">
        <v>91</v>
      </c>
      <c r="J412" s="44">
        <f>YEAR(A412)</f>
        <v>2023</v>
      </c>
    </row>
    <row r="413" spans="1:10" ht="12" customHeight="1" x14ac:dyDescent="0.25">
      <c r="A413" s="43">
        <v>44975</v>
      </c>
      <c r="B413" s="47">
        <v>15239</v>
      </c>
      <c r="C413" s="44" t="s">
        <v>650</v>
      </c>
      <c r="D413" s="45">
        <v>-7.5</v>
      </c>
      <c r="E413" s="48" t="s">
        <v>1080</v>
      </c>
      <c r="F413" s="48" t="s">
        <v>1078</v>
      </c>
      <c r="G413" s="48" t="s">
        <v>91</v>
      </c>
      <c r="J413" s="44">
        <f>YEAR(A413)</f>
        <v>2023</v>
      </c>
    </row>
    <row r="414" spans="1:10" ht="12" customHeight="1" x14ac:dyDescent="0.25">
      <c r="A414" s="43">
        <v>44989</v>
      </c>
      <c r="B414" s="47">
        <v>15240</v>
      </c>
      <c r="C414" s="44" t="s">
        <v>651</v>
      </c>
      <c r="D414" s="45">
        <v>23.5</v>
      </c>
      <c r="E414" s="48" t="s">
        <v>139</v>
      </c>
      <c r="F414" s="48" t="s">
        <v>128</v>
      </c>
      <c r="G414" s="48" t="s">
        <v>99</v>
      </c>
      <c r="J414" s="44">
        <f>YEAR(A414)</f>
        <v>2023</v>
      </c>
    </row>
    <row r="415" spans="1:10" ht="12" customHeight="1" x14ac:dyDescent="0.25">
      <c r="A415" s="43">
        <v>44989</v>
      </c>
      <c r="B415" s="47">
        <v>15240</v>
      </c>
      <c r="C415" s="44" t="s">
        <v>651</v>
      </c>
      <c r="D415" s="45">
        <v>-23.5</v>
      </c>
      <c r="E415" s="48" t="s">
        <v>299</v>
      </c>
      <c r="F415" s="48" t="s">
        <v>90</v>
      </c>
      <c r="G415" s="48" t="s">
        <v>305</v>
      </c>
      <c r="I415" s="44" t="s">
        <v>673</v>
      </c>
      <c r="J415" s="44">
        <f>YEAR(A415)</f>
        <v>2023</v>
      </c>
    </row>
    <row r="416" spans="1:10" ht="12" customHeight="1" x14ac:dyDescent="0.25">
      <c r="A416" s="43">
        <v>44991</v>
      </c>
      <c r="B416" s="47">
        <v>15241</v>
      </c>
      <c r="C416" s="44" t="s">
        <v>464</v>
      </c>
      <c r="D416" s="45">
        <v>27.2</v>
      </c>
      <c r="E416" s="48" t="s">
        <v>89</v>
      </c>
      <c r="F416" s="48" t="s">
        <v>90</v>
      </c>
      <c r="G416" s="48" t="s">
        <v>91</v>
      </c>
      <c r="J416" s="44">
        <f>YEAR(A416)</f>
        <v>2023</v>
      </c>
    </row>
    <row r="417" spans="1:10" ht="12" customHeight="1" x14ac:dyDescent="0.25">
      <c r="A417" s="43">
        <v>44991</v>
      </c>
      <c r="B417" s="47">
        <v>15241</v>
      </c>
      <c r="C417" s="44" t="s">
        <v>464</v>
      </c>
      <c r="D417" s="45">
        <v>-27.2</v>
      </c>
      <c r="E417" s="48" t="s">
        <v>299</v>
      </c>
      <c r="F417" s="48" t="s">
        <v>90</v>
      </c>
      <c r="G417" s="48" t="s">
        <v>305</v>
      </c>
      <c r="I417" s="44" t="s">
        <v>673</v>
      </c>
      <c r="J417" s="44">
        <f>YEAR(A417)</f>
        <v>2023</v>
      </c>
    </row>
    <row r="418" spans="1:10" ht="12" customHeight="1" x14ac:dyDescent="0.25">
      <c r="A418" s="43">
        <v>44992</v>
      </c>
      <c r="B418" s="47">
        <v>15242</v>
      </c>
      <c r="C418" s="44" t="s">
        <v>471</v>
      </c>
      <c r="D418" s="45">
        <v>23.4</v>
      </c>
      <c r="E418" s="48" t="s">
        <v>89</v>
      </c>
      <c r="F418" s="48" t="s">
        <v>90</v>
      </c>
      <c r="G418" s="48" t="s">
        <v>91</v>
      </c>
      <c r="J418" s="44">
        <f>YEAR(A418)</f>
        <v>2023</v>
      </c>
    </row>
    <row r="419" spans="1:10" ht="12" customHeight="1" x14ac:dyDescent="0.25">
      <c r="A419" s="43">
        <v>44992</v>
      </c>
      <c r="B419" s="47">
        <v>15242</v>
      </c>
      <c r="C419" s="44" t="s">
        <v>471</v>
      </c>
      <c r="D419" s="45">
        <v>-23.4</v>
      </c>
      <c r="E419" s="48" t="s">
        <v>299</v>
      </c>
      <c r="F419" s="48" t="s">
        <v>90</v>
      </c>
      <c r="G419" s="48" t="s">
        <v>305</v>
      </c>
      <c r="I419" s="44" t="s">
        <v>673</v>
      </c>
      <c r="J419" s="44">
        <f>YEAR(A419)</f>
        <v>2023</v>
      </c>
    </row>
    <row r="420" spans="1:10" ht="12" customHeight="1" x14ac:dyDescent="0.25">
      <c r="A420" s="43">
        <v>44992</v>
      </c>
      <c r="B420" s="47">
        <v>15243</v>
      </c>
      <c r="C420" s="44" t="s">
        <v>475</v>
      </c>
      <c r="D420" s="45">
        <v>36.33</v>
      </c>
      <c r="E420" s="48" t="s">
        <v>89</v>
      </c>
      <c r="F420" s="48" t="s">
        <v>90</v>
      </c>
      <c r="G420" s="48" t="s">
        <v>91</v>
      </c>
      <c r="J420" s="44">
        <f>YEAR(A420)</f>
        <v>2023</v>
      </c>
    </row>
    <row r="421" spans="1:10" ht="12" customHeight="1" x14ac:dyDescent="0.25">
      <c r="A421" s="43">
        <v>44992</v>
      </c>
      <c r="B421" s="47">
        <v>15243</v>
      </c>
      <c r="C421" s="44" t="s">
        <v>475</v>
      </c>
      <c r="D421" s="45">
        <v>-36.33</v>
      </c>
      <c r="E421" s="48" t="s">
        <v>299</v>
      </c>
      <c r="F421" s="48" t="s">
        <v>90</v>
      </c>
      <c r="G421" s="48" t="s">
        <v>305</v>
      </c>
      <c r="I421" s="44" t="s">
        <v>673</v>
      </c>
      <c r="J421" s="44">
        <f>YEAR(A421)</f>
        <v>2023</v>
      </c>
    </row>
    <row r="422" spans="1:10" ht="12" customHeight="1" x14ac:dyDescent="0.25">
      <c r="A422" s="43">
        <v>44992</v>
      </c>
      <c r="B422" s="47">
        <v>15244</v>
      </c>
      <c r="C422" s="44" t="s">
        <v>652</v>
      </c>
      <c r="D422" s="45">
        <v>17</v>
      </c>
      <c r="E422" s="48" t="s">
        <v>89</v>
      </c>
      <c r="F422" s="48" t="s">
        <v>90</v>
      </c>
      <c r="G422" s="48" t="s">
        <v>91</v>
      </c>
      <c r="J422" s="44">
        <f>YEAR(A422)</f>
        <v>2023</v>
      </c>
    </row>
    <row r="423" spans="1:10" ht="12" customHeight="1" x14ac:dyDescent="0.25">
      <c r="A423" s="43">
        <v>44992</v>
      </c>
      <c r="B423" s="47">
        <v>15244</v>
      </c>
      <c r="C423" s="44" t="s">
        <v>652</v>
      </c>
      <c r="D423" s="45">
        <v>-17</v>
      </c>
      <c r="E423" s="48" t="s">
        <v>299</v>
      </c>
      <c r="F423" s="48" t="s">
        <v>90</v>
      </c>
      <c r="G423" s="48" t="s">
        <v>305</v>
      </c>
      <c r="I423" s="44" t="s">
        <v>673</v>
      </c>
      <c r="J423" s="44">
        <f>YEAR(A423)</f>
        <v>2023</v>
      </c>
    </row>
    <row r="424" spans="1:10" ht="12" customHeight="1" x14ac:dyDescent="0.25">
      <c r="A424" s="43">
        <v>44992</v>
      </c>
      <c r="B424" s="47">
        <v>15245</v>
      </c>
      <c r="C424" s="44" t="s">
        <v>453</v>
      </c>
      <c r="D424" s="45">
        <v>18.5</v>
      </c>
      <c r="E424" s="48" t="s">
        <v>89</v>
      </c>
      <c r="F424" s="48" t="s">
        <v>90</v>
      </c>
      <c r="G424" s="48" t="s">
        <v>91</v>
      </c>
      <c r="J424" s="44">
        <f>YEAR(A424)</f>
        <v>2023</v>
      </c>
    </row>
    <row r="425" spans="1:10" ht="12" customHeight="1" x14ac:dyDescent="0.25">
      <c r="A425" s="43">
        <v>44992</v>
      </c>
      <c r="B425" s="47">
        <v>15245</v>
      </c>
      <c r="C425" s="44" t="s">
        <v>453</v>
      </c>
      <c r="D425" s="45">
        <v>-18.5</v>
      </c>
      <c r="E425" s="48" t="s">
        <v>299</v>
      </c>
      <c r="F425" s="48" t="s">
        <v>90</v>
      </c>
      <c r="G425" s="48" t="s">
        <v>305</v>
      </c>
      <c r="I425" s="44" t="s">
        <v>673</v>
      </c>
      <c r="J425" s="44">
        <f>YEAR(A425)</f>
        <v>2023</v>
      </c>
    </row>
    <row r="426" spans="1:10" ht="12" customHeight="1" x14ac:dyDescent="0.25">
      <c r="A426" s="43">
        <v>44992</v>
      </c>
      <c r="B426" s="47">
        <v>15246</v>
      </c>
      <c r="C426" s="44" t="s">
        <v>458</v>
      </c>
      <c r="D426" s="45">
        <v>16.14</v>
      </c>
      <c r="E426" s="48" t="s">
        <v>89</v>
      </c>
      <c r="F426" s="48" t="s">
        <v>90</v>
      </c>
      <c r="G426" s="48" t="s">
        <v>91</v>
      </c>
      <c r="J426" s="44">
        <f>YEAR(A426)</f>
        <v>2023</v>
      </c>
    </row>
    <row r="427" spans="1:10" ht="12" customHeight="1" x14ac:dyDescent="0.25">
      <c r="A427" s="43">
        <v>44992</v>
      </c>
      <c r="B427" s="47">
        <v>15246</v>
      </c>
      <c r="C427" s="44" t="s">
        <v>458</v>
      </c>
      <c r="D427" s="45">
        <v>-16.14</v>
      </c>
      <c r="E427" s="48" t="s">
        <v>299</v>
      </c>
      <c r="F427" s="48" t="s">
        <v>90</v>
      </c>
      <c r="G427" s="48" t="s">
        <v>305</v>
      </c>
      <c r="I427" s="44" t="s">
        <v>673</v>
      </c>
      <c r="J427" s="44">
        <f>YEAR(A427)</f>
        <v>2023</v>
      </c>
    </row>
    <row r="428" spans="1:10" ht="12" customHeight="1" x14ac:dyDescent="0.25">
      <c r="A428" s="43">
        <v>44992</v>
      </c>
      <c r="B428" s="47">
        <v>15247</v>
      </c>
      <c r="C428" s="44" t="s">
        <v>568</v>
      </c>
      <c r="D428" s="45">
        <v>20.61</v>
      </c>
      <c r="E428" s="48" t="s">
        <v>89</v>
      </c>
      <c r="F428" s="48" t="s">
        <v>90</v>
      </c>
      <c r="G428" s="48" t="s">
        <v>91</v>
      </c>
      <c r="J428" s="44">
        <f>YEAR(A428)</f>
        <v>2023</v>
      </c>
    </row>
    <row r="429" spans="1:10" ht="12" customHeight="1" x14ac:dyDescent="0.25">
      <c r="A429" s="43">
        <v>44992</v>
      </c>
      <c r="B429" s="47">
        <v>15247</v>
      </c>
      <c r="C429" s="44" t="s">
        <v>568</v>
      </c>
      <c r="D429" s="45">
        <v>-20.61</v>
      </c>
      <c r="E429" s="48" t="s">
        <v>299</v>
      </c>
      <c r="F429" s="48" t="s">
        <v>90</v>
      </c>
      <c r="G429" s="48" t="s">
        <v>305</v>
      </c>
      <c r="I429" s="44" t="s">
        <v>673</v>
      </c>
      <c r="J429" s="44">
        <f>YEAR(A429)</f>
        <v>2023</v>
      </c>
    </row>
    <row r="430" spans="1:10" ht="12" customHeight="1" x14ac:dyDescent="0.25">
      <c r="A430" s="43">
        <v>44992</v>
      </c>
      <c r="B430" s="47">
        <v>15248</v>
      </c>
      <c r="C430" s="44" t="s">
        <v>446</v>
      </c>
      <c r="D430" s="45">
        <v>111.56</v>
      </c>
      <c r="E430" s="48" t="s">
        <v>89</v>
      </c>
      <c r="F430" s="48" t="s">
        <v>90</v>
      </c>
      <c r="G430" s="48" t="s">
        <v>91</v>
      </c>
      <c r="J430" s="44">
        <f>YEAR(A430)</f>
        <v>2023</v>
      </c>
    </row>
    <row r="431" spans="1:10" ht="12" customHeight="1" x14ac:dyDescent="0.25">
      <c r="A431" s="43">
        <v>44992</v>
      </c>
      <c r="B431" s="47">
        <v>15248</v>
      </c>
      <c r="C431" s="44" t="s">
        <v>446</v>
      </c>
      <c r="D431" s="45">
        <v>-111.56</v>
      </c>
      <c r="E431" s="48" t="s">
        <v>299</v>
      </c>
      <c r="F431" s="48" t="s">
        <v>90</v>
      </c>
      <c r="G431" s="48" t="s">
        <v>305</v>
      </c>
      <c r="I431" s="44" t="s">
        <v>673</v>
      </c>
      <c r="J431" s="44">
        <f>YEAR(A431)</f>
        <v>2023</v>
      </c>
    </row>
    <row r="432" spans="1:10" ht="12" customHeight="1" x14ac:dyDescent="0.25">
      <c r="A432" s="43">
        <v>44994</v>
      </c>
      <c r="B432" s="47">
        <v>15249</v>
      </c>
      <c r="C432" s="44" t="s">
        <v>653</v>
      </c>
      <c r="D432" s="45">
        <v>46</v>
      </c>
      <c r="E432" s="48" t="s">
        <v>197</v>
      </c>
      <c r="F432" s="48" t="s">
        <v>90</v>
      </c>
      <c r="G432" s="48" t="s">
        <v>99</v>
      </c>
      <c r="J432" s="44">
        <f>YEAR(A432)</f>
        <v>2023</v>
      </c>
    </row>
    <row r="433" spans="1:10" ht="12" customHeight="1" x14ac:dyDescent="0.25">
      <c r="A433" s="43">
        <v>44994</v>
      </c>
      <c r="B433" s="47">
        <v>15249</v>
      </c>
      <c r="C433" s="44" t="s">
        <v>653</v>
      </c>
      <c r="D433" s="45">
        <v>-46</v>
      </c>
      <c r="E433" s="48" t="s">
        <v>299</v>
      </c>
      <c r="F433" s="48" t="s">
        <v>90</v>
      </c>
      <c r="G433" s="48" t="s">
        <v>305</v>
      </c>
      <c r="I433" s="44" t="s">
        <v>673</v>
      </c>
      <c r="J433" s="44">
        <f>YEAR(A433)</f>
        <v>2023</v>
      </c>
    </row>
    <row r="434" spans="1:10" ht="12" customHeight="1" x14ac:dyDescent="0.25">
      <c r="A434" s="43">
        <v>44994</v>
      </c>
      <c r="B434" s="47">
        <v>15250</v>
      </c>
      <c r="C434" s="44" t="s">
        <v>615</v>
      </c>
      <c r="D434" s="45">
        <v>15.9</v>
      </c>
      <c r="E434" s="48" t="s">
        <v>197</v>
      </c>
      <c r="F434" s="48" t="s">
        <v>90</v>
      </c>
      <c r="G434" s="48" t="s">
        <v>91</v>
      </c>
      <c r="J434" s="44">
        <f>YEAR(A434)</f>
        <v>2023</v>
      </c>
    </row>
    <row r="435" spans="1:10" ht="12" customHeight="1" x14ac:dyDescent="0.25">
      <c r="A435" s="43">
        <v>44994</v>
      </c>
      <c r="B435" s="47">
        <v>15250</v>
      </c>
      <c r="C435" s="44" t="s">
        <v>615</v>
      </c>
      <c r="D435" s="45">
        <v>-15.9</v>
      </c>
      <c r="E435" s="48" t="s">
        <v>299</v>
      </c>
      <c r="F435" s="48" t="s">
        <v>90</v>
      </c>
      <c r="G435" s="48" t="s">
        <v>305</v>
      </c>
      <c r="I435" s="44" t="s">
        <v>673</v>
      </c>
      <c r="J435" s="44">
        <f>YEAR(A435)</f>
        <v>2023</v>
      </c>
    </row>
    <row r="436" spans="1:10" ht="12" customHeight="1" x14ac:dyDescent="0.25">
      <c r="A436" s="43">
        <v>44994</v>
      </c>
      <c r="B436" s="47">
        <v>15251</v>
      </c>
      <c r="C436" s="44" t="s">
        <v>468</v>
      </c>
      <c r="D436" s="45">
        <v>52.06</v>
      </c>
      <c r="E436" s="48" t="s">
        <v>197</v>
      </c>
      <c r="F436" s="48" t="s">
        <v>90</v>
      </c>
      <c r="G436" s="48" t="s">
        <v>99</v>
      </c>
      <c r="J436" s="44">
        <f>YEAR(A436)</f>
        <v>2023</v>
      </c>
    </row>
    <row r="437" spans="1:10" ht="12" customHeight="1" x14ac:dyDescent="0.25">
      <c r="A437" s="43">
        <v>44994</v>
      </c>
      <c r="B437" s="47">
        <v>15251</v>
      </c>
      <c r="C437" s="44" t="s">
        <v>468</v>
      </c>
      <c r="D437" s="45">
        <v>12</v>
      </c>
      <c r="E437" s="48" t="s">
        <v>197</v>
      </c>
      <c r="F437" s="48" t="s">
        <v>90</v>
      </c>
      <c r="G437" s="48" t="s">
        <v>93</v>
      </c>
      <c r="J437" s="44">
        <f>YEAR(A437)</f>
        <v>2023</v>
      </c>
    </row>
    <row r="438" spans="1:10" ht="12" customHeight="1" x14ac:dyDescent="0.25">
      <c r="A438" s="43">
        <v>44994</v>
      </c>
      <c r="B438" s="47">
        <v>15251</v>
      </c>
      <c r="C438" s="44" t="s">
        <v>468</v>
      </c>
      <c r="D438" s="45">
        <v>-64.06</v>
      </c>
      <c r="E438" s="48" t="s">
        <v>299</v>
      </c>
      <c r="F438" s="48" t="s">
        <v>90</v>
      </c>
      <c r="G438" s="48" t="s">
        <v>305</v>
      </c>
      <c r="I438" s="44" t="s">
        <v>673</v>
      </c>
      <c r="J438" s="44">
        <f>YEAR(A438)</f>
        <v>2023</v>
      </c>
    </row>
    <row r="439" spans="1:10" ht="12" customHeight="1" x14ac:dyDescent="0.25">
      <c r="A439" s="43">
        <v>44994</v>
      </c>
      <c r="B439" s="47">
        <v>15252</v>
      </c>
      <c r="C439" s="44" t="s">
        <v>468</v>
      </c>
      <c r="D439" s="45">
        <v>11.85</v>
      </c>
      <c r="E439" s="48" t="s">
        <v>197</v>
      </c>
      <c r="F439" s="48" t="s">
        <v>90</v>
      </c>
      <c r="G439" s="48" t="s">
        <v>93</v>
      </c>
      <c r="J439" s="44">
        <f>YEAR(A439)</f>
        <v>2023</v>
      </c>
    </row>
    <row r="440" spans="1:10" ht="12" customHeight="1" x14ac:dyDescent="0.25">
      <c r="A440" s="43">
        <v>44994</v>
      </c>
      <c r="B440" s="47">
        <v>15252</v>
      </c>
      <c r="C440" s="44" t="s">
        <v>468</v>
      </c>
      <c r="D440" s="45">
        <v>-11.85</v>
      </c>
      <c r="E440" s="48" t="s">
        <v>299</v>
      </c>
      <c r="F440" s="48" t="s">
        <v>90</v>
      </c>
      <c r="G440" s="48" t="s">
        <v>305</v>
      </c>
      <c r="I440" s="44" t="s">
        <v>673</v>
      </c>
      <c r="J440" s="44">
        <f>YEAR(A440)</f>
        <v>2023</v>
      </c>
    </row>
    <row r="441" spans="1:10" ht="12" customHeight="1" x14ac:dyDescent="0.25">
      <c r="A441" s="43">
        <v>44994</v>
      </c>
      <c r="B441" s="47">
        <v>15253</v>
      </c>
      <c r="C441" s="44" t="s">
        <v>501</v>
      </c>
      <c r="D441" s="45">
        <v>2.2999999999999998</v>
      </c>
      <c r="E441" s="48" t="s">
        <v>89</v>
      </c>
      <c r="F441" s="48" t="s">
        <v>90</v>
      </c>
      <c r="G441" s="48" t="s">
        <v>91</v>
      </c>
      <c r="J441" s="44">
        <f>YEAR(A441)</f>
        <v>2023</v>
      </c>
    </row>
    <row r="442" spans="1:10" ht="12" customHeight="1" x14ac:dyDescent="0.25">
      <c r="A442" s="43">
        <v>44994</v>
      </c>
      <c r="B442" s="47">
        <v>15253</v>
      </c>
      <c r="C442" s="44" t="s">
        <v>501</v>
      </c>
      <c r="D442" s="45">
        <v>-2.2999999999999998</v>
      </c>
      <c r="E442" s="48" t="s">
        <v>299</v>
      </c>
      <c r="F442" s="48" t="s">
        <v>90</v>
      </c>
      <c r="G442" s="48" t="s">
        <v>305</v>
      </c>
      <c r="I442" s="44" t="s">
        <v>673</v>
      </c>
      <c r="J442" s="44">
        <f>YEAR(A442)</f>
        <v>2023</v>
      </c>
    </row>
    <row r="443" spans="1:10" ht="12" customHeight="1" x14ac:dyDescent="0.25">
      <c r="A443" s="43">
        <v>44993</v>
      </c>
      <c r="B443" s="47">
        <v>15254</v>
      </c>
      <c r="C443" s="44" t="s">
        <v>585</v>
      </c>
      <c r="D443" s="45">
        <v>-20.5</v>
      </c>
      <c r="E443" s="48" t="s">
        <v>197</v>
      </c>
      <c r="F443" s="48" t="s">
        <v>90</v>
      </c>
      <c r="G443" s="48" t="s">
        <v>99</v>
      </c>
      <c r="J443" s="44">
        <f>YEAR(A443)</f>
        <v>2023</v>
      </c>
    </row>
    <row r="444" spans="1:10" ht="12" customHeight="1" x14ac:dyDescent="0.25">
      <c r="A444" s="43">
        <v>44993</v>
      </c>
      <c r="B444" s="47">
        <v>15254</v>
      </c>
      <c r="C444" s="44" t="s">
        <v>585</v>
      </c>
      <c r="D444" s="45">
        <v>20.5</v>
      </c>
      <c r="E444" s="48" t="s">
        <v>299</v>
      </c>
      <c r="F444" s="48" t="s">
        <v>90</v>
      </c>
      <c r="G444" s="48" t="s">
        <v>91</v>
      </c>
      <c r="H444" s="44" t="s">
        <v>398</v>
      </c>
      <c r="I444" s="44" t="s">
        <v>659</v>
      </c>
      <c r="J444" s="44">
        <f>YEAR(A444)</f>
        <v>2023</v>
      </c>
    </row>
    <row r="445" spans="1:10" ht="12" customHeight="1" x14ac:dyDescent="0.25">
      <c r="A445" s="43">
        <v>44998</v>
      </c>
      <c r="B445" s="47">
        <v>15255</v>
      </c>
      <c r="C445" s="44" t="s">
        <v>654</v>
      </c>
      <c r="D445" s="45">
        <v>44</v>
      </c>
      <c r="E445" s="48" t="s">
        <v>197</v>
      </c>
      <c r="F445" s="48" t="s">
        <v>90</v>
      </c>
      <c r="G445" s="48" t="s">
        <v>99</v>
      </c>
      <c r="J445" s="44">
        <f>YEAR(A445)</f>
        <v>2023</v>
      </c>
    </row>
    <row r="446" spans="1:10" ht="12" customHeight="1" x14ac:dyDescent="0.25">
      <c r="A446" s="43">
        <v>44998</v>
      </c>
      <c r="B446" s="47">
        <v>15255</v>
      </c>
      <c r="C446" s="44" t="s">
        <v>654</v>
      </c>
      <c r="D446" s="45">
        <v>-44</v>
      </c>
      <c r="E446" s="48" t="s">
        <v>299</v>
      </c>
      <c r="F446" s="48" t="s">
        <v>90</v>
      </c>
      <c r="G446" s="48" t="s">
        <v>91</v>
      </c>
      <c r="H446" s="44" t="s">
        <v>402</v>
      </c>
      <c r="I446" s="44" t="s">
        <v>681</v>
      </c>
      <c r="J446" s="44">
        <f>YEAR(A446)</f>
        <v>2023</v>
      </c>
    </row>
    <row r="447" spans="1:10" ht="12" customHeight="1" x14ac:dyDescent="0.25">
      <c r="A447" s="43">
        <v>44996</v>
      </c>
      <c r="B447" s="47">
        <v>15256</v>
      </c>
      <c r="C447" s="44" t="s">
        <v>318</v>
      </c>
      <c r="D447" s="45">
        <v>40</v>
      </c>
      <c r="E447" s="48" t="s">
        <v>139</v>
      </c>
      <c r="F447" s="48" t="s">
        <v>128</v>
      </c>
      <c r="G447" s="48" t="s">
        <v>98</v>
      </c>
      <c r="J447" s="44">
        <f>YEAR(A447)</f>
        <v>2023</v>
      </c>
    </row>
    <row r="448" spans="1:10" ht="12" customHeight="1" x14ac:dyDescent="0.25">
      <c r="A448" s="43">
        <v>44996</v>
      </c>
      <c r="B448" s="47">
        <v>15256</v>
      </c>
      <c r="C448" s="44" t="s">
        <v>318</v>
      </c>
      <c r="D448" s="45">
        <v>13</v>
      </c>
      <c r="E448" s="48" t="s">
        <v>105</v>
      </c>
      <c r="F448" s="48" t="s">
        <v>90</v>
      </c>
      <c r="G448" s="48" t="s">
        <v>93</v>
      </c>
      <c r="J448" s="44">
        <f>YEAR(A448)</f>
        <v>2023</v>
      </c>
    </row>
    <row r="449" spans="1:11" ht="12" customHeight="1" x14ac:dyDescent="0.25">
      <c r="A449" s="43">
        <v>44996</v>
      </c>
      <c r="B449" s="47">
        <v>15256</v>
      </c>
      <c r="C449" s="44" t="s">
        <v>318</v>
      </c>
      <c r="D449" s="45">
        <v>25</v>
      </c>
      <c r="E449" s="48" t="s">
        <v>105</v>
      </c>
      <c r="F449" s="48" t="s">
        <v>90</v>
      </c>
      <c r="G449" s="48" t="s">
        <v>91</v>
      </c>
      <c r="J449" s="44">
        <f>YEAR(A449)</f>
        <v>2023</v>
      </c>
    </row>
    <row r="450" spans="1:11" ht="12" customHeight="1" x14ac:dyDescent="0.25">
      <c r="A450" s="43">
        <v>44996</v>
      </c>
      <c r="B450" s="47">
        <v>15256</v>
      </c>
      <c r="C450" s="44" t="s">
        <v>318</v>
      </c>
      <c r="D450" s="45">
        <v>11</v>
      </c>
      <c r="E450" s="48" t="s">
        <v>139</v>
      </c>
      <c r="F450" s="48" t="s">
        <v>128</v>
      </c>
      <c r="G450" s="48" t="s">
        <v>91</v>
      </c>
      <c r="J450" s="44">
        <f>YEAR(A450)</f>
        <v>2023</v>
      </c>
    </row>
    <row r="451" spans="1:11" ht="12" customHeight="1" x14ac:dyDescent="0.25">
      <c r="A451" s="43">
        <v>44996</v>
      </c>
      <c r="B451" s="47">
        <v>15256</v>
      </c>
      <c r="C451" s="44" t="s">
        <v>318</v>
      </c>
      <c r="D451" s="45">
        <v>-89</v>
      </c>
      <c r="E451" s="48" t="s">
        <v>299</v>
      </c>
      <c r="F451" s="48" t="s">
        <v>90</v>
      </c>
      <c r="G451" s="48" t="s">
        <v>91</v>
      </c>
      <c r="H451" s="44" t="s">
        <v>459</v>
      </c>
      <c r="I451" s="44" t="s">
        <v>681</v>
      </c>
      <c r="J451" s="44">
        <f>YEAR(A451)</f>
        <v>2023</v>
      </c>
    </row>
    <row r="452" spans="1:11" ht="12" customHeight="1" x14ac:dyDescent="0.25">
      <c r="A452" s="43">
        <v>44996</v>
      </c>
      <c r="B452" s="47">
        <v>15257</v>
      </c>
      <c r="C452" s="44" t="s">
        <v>444</v>
      </c>
      <c r="D452" s="45">
        <v>101.4</v>
      </c>
      <c r="E452" s="48" t="s">
        <v>89</v>
      </c>
      <c r="F452" s="48" t="s">
        <v>90</v>
      </c>
      <c r="G452" s="48" t="s">
        <v>91</v>
      </c>
      <c r="J452" s="44">
        <f>YEAR(A452)</f>
        <v>2023</v>
      </c>
    </row>
    <row r="453" spans="1:11" ht="12" customHeight="1" x14ac:dyDescent="0.25">
      <c r="A453" s="43">
        <v>44996</v>
      </c>
      <c r="B453" s="47">
        <v>15257</v>
      </c>
      <c r="C453" s="44" t="s">
        <v>444</v>
      </c>
      <c r="D453" s="45">
        <v>-101.4</v>
      </c>
      <c r="E453" s="48" t="s">
        <v>299</v>
      </c>
      <c r="F453" s="48" t="s">
        <v>90</v>
      </c>
      <c r="G453" s="48" t="s">
        <v>91</v>
      </c>
      <c r="H453" s="44" t="s">
        <v>459</v>
      </c>
      <c r="I453" s="44" t="s">
        <v>681</v>
      </c>
      <c r="J453" s="44">
        <f>YEAR(A453)</f>
        <v>2023</v>
      </c>
    </row>
    <row r="454" spans="1:11" ht="12" customHeight="1" x14ac:dyDescent="0.25">
      <c r="A454" s="43">
        <v>44998</v>
      </c>
      <c r="B454" s="47">
        <v>15258</v>
      </c>
      <c r="C454" s="44" t="s">
        <v>468</v>
      </c>
      <c r="D454" s="45">
        <v>19.5</v>
      </c>
      <c r="E454" s="48" t="s">
        <v>197</v>
      </c>
      <c r="F454" s="48" t="s">
        <v>90</v>
      </c>
      <c r="G454" s="48" t="s">
        <v>91</v>
      </c>
      <c r="J454" s="44">
        <f>YEAR(A454)</f>
        <v>2023</v>
      </c>
    </row>
    <row r="455" spans="1:11" ht="12" customHeight="1" x14ac:dyDescent="0.25">
      <c r="A455" s="43">
        <v>44998</v>
      </c>
      <c r="B455" s="47">
        <v>15258</v>
      </c>
      <c r="C455" s="44" t="s">
        <v>468</v>
      </c>
      <c r="D455" s="45">
        <v>-19.5</v>
      </c>
      <c r="E455" s="48" t="s">
        <v>299</v>
      </c>
      <c r="F455" s="48" t="s">
        <v>90</v>
      </c>
      <c r="G455" s="48" t="s">
        <v>305</v>
      </c>
      <c r="I455" s="44" t="s">
        <v>673</v>
      </c>
      <c r="J455" s="44">
        <f>YEAR(A455)</f>
        <v>2023</v>
      </c>
    </row>
    <row r="456" spans="1:11" ht="12" customHeight="1" x14ac:dyDescent="0.25">
      <c r="A456" s="43">
        <v>44999</v>
      </c>
      <c r="B456" s="47">
        <v>15259</v>
      </c>
      <c r="C456" s="44" t="s">
        <v>493</v>
      </c>
      <c r="D456" s="45">
        <v>14.01</v>
      </c>
      <c r="E456" s="48" t="s">
        <v>89</v>
      </c>
      <c r="F456" s="48" t="s">
        <v>90</v>
      </c>
      <c r="G456" s="48" t="s">
        <v>91</v>
      </c>
      <c r="J456" s="44">
        <f>YEAR(A456)</f>
        <v>2023</v>
      </c>
    </row>
    <row r="457" spans="1:11" ht="12" customHeight="1" x14ac:dyDescent="0.25">
      <c r="A457" s="43">
        <v>44999</v>
      </c>
      <c r="B457" s="47">
        <v>15259</v>
      </c>
      <c r="C457" s="44" t="s">
        <v>493</v>
      </c>
      <c r="D457" s="45">
        <v>-14.01</v>
      </c>
      <c r="E457" s="48" t="s">
        <v>299</v>
      </c>
      <c r="F457" s="48" t="s">
        <v>90</v>
      </c>
      <c r="G457" s="48" t="s">
        <v>305</v>
      </c>
      <c r="I457" s="44" t="s">
        <v>675</v>
      </c>
      <c r="J457" s="44">
        <f>YEAR(A457)</f>
        <v>2023</v>
      </c>
      <c r="K457" s="49" t="s">
        <v>655</v>
      </c>
    </row>
    <row r="458" spans="1:11" ht="12" customHeight="1" x14ac:dyDescent="0.25">
      <c r="A458" s="43">
        <v>44999</v>
      </c>
      <c r="B458" s="47">
        <v>15260</v>
      </c>
      <c r="C458" s="44" t="s">
        <v>443</v>
      </c>
      <c r="D458" s="45">
        <v>3.75</v>
      </c>
      <c r="E458" s="48" t="s">
        <v>89</v>
      </c>
      <c r="F458" s="48" t="s">
        <v>90</v>
      </c>
      <c r="G458" s="48" t="s">
        <v>91</v>
      </c>
      <c r="J458" s="44">
        <f>YEAR(A458)</f>
        <v>2023</v>
      </c>
    </row>
    <row r="459" spans="1:11" ht="12" customHeight="1" x14ac:dyDescent="0.25">
      <c r="A459" s="43">
        <v>44999</v>
      </c>
      <c r="B459" s="47">
        <v>15260</v>
      </c>
      <c r="C459" s="44" t="s">
        <v>443</v>
      </c>
      <c r="D459" s="45">
        <v>-3.75</v>
      </c>
      <c r="E459" s="48" t="s">
        <v>299</v>
      </c>
      <c r="F459" s="48" t="s">
        <v>90</v>
      </c>
      <c r="G459" s="48" t="s">
        <v>305</v>
      </c>
      <c r="I459" s="44" t="s">
        <v>675</v>
      </c>
      <c r="J459" s="44">
        <f>YEAR(A459)</f>
        <v>2023</v>
      </c>
    </row>
    <row r="460" spans="1:11" ht="12" customHeight="1" x14ac:dyDescent="0.25">
      <c r="A460" s="43">
        <v>44999</v>
      </c>
      <c r="B460" s="47">
        <v>15261</v>
      </c>
      <c r="C460" s="44" t="s">
        <v>463</v>
      </c>
      <c r="D460" s="45">
        <v>47.46</v>
      </c>
      <c r="E460" s="48" t="s">
        <v>89</v>
      </c>
      <c r="F460" s="48" t="s">
        <v>90</v>
      </c>
      <c r="G460" s="48" t="s">
        <v>91</v>
      </c>
      <c r="J460" s="44">
        <f>YEAR(A460)</f>
        <v>2023</v>
      </c>
    </row>
    <row r="461" spans="1:11" ht="12" customHeight="1" x14ac:dyDescent="0.25">
      <c r="A461" s="43">
        <v>44999</v>
      </c>
      <c r="B461" s="47">
        <v>15261</v>
      </c>
      <c r="C461" s="44" t="s">
        <v>463</v>
      </c>
      <c r="D461" s="45">
        <v>-47.46</v>
      </c>
      <c r="E461" s="48" t="s">
        <v>299</v>
      </c>
      <c r="F461" s="48" t="s">
        <v>90</v>
      </c>
      <c r="G461" s="48" t="s">
        <v>305</v>
      </c>
      <c r="I461" s="44" t="s">
        <v>675</v>
      </c>
      <c r="J461" s="44">
        <f>YEAR(A461)</f>
        <v>2023</v>
      </c>
    </row>
    <row r="462" spans="1:11" ht="12" customHeight="1" x14ac:dyDescent="0.25">
      <c r="A462" s="43">
        <v>44999</v>
      </c>
      <c r="B462" s="47">
        <v>15262</v>
      </c>
      <c r="C462" s="44" t="s">
        <v>573</v>
      </c>
      <c r="D462" s="45">
        <v>4.9000000000000004</v>
      </c>
      <c r="E462" s="48" t="s">
        <v>180</v>
      </c>
      <c r="F462" s="48" t="s">
        <v>90</v>
      </c>
      <c r="G462" s="48" t="s">
        <v>91</v>
      </c>
      <c r="H462" s="44" t="s">
        <v>442</v>
      </c>
      <c r="J462" s="44">
        <f>YEAR(A462)</f>
        <v>2023</v>
      </c>
    </row>
    <row r="463" spans="1:11" ht="12" customHeight="1" x14ac:dyDescent="0.25">
      <c r="A463" s="43">
        <v>44999</v>
      </c>
      <c r="B463" s="47">
        <v>15262</v>
      </c>
      <c r="C463" s="44" t="s">
        <v>573</v>
      </c>
      <c r="D463" s="45">
        <v>-4.9000000000000004</v>
      </c>
      <c r="E463" s="48" t="s">
        <v>299</v>
      </c>
      <c r="F463" s="48" t="s">
        <v>90</v>
      </c>
      <c r="G463" s="48" t="s">
        <v>305</v>
      </c>
      <c r="I463" s="44" t="s">
        <v>675</v>
      </c>
      <c r="J463" s="44">
        <f>YEAR(A463)</f>
        <v>2023</v>
      </c>
    </row>
    <row r="464" spans="1:11" ht="12" customHeight="1" x14ac:dyDescent="0.25">
      <c r="A464" s="43">
        <v>44999</v>
      </c>
      <c r="B464" s="47">
        <v>15263</v>
      </c>
      <c r="C464" s="44" t="s">
        <v>472</v>
      </c>
      <c r="D464" s="45">
        <v>135</v>
      </c>
      <c r="E464" s="48" t="s">
        <v>197</v>
      </c>
      <c r="F464" s="48" t="s">
        <v>96</v>
      </c>
      <c r="G464" s="48" t="s">
        <v>99</v>
      </c>
      <c r="J464" s="44">
        <f>YEAR(A464)</f>
        <v>2023</v>
      </c>
    </row>
    <row r="465" spans="1:10" ht="12" customHeight="1" x14ac:dyDescent="0.25">
      <c r="A465" s="43">
        <v>44999</v>
      </c>
      <c r="B465" s="47">
        <v>15263</v>
      </c>
      <c r="C465" s="44" t="s">
        <v>472</v>
      </c>
      <c r="D465" s="45">
        <v>-135</v>
      </c>
      <c r="E465" s="48" t="s">
        <v>299</v>
      </c>
      <c r="F465" s="48" t="s">
        <v>90</v>
      </c>
      <c r="G465" s="48" t="s">
        <v>305</v>
      </c>
      <c r="I465" s="44" t="s">
        <v>675</v>
      </c>
      <c r="J465" s="44">
        <f>YEAR(A465)</f>
        <v>2023</v>
      </c>
    </row>
    <row r="466" spans="1:10" ht="12" customHeight="1" x14ac:dyDescent="0.25">
      <c r="A466" s="43">
        <v>44999</v>
      </c>
      <c r="B466" s="47">
        <v>15264</v>
      </c>
      <c r="C466" s="44" t="s">
        <v>648</v>
      </c>
      <c r="D466" s="45">
        <v>20.12</v>
      </c>
      <c r="E466" s="48" t="s">
        <v>89</v>
      </c>
      <c r="F466" s="48" t="s">
        <v>90</v>
      </c>
      <c r="G466" s="48" t="s">
        <v>91</v>
      </c>
      <c r="J466" s="44">
        <f>YEAR(A466)</f>
        <v>2023</v>
      </c>
    </row>
    <row r="467" spans="1:10" ht="12" customHeight="1" x14ac:dyDescent="0.25">
      <c r="A467" s="43">
        <v>44999</v>
      </c>
      <c r="B467" s="47">
        <v>15264</v>
      </c>
      <c r="C467" s="44" t="s">
        <v>648</v>
      </c>
      <c r="D467" s="45">
        <v>-20.12</v>
      </c>
      <c r="E467" s="48" t="s">
        <v>299</v>
      </c>
      <c r="F467" s="48" t="s">
        <v>90</v>
      </c>
      <c r="G467" s="48" t="s">
        <v>305</v>
      </c>
      <c r="I467" s="44" t="s">
        <v>675</v>
      </c>
      <c r="J467" s="44">
        <f>YEAR(A467)</f>
        <v>2023</v>
      </c>
    </row>
    <row r="468" spans="1:10" ht="12" customHeight="1" x14ac:dyDescent="0.25">
      <c r="A468" s="43">
        <v>45000</v>
      </c>
      <c r="B468" s="47">
        <v>15265</v>
      </c>
      <c r="C468" s="44" t="s">
        <v>501</v>
      </c>
      <c r="D468" s="45">
        <v>6.6</v>
      </c>
      <c r="E468" s="48" t="s">
        <v>89</v>
      </c>
      <c r="F468" s="48" t="s">
        <v>90</v>
      </c>
      <c r="G468" s="48" t="s">
        <v>91</v>
      </c>
      <c r="J468" s="44">
        <f>YEAR(A468)</f>
        <v>2023</v>
      </c>
    </row>
    <row r="469" spans="1:10" ht="12" customHeight="1" x14ac:dyDescent="0.25">
      <c r="A469" s="43">
        <v>45000</v>
      </c>
      <c r="B469" s="47">
        <v>15265</v>
      </c>
      <c r="C469" s="44" t="s">
        <v>501</v>
      </c>
      <c r="D469" s="45">
        <v>-6.6</v>
      </c>
      <c r="E469" s="48" t="s">
        <v>299</v>
      </c>
      <c r="F469" s="48" t="s">
        <v>90</v>
      </c>
      <c r="G469" s="48" t="s">
        <v>305</v>
      </c>
      <c r="I469" s="44" t="s">
        <v>675</v>
      </c>
      <c r="J469" s="44">
        <f>YEAR(A469)</f>
        <v>2023</v>
      </c>
    </row>
    <row r="470" spans="1:10" ht="12" customHeight="1" x14ac:dyDescent="0.25">
      <c r="A470" s="43">
        <v>44986</v>
      </c>
      <c r="B470" s="47">
        <v>15266</v>
      </c>
      <c r="C470" s="44" t="s">
        <v>563</v>
      </c>
      <c r="D470" s="45">
        <v>-1018.92</v>
      </c>
      <c r="E470" s="48" t="s">
        <v>214</v>
      </c>
      <c r="F470" s="48" t="s">
        <v>90</v>
      </c>
      <c r="G470" s="48" t="s">
        <v>99</v>
      </c>
      <c r="J470" s="44">
        <f>YEAR(A470)</f>
        <v>2023</v>
      </c>
    </row>
    <row r="471" spans="1:10" ht="12" customHeight="1" x14ac:dyDescent="0.25">
      <c r="A471" s="43">
        <v>44986</v>
      </c>
      <c r="B471" s="47">
        <v>15266</v>
      </c>
      <c r="C471" s="44" t="s">
        <v>564</v>
      </c>
      <c r="D471" s="45">
        <v>154.84</v>
      </c>
      <c r="E471" s="48" t="s">
        <v>110</v>
      </c>
      <c r="F471" s="48" t="s">
        <v>90</v>
      </c>
      <c r="G471" s="48" t="s">
        <v>91</v>
      </c>
      <c r="J471" s="44">
        <f>YEAR(A471)</f>
        <v>2023</v>
      </c>
    </row>
    <row r="472" spans="1:10" ht="12" customHeight="1" x14ac:dyDescent="0.25">
      <c r="A472" s="43">
        <v>44986</v>
      </c>
      <c r="B472" s="47">
        <v>15266</v>
      </c>
      <c r="C472" s="44" t="s">
        <v>563</v>
      </c>
      <c r="D472" s="45">
        <v>864.08</v>
      </c>
      <c r="E472" s="48" t="s">
        <v>299</v>
      </c>
      <c r="F472" s="48" t="s">
        <v>90</v>
      </c>
      <c r="G472" s="48" t="s">
        <v>91</v>
      </c>
      <c r="H472" s="44" t="s">
        <v>398</v>
      </c>
      <c r="I472" s="44" t="s">
        <v>659</v>
      </c>
      <c r="J472" s="44">
        <f>YEAR(A472)</f>
        <v>2023</v>
      </c>
    </row>
    <row r="473" spans="1:10" ht="12" customHeight="1" x14ac:dyDescent="0.25">
      <c r="A473" s="43">
        <v>45000</v>
      </c>
      <c r="B473" s="47">
        <v>15267</v>
      </c>
      <c r="C473" s="44" t="s">
        <v>448</v>
      </c>
      <c r="D473" s="45">
        <v>130.08000000000001</v>
      </c>
      <c r="E473" s="48" t="s">
        <v>180</v>
      </c>
      <c r="F473" s="48" t="s">
        <v>90</v>
      </c>
      <c r="G473" s="48" t="s">
        <v>91</v>
      </c>
      <c r="J473" s="44">
        <f>YEAR(A473)</f>
        <v>2023</v>
      </c>
    </row>
    <row r="474" spans="1:10" ht="12" customHeight="1" x14ac:dyDescent="0.25">
      <c r="A474" s="43">
        <v>45000</v>
      </c>
      <c r="B474" s="47">
        <v>15267</v>
      </c>
      <c r="C474" s="44" t="s">
        <v>448</v>
      </c>
      <c r="D474" s="45">
        <v>-130.08000000000001</v>
      </c>
      <c r="E474" s="48" t="s">
        <v>299</v>
      </c>
      <c r="F474" s="48" t="s">
        <v>90</v>
      </c>
      <c r="G474" s="48" t="s">
        <v>91</v>
      </c>
      <c r="H474" s="44" t="s">
        <v>391</v>
      </c>
      <c r="I474" s="44" t="s">
        <v>681</v>
      </c>
      <c r="J474" s="44">
        <f>YEAR(A474)</f>
        <v>2023</v>
      </c>
    </row>
    <row r="475" spans="1:10" ht="12" customHeight="1" x14ac:dyDescent="0.25">
      <c r="A475" s="43">
        <v>44991</v>
      </c>
      <c r="B475" s="47">
        <v>15268</v>
      </c>
      <c r="C475" s="44" t="s">
        <v>417</v>
      </c>
      <c r="D475" s="45">
        <v>-893.24</v>
      </c>
      <c r="E475" s="48" t="s">
        <v>299</v>
      </c>
      <c r="F475" s="48" t="s">
        <v>90</v>
      </c>
      <c r="G475" s="48" t="s">
        <v>91</v>
      </c>
      <c r="I475" s="44" t="s">
        <v>658</v>
      </c>
      <c r="J475" s="44">
        <f>YEAR(A475)</f>
        <v>2023</v>
      </c>
    </row>
    <row r="476" spans="1:10" ht="12" customHeight="1" x14ac:dyDescent="0.25">
      <c r="A476" s="43">
        <v>44991</v>
      </c>
      <c r="B476" s="47">
        <v>15268</v>
      </c>
      <c r="C476" s="44" t="s">
        <v>417</v>
      </c>
      <c r="D476" s="45">
        <v>893.24</v>
      </c>
      <c r="E476" s="48" t="s">
        <v>299</v>
      </c>
      <c r="F476" s="48" t="s">
        <v>90</v>
      </c>
      <c r="G476" s="48" t="s">
        <v>305</v>
      </c>
      <c r="I476" s="44" t="s">
        <v>657</v>
      </c>
      <c r="J476" s="44">
        <f>YEAR(A476)</f>
        <v>2023</v>
      </c>
    </row>
    <row r="477" spans="1:10" ht="12" customHeight="1" x14ac:dyDescent="0.25">
      <c r="A477" s="43">
        <v>44987</v>
      </c>
      <c r="B477" s="47">
        <v>15269</v>
      </c>
      <c r="C477" s="44" t="s">
        <v>409</v>
      </c>
      <c r="D477" s="45">
        <v>-3200</v>
      </c>
      <c r="E477" s="48" t="s">
        <v>214</v>
      </c>
      <c r="F477" s="48" t="s">
        <v>90</v>
      </c>
      <c r="G477" s="48" t="s">
        <v>107</v>
      </c>
      <c r="J477" s="44">
        <f>YEAR(A477)</f>
        <v>2023</v>
      </c>
    </row>
    <row r="478" spans="1:10" ht="12" customHeight="1" x14ac:dyDescent="0.25">
      <c r="A478" s="43">
        <v>44987</v>
      </c>
      <c r="B478" s="47">
        <v>15269</v>
      </c>
      <c r="C478" s="44" t="s">
        <v>409</v>
      </c>
      <c r="D478" s="45">
        <v>3200</v>
      </c>
      <c r="E478" s="48" t="s">
        <v>299</v>
      </c>
      <c r="F478" s="48" t="s">
        <v>90</v>
      </c>
      <c r="G478" s="48" t="s">
        <v>91</v>
      </c>
      <c r="H478" s="44" t="s">
        <v>398</v>
      </c>
      <c r="I478" s="44" t="s">
        <v>659</v>
      </c>
      <c r="J478" s="44">
        <f>YEAR(A478)</f>
        <v>2023</v>
      </c>
    </row>
    <row r="479" spans="1:10" ht="12" customHeight="1" x14ac:dyDescent="0.25">
      <c r="A479" s="43">
        <v>44974</v>
      </c>
      <c r="B479" s="47">
        <v>15270</v>
      </c>
      <c r="C479" s="44" t="s">
        <v>390</v>
      </c>
      <c r="D479" s="45">
        <v>6.3</v>
      </c>
      <c r="E479" s="48" t="s">
        <v>124</v>
      </c>
      <c r="F479" s="48" t="s">
        <v>128</v>
      </c>
      <c r="G479" s="48" t="s">
        <v>91</v>
      </c>
      <c r="J479" s="44">
        <f>YEAR(A479)</f>
        <v>2023</v>
      </c>
    </row>
    <row r="480" spans="1:10" ht="12" customHeight="1" x14ac:dyDescent="0.25">
      <c r="A480" s="43">
        <v>44974</v>
      </c>
      <c r="B480" s="47">
        <v>15270</v>
      </c>
      <c r="C480" s="44" t="s">
        <v>390</v>
      </c>
      <c r="D480" s="45">
        <v>-6.3</v>
      </c>
      <c r="E480" s="48" t="s">
        <v>299</v>
      </c>
      <c r="F480" s="48" t="s">
        <v>90</v>
      </c>
      <c r="G480" s="48" t="s">
        <v>91</v>
      </c>
      <c r="H480" s="44" t="s">
        <v>391</v>
      </c>
      <c r="I480" s="44" t="s">
        <v>658</v>
      </c>
      <c r="J480" s="44">
        <f>YEAR(A480)</f>
        <v>2023</v>
      </c>
    </row>
    <row r="481" spans="1:10" ht="12" customHeight="1" x14ac:dyDescent="0.25">
      <c r="A481" s="43">
        <v>44974</v>
      </c>
      <c r="B481" s="47">
        <v>15270</v>
      </c>
      <c r="C481" s="44" t="s">
        <v>393</v>
      </c>
      <c r="D481" s="45">
        <v>16.100000000000001</v>
      </c>
      <c r="E481" s="48" t="s">
        <v>124</v>
      </c>
      <c r="F481" s="48" t="s">
        <v>128</v>
      </c>
      <c r="G481" s="48" t="s">
        <v>91</v>
      </c>
      <c r="J481" s="44">
        <f>YEAR(A481)</f>
        <v>2023</v>
      </c>
    </row>
    <row r="482" spans="1:10" ht="12" customHeight="1" x14ac:dyDescent="0.25">
      <c r="A482" s="43">
        <v>44974</v>
      </c>
      <c r="B482" s="47">
        <v>15270</v>
      </c>
      <c r="C482" s="44" t="s">
        <v>393</v>
      </c>
      <c r="D482" s="45">
        <v>-16.100000000000001</v>
      </c>
      <c r="E482" s="48" t="s">
        <v>299</v>
      </c>
      <c r="F482" s="48" t="s">
        <v>90</v>
      </c>
      <c r="G482" s="48" t="s">
        <v>91</v>
      </c>
      <c r="H482" s="44" t="s">
        <v>391</v>
      </c>
      <c r="I482" s="44" t="s">
        <v>658</v>
      </c>
      <c r="J482" s="44">
        <f>YEAR(A482)</f>
        <v>2023</v>
      </c>
    </row>
    <row r="483" spans="1:10" ht="12" customHeight="1" x14ac:dyDescent="0.25">
      <c r="A483" s="43">
        <v>44974</v>
      </c>
      <c r="B483" s="47">
        <v>15270</v>
      </c>
      <c r="C483" s="44" t="s">
        <v>394</v>
      </c>
      <c r="D483" s="45">
        <v>0.49</v>
      </c>
      <c r="E483" s="48" t="s">
        <v>124</v>
      </c>
      <c r="F483" s="48" t="s">
        <v>128</v>
      </c>
      <c r="G483" s="48" t="s">
        <v>91</v>
      </c>
      <c r="J483" s="44">
        <f>YEAR(A483)</f>
        <v>2023</v>
      </c>
    </row>
    <row r="484" spans="1:10" ht="12" customHeight="1" x14ac:dyDescent="0.25">
      <c r="A484" s="43">
        <v>44974</v>
      </c>
      <c r="B484" s="47">
        <v>15270</v>
      </c>
      <c r="C484" s="44" t="s">
        <v>394</v>
      </c>
      <c r="D484" s="45">
        <v>-0.49</v>
      </c>
      <c r="E484" s="48" t="s">
        <v>299</v>
      </c>
      <c r="F484" s="48" t="s">
        <v>90</v>
      </c>
      <c r="G484" s="48" t="s">
        <v>91</v>
      </c>
      <c r="H484" s="44" t="s">
        <v>391</v>
      </c>
      <c r="I484" s="44" t="s">
        <v>658</v>
      </c>
      <c r="J484" s="44">
        <f>YEAR(A484)</f>
        <v>2023</v>
      </c>
    </row>
    <row r="485" spans="1:10" ht="12" customHeight="1" x14ac:dyDescent="0.25">
      <c r="A485" s="43">
        <v>44974</v>
      </c>
      <c r="B485" s="47">
        <v>15270</v>
      </c>
      <c r="C485" s="44" t="s">
        <v>395</v>
      </c>
      <c r="D485" s="45">
        <v>0.7</v>
      </c>
      <c r="E485" s="48" t="s">
        <v>124</v>
      </c>
      <c r="F485" s="48" t="s">
        <v>128</v>
      </c>
      <c r="G485" s="48" t="s">
        <v>91</v>
      </c>
      <c r="J485" s="44">
        <f>YEAR(A485)</f>
        <v>2023</v>
      </c>
    </row>
    <row r="486" spans="1:10" ht="12" customHeight="1" x14ac:dyDescent="0.25">
      <c r="A486" s="43">
        <v>44974</v>
      </c>
      <c r="B486" s="47">
        <v>15270</v>
      </c>
      <c r="C486" s="44" t="s">
        <v>395</v>
      </c>
      <c r="D486" s="45">
        <v>-0.7</v>
      </c>
      <c r="E486" s="48" t="s">
        <v>299</v>
      </c>
      <c r="F486" s="48" t="s">
        <v>90</v>
      </c>
      <c r="G486" s="48" t="s">
        <v>91</v>
      </c>
      <c r="H486" s="44" t="s">
        <v>391</v>
      </c>
      <c r="I486" s="44" t="s">
        <v>658</v>
      </c>
      <c r="J486" s="44">
        <f>YEAR(A486)</f>
        <v>2023</v>
      </c>
    </row>
    <row r="487" spans="1:10" ht="12" customHeight="1" x14ac:dyDescent="0.25">
      <c r="A487" s="43">
        <v>44972</v>
      </c>
      <c r="B487" s="47">
        <v>15271</v>
      </c>
      <c r="C487" s="44" t="s">
        <v>397</v>
      </c>
      <c r="D487" s="45">
        <v>-800</v>
      </c>
      <c r="E487" s="48" t="s">
        <v>244</v>
      </c>
      <c r="F487" s="48" t="s">
        <v>90</v>
      </c>
      <c r="G487" s="48" t="s">
        <v>114</v>
      </c>
      <c r="J487" s="44">
        <f>YEAR(A487)</f>
        <v>2023</v>
      </c>
    </row>
    <row r="488" spans="1:10" ht="12" customHeight="1" x14ac:dyDescent="0.25">
      <c r="A488" s="43">
        <v>44972</v>
      </c>
      <c r="B488" s="47">
        <v>15271</v>
      </c>
      <c r="C488" s="44" t="s">
        <v>397</v>
      </c>
      <c r="D488" s="45">
        <v>800</v>
      </c>
      <c r="E488" s="48" t="s">
        <v>299</v>
      </c>
      <c r="F488" s="48" t="s">
        <v>90</v>
      </c>
      <c r="G488" s="48" t="s">
        <v>91</v>
      </c>
      <c r="H488" s="44" t="s">
        <v>398</v>
      </c>
      <c r="I488" s="44" t="s">
        <v>659</v>
      </c>
      <c r="J488" s="44">
        <f>YEAR(A488)</f>
        <v>2023</v>
      </c>
    </row>
    <row r="489" spans="1:10" ht="12" customHeight="1" x14ac:dyDescent="0.25">
      <c r="A489" s="43">
        <v>44992</v>
      </c>
      <c r="B489" s="47">
        <v>15272</v>
      </c>
      <c r="C489" s="44" t="s">
        <v>399</v>
      </c>
      <c r="D489" s="45">
        <v>19.989999999999998</v>
      </c>
      <c r="E489" s="48" t="s">
        <v>157</v>
      </c>
      <c r="F489" s="48" t="s">
        <v>155</v>
      </c>
      <c r="G489" s="48" t="s">
        <v>98</v>
      </c>
      <c r="J489" s="44">
        <f>YEAR(A489)</f>
        <v>2023</v>
      </c>
    </row>
    <row r="490" spans="1:10" ht="12" customHeight="1" x14ac:dyDescent="0.25">
      <c r="A490" s="43">
        <v>44992</v>
      </c>
      <c r="B490" s="47">
        <v>15272</v>
      </c>
      <c r="C490" s="44" t="s">
        <v>399</v>
      </c>
      <c r="D490" s="45">
        <v>-19.989999999999998</v>
      </c>
      <c r="E490" s="48" t="s">
        <v>299</v>
      </c>
      <c r="F490" s="48" t="s">
        <v>90</v>
      </c>
      <c r="G490" s="48" t="s">
        <v>91</v>
      </c>
      <c r="H490" s="44" t="s">
        <v>391</v>
      </c>
      <c r="I490" s="44" t="s">
        <v>658</v>
      </c>
      <c r="J490" s="44">
        <f>YEAR(A490)</f>
        <v>2023</v>
      </c>
    </row>
    <row r="491" spans="1:10" ht="12" customHeight="1" x14ac:dyDescent="0.25">
      <c r="A491" s="43">
        <v>44992</v>
      </c>
      <c r="B491" s="47">
        <v>15272</v>
      </c>
      <c r="C491" s="44" t="s">
        <v>400</v>
      </c>
      <c r="D491" s="45">
        <v>19.989999999999998</v>
      </c>
      <c r="E491" s="48" t="s">
        <v>157</v>
      </c>
      <c r="F491" s="48" t="s">
        <v>155</v>
      </c>
      <c r="G491" s="48" t="s">
        <v>95</v>
      </c>
      <c r="J491" s="44">
        <f>YEAR(A491)</f>
        <v>2023</v>
      </c>
    </row>
    <row r="492" spans="1:10" ht="12" customHeight="1" x14ac:dyDescent="0.25">
      <c r="A492" s="43">
        <v>44992</v>
      </c>
      <c r="B492" s="47">
        <v>15272</v>
      </c>
      <c r="C492" s="44" t="s">
        <v>400</v>
      </c>
      <c r="D492" s="45">
        <v>-19.989999999999998</v>
      </c>
      <c r="E492" s="48" t="s">
        <v>299</v>
      </c>
      <c r="F492" s="48" t="s">
        <v>90</v>
      </c>
      <c r="G492" s="48" t="s">
        <v>91</v>
      </c>
      <c r="H492" s="44" t="s">
        <v>391</v>
      </c>
      <c r="I492" s="44" t="s">
        <v>658</v>
      </c>
      <c r="J492" s="44">
        <f>YEAR(A492)</f>
        <v>2023</v>
      </c>
    </row>
    <row r="493" spans="1:10" ht="12" customHeight="1" x14ac:dyDescent="0.25">
      <c r="A493" s="43">
        <v>44972</v>
      </c>
      <c r="B493" s="47">
        <v>15273</v>
      </c>
      <c r="C493" s="44" t="s">
        <v>401</v>
      </c>
      <c r="D493" s="45">
        <v>238</v>
      </c>
      <c r="E493" s="48" t="s">
        <v>110</v>
      </c>
      <c r="F493" s="48" t="s">
        <v>90</v>
      </c>
      <c r="G493" s="48" t="s">
        <v>91</v>
      </c>
      <c r="J493" s="44">
        <f>YEAR(A493)</f>
        <v>2023</v>
      </c>
    </row>
    <row r="494" spans="1:10" ht="12" customHeight="1" x14ac:dyDescent="0.25">
      <c r="A494" s="43">
        <v>44972</v>
      </c>
      <c r="B494" s="47">
        <v>15273</v>
      </c>
      <c r="C494" s="44" t="s">
        <v>401</v>
      </c>
      <c r="D494" s="45">
        <v>-238</v>
      </c>
      <c r="E494" s="48" t="s">
        <v>299</v>
      </c>
      <c r="F494" s="48" t="s">
        <v>90</v>
      </c>
      <c r="G494" s="48" t="s">
        <v>91</v>
      </c>
      <c r="H494" s="44" t="s">
        <v>402</v>
      </c>
      <c r="I494" s="44" t="s">
        <v>658</v>
      </c>
      <c r="J494" s="44">
        <f>YEAR(A494)</f>
        <v>2023</v>
      </c>
    </row>
    <row r="495" spans="1:10" ht="12" customHeight="1" x14ac:dyDescent="0.25">
      <c r="A495" s="43">
        <v>44973</v>
      </c>
      <c r="B495" s="47">
        <v>15274</v>
      </c>
      <c r="C495" s="44" t="s">
        <v>225</v>
      </c>
      <c r="D495" s="45">
        <v>-41.5</v>
      </c>
      <c r="E495" s="48" t="s">
        <v>222</v>
      </c>
      <c r="F495" s="48" t="s">
        <v>90</v>
      </c>
      <c r="G495" s="48" t="s">
        <v>225</v>
      </c>
      <c r="J495" s="44">
        <f>YEAR(A495)</f>
        <v>2023</v>
      </c>
    </row>
    <row r="496" spans="1:10" ht="12" customHeight="1" x14ac:dyDescent="0.25">
      <c r="A496" s="43">
        <v>44973</v>
      </c>
      <c r="B496" s="47">
        <v>15274</v>
      </c>
      <c r="C496" s="44" t="s">
        <v>225</v>
      </c>
      <c r="D496" s="45">
        <v>41.5</v>
      </c>
      <c r="E496" s="48" t="s">
        <v>299</v>
      </c>
      <c r="F496" s="48" t="s">
        <v>90</v>
      </c>
      <c r="G496" s="48" t="s">
        <v>91</v>
      </c>
      <c r="H496" s="44" t="s">
        <v>398</v>
      </c>
      <c r="I496" s="44" t="s">
        <v>659</v>
      </c>
      <c r="J496" s="44">
        <f>YEAR(A496)</f>
        <v>2023</v>
      </c>
    </row>
    <row r="497" spans="1:10" ht="12" customHeight="1" x14ac:dyDescent="0.25">
      <c r="A497" s="43">
        <v>44993</v>
      </c>
      <c r="B497" s="47">
        <v>15275</v>
      </c>
      <c r="C497" s="44" t="s">
        <v>225</v>
      </c>
      <c r="D497" s="45">
        <v>-39.5</v>
      </c>
      <c r="E497" s="48" t="s">
        <v>222</v>
      </c>
      <c r="F497" s="48" t="s">
        <v>90</v>
      </c>
      <c r="G497" s="48" t="s">
        <v>225</v>
      </c>
      <c r="J497" s="44">
        <f>YEAR(A497)</f>
        <v>2023</v>
      </c>
    </row>
    <row r="498" spans="1:10" ht="12" customHeight="1" x14ac:dyDescent="0.25">
      <c r="A498" s="43">
        <v>44993</v>
      </c>
      <c r="B498" s="47">
        <v>15275</v>
      </c>
      <c r="C498" s="44" t="s">
        <v>225</v>
      </c>
      <c r="D498" s="45">
        <v>39.5</v>
      </c>
      <c r="E498" s="48" t="s">
        <v>299</v>
      </c>
      <c r="F498" s="48" t="s">
        <v>90</v>
      </c>
      <c r="G498" s="48" t="s">
        <v>91</v>
      </c>
      <c r="H498" s="44" t="s">
        <v>398</v>
      </c>
      <c r="I498" s="44" t="s">
        <v>659</v>
      </c>
      <c r="J498" s="44">
        <f>YEAR(A498)</f>
        <v>2023</v>
      </c>
    </row>
    <row r="499" spans="1:10" ht="12" customHeight="1" x14ac:dyDescent="0.25">
      <c r="A499" s="43">
        <v>44984</v>
      </c>
      <c r="B499" s="47">
        <v>15276</v>
      </c>
      <c r="C499" s="44" t="s">
        <v>396</v>
      </c>
      <c r="D499" s="45">
        <v>35.79</v>
      </c>
      <c r="E499" s="48" t="s">
        <v>157</v>
      </c>
      <c r="F499" s="48" t="s">
        <v>155</v>
      </c>
      <c r="G499" s="48" t="s">
        <v>94</v>
      </c>
      <c r="J499" s="44">
        <f>YEAR(A499)</f>
        <v>2023</v>
      </c>
    </row>
    <row r="500" spans="1:10" ht="12" customHeight="1" x14ac:dyDescent="0.25">
      <c r="A500" s="43">
        <v>44984</v>
      </c>
      <c r="B500" s="47">
        <v>15276</v>
      </c>
      <c r="C500" s="44" t="s">
        <v>396</v>
      </c>
      <c r="D500" s="45">
        <v>-35.79</v>
      </c>
      <c r="E500" s="48" t="s">
        <v>299</v>
      </c>
      <c r="F500" s="48" t="s">
        <v>90</v>
      </c>
      <c r="G500" s="48" t="s">
        <v>91</v>
      </c>
      <c r="H500" s="44" t="s">
        <v>391</v>
      </c>
      <c r="I500" s="44" t="s">
        <v>658</v>
      </c>
      <c r="J500" s="44">
        <f>YEAR(A500)</f>
        <v>2023</v>
      </c>
    </row>
    <row r="501" spans="1:10" ht="12" customHeight="1" x14ac:dyDescent="0.25">
      <c r="A501" s="43">
        <v>44984</v>
      </c>
      <c r="B501" s="47">
        <v>15277</v>
      </c>
      <c r="C501" s="44" t="s">
        <v>403</v>
      </c>
      <c r="D501" s="45">
        <v>-81.5</v>
      </c>
      <c r="E501" s="48" t="s">
        <v>299</v>
      </c>
      <c r="F501" s="48" t="s">
        <v>90</v>
      </c>
      <c r="G501" s="48" t="s">
        <v>91</v>
      </c>
      <c r="H501" s="44" t="s">
        <v>391</v>
      </c>
      <c r="I501" s="44" t="s">
        <v>658</v>
      </c>
      <c r="J501" s="44">
        <f>YEAR(A501)</f>
        <v>2023</v>
      </c>
    </row>
    <row r="502" spans="1:10" ht="12" customHeight="1" x14ac:dyDescent="0.25">
      <c r="A502" s="43">
        <v>44984</v>
      </c>
      <c r="B502" s="47">
        <v>15277</v>
      </c>
      <c r="C502" s="44" t="s">
        <v>403</v>
      </c>
      <c r="D502" s="45">
        <v>81.5</v>
      </c>
      <c r="E502" s="48" t="s">
        <v>157</v>
      </c>
      <c r="F502" s="48" t="s">
        <v>137</v>
      </c>
      <c r="G502" s="48" t="s">
        <v>91</v>
      </c>
      <c r="J502" s="44">
        <f>YEAR(A502)</f>
        <v>2023</v>
      </c>
    </row>
    <row r="503" spans="1:10" ht="12" customHeight="1" x14ac:dyDescent="0.25">
      <c r="A503" s="43">
        <v>44984</v>
      </c>
      <c r="B503" s="47">
        <v>15278</v>
      </c>
      <c r="C503" s="44" t="s">
        <v>404</v>
      </c>
      <c r="D503" s="45">
        <v>-122.79</v>
      </c>
      <c r="E503" s="48" t="s">
        <v>299</v>
      </c>
      <c r="F503" s="48" t="s">
        <v>90</v>
      </c>
      <c r="G503" s="48" t="s">
        <v>91</v>
      </c>
      <c r="H503" s="44" t="s">
        <v>391</v>
      </c>
      <c r="I503" s="44" t="s">
        <v>658</v>
      </c>
      <c r="J503" s="44">
        <f>YEAR(A503)</f>
        <v>2023</v>
      </c>
    </row>
    <row r="504" spans="1:10" ht="12" customHeight="1" x14ac:dyDescent="0.25">
      <c r="A504" s="43">
        <v>44984</v>
      </c>
      <c r="B504" s="47">
        <v>15278</v>
      </c>
      <c r="C504" s="44" t="s">
        <v>404</v>
      </c>
      <c r="D504" s="45">
        <v>122.79</v>
      </c>
      <c r="E504" s="48" t="s">
        <v>157</v>
      </c>
      <c r="F504" s="48" t="s">
        <v>137</v>
      </c>
      <c r="G504" s="48" t="s">
        <v>91</v>
      </c>
      <c r="J504" s="44">
        <f>YEAR(A504)</f>
        <v>2023</v>
      </c>
    </row>
    <row r="505" spans="1:10" ht="12" customHeight="1" x14ac:dyDescent="0.25">
      <c r="A505" s="43">
        <v>44977</v>
      </c>
      <c r="B505" s="47">
        <v>15279</v>
      </c>
      <c r="C505" s="44" t="s">
        <v>405</v>
      </c>
      <c r="D505" s="45">
        <v>-44.05</v>
      </c>
      <c r="E505" s="48" t="s">
        <v>299</v>
      </c>
      <c r="F505" s="48" t="s">
        <v>90</v>
      </c>
      <c r="G505" s="48" t="s">
        <v>91</v>
      </c>
      <c r="H505" s="44" t="s">
        <v>391</v>
      </c>
      <c r="I505" s="44" t="s">
        <v>658</v>
      </c>
      <c r="J505" s="44">
        <f>YEAR(A505)</f>
        <v>2023</v>
      </c>
    </row>
    <row r="506" spans="1:10" ht="12" customHeight="1" x14ac:dyDescent="0.25">
      <c r="A506" s="43">
        <v>44977</v>
      </c>
      <c r="B506" s="47">
        <v>15279</v>
      </c>
      <c r="C506" s="44" t="s">
        <v>405</v>
      </c>
      <c r="D506" s="45">
        <v>44.05</v>
      </c>
      <c r="E506" s="48" t="s">
        <v>157</v>
      </c>
      <c r="F506" s="48" t="s">
        <v>137</v>
      </c>
      <c r="G506" s="48" t="s">
        <v>115</v>
      </c>
      <c r="J506" s="44">
        <f>YEAR(A506)</f>
        <v>2023</v>
      </c>
    </row>
    <row r="507" spans="1:10" ht="12" customHeight="1" x14ac:dyDescent="0.25">
      <c r="A507" s="43">
        <v>44978</v>
      </c>
      <c r="B507" s="47">
        <v>15280</v>
      </c>
      <c r="C507" s="44" t="s">
        <v>407</v>
      </c>
      <c r="D507" s="45">
        <v>14.99</v>
      </c>
      <c r="E507" s="48" t="s">
        <v>157</v>
      </c>
      <c r="F507" s="48" t="s">
        <v>116</v>
      </c>
      <c r="G507" s="48" t="s">
        <v>91</v>
      </c>
      <c r="J507" s="44">
        <f>YEAR(A507)</f>
        <v>2023</v>
      </c>
    </row>
    <row r="508" spans="1:10" ht="12" customHeight="1" x14ac:dyDescent="0.25">
      <c r="A508" s="43">
        <v>44978</v>
      </c>
      <c r="B508" s="47">
        <v>15280</v>
      </c>
      <c r="C508" s="44" t="s">
        <v>407</v>
      </c>
      <c r="D508" s="45">
        <v>-14.99</v>
      </c>
      <c r="E508" s="48" t="s">
        <v>299</v>
      </c>
      <c r="F508" s="48" t="s">
        <v>90</v>
      </c>
      <c r="G508" s="48" t="s">
        <v>91</v>
      </c>
      <c r="H508" s="44" t="s">
        <v>391</v>
      </c>
      <c r="I508" s="44" t="s">
        <v>658</v>
      </c>
      <c r="J508" s="44">
        <f>YEAR(A508)</f>
        <v>2023</v>
      </c>
    </row>
    <row r="509" spans="1:10" ht="12" customHeight="1" x14ac:dyDescent="0.25">
      <c r="A509" s="43">
        <v>44992</v>
      </c>
      <c r="B509" s="47">
        <v>15281</v>
      </c>
      <c r="C509" s="44" t="s">
        <v>440</v>
      </c>
      <c r="D509" s="45">
        <v>306.13</v>
      </c>
      <c r="E509" s="48" t="s">
        <v>124</v>
      </c>
      <c r="F509" s="48" t="s">
        <v>90</v>
      </c>
      <c r="G509" s="48" t="s">
        <v>91</v>
      </c>
      <c r="J509" s="44">
        <f>YEAR(A509)</f>
        <v>2023</v>
      </c>
    </row>
    <row r="510" spans="1:10" ht="12" customHeight="1" x14ac:dyDescent="0.25">
      <c r="A510" s="43">
        <v>44992</v>
      </c>
      <c r="B510" s="47">
        <v>15281</v>
      </c>
      <c r="C510" s="44" t="s">
        <v>440</v>
      </c>
      <c r="D510" s="45">
        <v>-306.13</v>
      </c>
      <c r="E510" s="48" t="s">
        <v>299</v>
      </c>
      <c r="F510" s="48" t="s">
        <v>90</v>
      </c>
      <c r="G510" s="48" t="s">
        <v>91</v>
      </c>
      <c r="H510" s="44" t="s">
        <v>391</v>
      </c>
      <c r="I510" s="44" t="s">
        <v>658</v>
      </c>
      <c r="J510" s="44">
        <f>YEAR(A510)</f>
        <v>2023</v>
      </c>
    </row>
    <row r="511" spans="1:10" ht="12" customHeight="1" x14ac:dyDescent="0.25">
      <c r="A511" s="43">
        <v>44970</v>
      </c>
      <c r="B511" s="47">
        <v>15282</v>
      </c>
      <c r="C511" s="44" t="s">
        <v>606</v>
      </c>
      <c r="D511" s="45">
        <v>156</v>
      </c>
      <c r="E511" s="48" t="s">
        <v>222</v>
      </c>
      <c r="F511" s="48" t="s">
        <v>90</v>
      </c>
      <c r="G511" s="48" t="s">
        <v>577</v>
      </c>
      <c r="J511" s="44">
        <f>YEAR(A511)</f>
        <v>2023</v>
      </c>
    </row>
    <row r="512" spans="1:10" ht="12" customHeight="1" x14ac:dyDescent="0.25">
      <c r="A512" s="43">
        <v>44970</v>
      </c>
      <c r="B512" s="47">
        <v>15282</v>
      </c>
      <c r="C512" s="44" t="s">
        <v>606</v>
      </c>
      <c r="D512" s="45">
        <v>-156</v>
      </c>
      <c r="E512" s="48" t="s">
        <v>299</v>
      </c>
      <c r="F512" s="48" t="s">
        <v>90</v>
      </c>
      <c r="G512" s="48" t="s">
        <v>91</v>
      </c>
      <c r="H512" s="44" t="s">
        <v>391</v>
      </c>
      <c r="I512" s="44" t="s">
        <v>658</v>
      </c>
      <c r="J512" s="44">
        <f>YEAR(A512)</f>
        <v>2023</v>
      </c>
    </row>
    <row r="513" spans="1:10" ht="12" customHeight="1" x14ac:dyDescent="0.25">
      <c r="A513" s="43">
        <v>44971</v>
      </c>
      <c r="B513" s="47">
        <v>15283</v>
      </c>
      <c r="C513" s="44" t="s">
        <v>660</v>
      </c>
      <c r="D513" s="45">
        <v>29.93</v>
      </c>
      <c r="E513" s="48" t="s">
        <v>124</v>
      </c>
      <c r="F513" s="48" t="s">
        <v>90</v>
      </c>
      <c r="G513" s="48" t="s">
        <v>91</v>
      </c>
      <c r="J513" s="44">
        <f>YEAR(A513)</f>
        <v>2023</v>
      </c>
    </row>
    <row r="514" spans="1:10" ht="12" customHeight="1" x14ac:dyDescent="0.25">
      <c r="A514" s="43">
        <v>44971</v>
      </c>
      <c r="B514" s="47">
        <v>15283</v>
      </c>
      <c r="C514" s="44" t="s">
        <v>660</v>
      </c>
      <c r="D514" s="45">
        <v>-29.93</v>
      </c>
      <c r="E514" s="48" t="s">
        <v>299</v>
      </c>
      <c r="F514" s="48" t="s">
        <v>90</v>
      </c>
      <c r="G514" s="48" t="s">
        <v>91</v>
      </c>
      <c r="H514" s="44" t="s">
        <v>442</v>
      </c>
      <c r="I514" s="44" t="s">
        <v>658</v>
      </c>
      <c r="J514" s="44">
        <f>YEAR(A514)</f>
        <v>2023</v>
      </c>
    </row>
    <row r="515" spans="1:10" ht="12" customHeight="1" x14ac:dyDescent="0.25">
      <c r="A515" s="43">
        <v>44979</v>
      </c>
      <c r="B515" s="47">
        <v>15284</v>
      </c>
      <c r="C515" s="44" t="s">
        <v>560</v>
      </c>
      <c r="D515" s="45">
        <v>-395.38</v>
      </c>
      <c r="E515" s="48" t="s">
        <v>214</v>
      </c>
      <c r="F515" s="48" t="s">
        <v>128</v>
      </c>
      <c r="G515" s="48" t="s">
        <v>99</v>
      </c>
      <c r="J515" s="44">
        <f>YEAR(A515)</f>
        <v>2023</v>
      </c>
    </row>
    <row r="516" spans="1:10" ht="12" customHeight="1" x14ac:dyDescent="0.25">
      <c r="A516" s="43">
        <v>44979</v>
      </c>
      <c r="B516" s="47">
        <v>15284</v>
      </c>
      <c r="C516" s="44" t="s">
        <v>560</v>
      </c>
      <c r="D516" s="45">
        <v>62.2</v>
      </c>
      <c r="E516" s="48" t="s">
        <v>110</v>
      </c>
      <c r="F516" s="48" t="s">
        <v>90</v>
      </c>
      <c r="G516" s="48" t="s">
        <v>91</v>
      </c>
      <c r="J516" s="44">
        <f>YEAR(A516)</f>
        <v>2023</v>
      </c>
    </row>
    <row r="517" spans="1:10" ht="12" customHeight="1" x14ac:dyDescent="0.25">
      <c r="A517" s="43">
        <v>44979</v>
      </c>
      <c r="B517" s="47">
        <v>15284</v>
      </c>
      <c r="C517" s="44" t="s">
        <v>560</v>
      </c>
      <c r="D517" s="45">
        <v>333.18</v>
      </c>
      <c r="E517" s="48" t="s">
        <v>299</v>
      </c>
      <c r="F517" s="48" t="s">
        <v>90</v>
      </c>
      <c r="G517" s="48" t="s">
        <v>91</v>
      </c>
      <c r="H517" s="44" t="s">
        <v>398</v>
      </c>
      <c r="I517" s="44" t="s">
        <v>659</v>
      </c>
      <c r="J517" s="44">
        <f>YEAR(A517)</f>
        <v>2023</v>
      </c>
    </row>
    <row r="518" spans="1:10" ht="12" customHeight="1" x14ac:dyDescent="0.25">
      <c r="A518" s="43">
        <v>45005</v>
      </c>
      <c r="B518" s="47">
        <v>15285</v>
      </c>
      <c r="C518" s="44" t="s">
        <v>661</v>
      </c>
      <c r="D518" s="45">
        <v>251</v>
      </c>
      <c r="E518" s="48" t="s">
        <v>1080</v>
      </c>
      <c r="F518" s="48" t="s">
        <v>1078</v>
      </c>
      <c r="G518" s="48" t="s">
        <v>91</v>
      </c>
      <c r="J518" s="44">
        <f>YEAR(A518)</f>
        <v>2023</v>
      </c>
    </row>
    <row r="519" spans="1:10" ht="12" customHeight="1" x14ac:dyDescent="0.25">
      <c r="A519" s="43">
        <v>45005</v>
      </c>
      <c r="B519" s="47">
        <v>15285</v>
      </c>
      <c r="C519" s="44" t="s">
        <v>661</v>
      </c>
      <c r="D519" s="45">
        <v>-251</v>
      </c>
      <c r="E519" s="48" t="s">
        <v>1080</v>
      </c>
      <c r="F519" s="48" t="s">
        <v>1078</v>
      </c>
      <c r="G519" s="48" t="s">
        <v>91</v>
      </c>
      <c r="J519" s="44">
        <f>YEAR(A519)</f>
        <v>2023</v>
      </c>
    </row>
    <row r="520" spans="1:10" ht="12" customHeight="1" x14ac:dyDescent="0.25">
      <c r="A520" s="43">
        <v>45005</v>
      </c>
      <c r="B520" s="47">
        <v>15286</v>
      </c>
      <c r="C520" s="44" t="s">
        <v>661</v>
      </c>
      <c r="D520" s="45">
        <v>50</v>
      </c>
      <c r="E520" s="48" t="s">
        <v>1080</v>
      </c>
      <c r="F520" s="48" t="s">
        <v>1078</v>
      </c>
      <c r="G520" s="48" t="s">
        <v>91</v>
      </c>
      <c r="J520" s="44">
        <f>YEAR(A520)</f>
        <v>2023</v>
      </c>
    </row>
    <row r="521" spans="1:10" ht="12" customHeight="1" x14ac:dyDescent="0.25">
      <c r="A521" s="43">
        <v>45005</v>
      </c>
      <c r="B521" s="47">
        <v>15286</v>
      </c>
      <c r="C521" s="44" t="s">
        <v>661</v>
      </c>
      <c r="D521" s="45">
        <v>-50</v>
      </c>
      <c r="E521" s="48" t="s">
        <v>1080</v>
      </c>
      <c r="F521" s="48" t="s">
        <v>1078</v>
      </c>
      <c r="G521" s="48" t="s">
        <v>91</v>
      </c>
      <c r="J521" s="44">
        <f>YEAR(A521)</f>
        <v>2023</v>
      </c>
    </row>
    <row r="522" spans="1:10" ht="12" customHeight="1" x14ac:dyDescent="0.25">
      <c r="A522" s="43">
        <v>45009</v>
      </c>
      <c r="B522" s="47">
        <v>15287</v>
      </c>
      <c r="C522" s="44" t="s">
        <v>767</v>
      </c>
      <c r="D522" s="45">
        <v>137.91999999999999</v>
      </c>
      <c r="E522" s="48" t="s">
        <v>244</v>
      </c>
      <c r="F522" s="48" t="s">
        <v>90</v>
      </c>
      <c r="G522" s="48" t="s">
        <v>114</v>
      </c>
      <c r="J522" s="44">
        <f>YEAR(A522)</f>
        <v>2023</v>
      </c>
    </row>
    <row r="523" spans="1:10" ht="12" customHeight="1" x14ac:dyDescent="0.25">
      <c r="A523" s="43">
        <v>45009</v>
      </c>
      <c r="B523" s="47">
        <v>15287</v>
      </c>
      <c r="C523" s="44" t="s">
        <v>768</v>
      </c>
      <c r="D523" s="45">
        <v>-137.91999999999999</v>
      </c>
      <c r="E523" s="48" t="s">
        <v>299</v>
      </c>
      <c r="F523" s="48" t="s">
        <v>90</v>
      </c>
      <c r="G523" s="48" t="s">
        <v>91</v>
      </c>
      <c r="H523" s="44" t="s">
        <v>402</v>
      </c>
      <c r="I523" s="44" t="s">
        <v>681</v>
      </c>
      <c r="J523" s="44">
        <f>YEAR(A523)</f>
        <v>2023</v>
      </c>
    </row>
    <row r="524" spans="1:10" ht="12" customHeight="1" x14ac:dyDescent="0.25">
      <c r="A524" s="43">
        <v>45006</v>
      </c>
      <c r="B524" s="47">
        <v>15288</v>
      </c>
      <c r="C524" s="44" t="s">
        <v>597</v>
      </c>
      <c r="D524" s="45">
        <v>-75</v>
      </c>
      <c r="E524" s="48" t="s">
        <v>299</v>
      </c>
      <c r="F524" s="48" t="s">
        <v>90</v>
      </c>
      <c r="G524" s="48" t="s">
        <v>91</v>
      </c>
      <c r="H524" s="44">
        <v>4000</v>
      </c>
      <c r="I524" s="44" t="s">
        <v>681</v>
      </c>
      <c r="J524" s="44">
        <f>YEAR(A524)</f>
        <v>2023</v>
      </c>
    </row>
    <row r="525" spans="1:10" ht="12" customHeight="1" x14ac:dyDescent="0.25">
      <c r="A525" s="43">
        <v>45006</v>
      </c>
      <c r="B525" s="47">
        <v>15288</v>
      </c>
      <c r="C525" s="44" t="s">
        <v>597</v>
      </c>
      <c r="D525" s="45">
        <v>75</v>
      </c>
      <c r="E525" s="48" t="s">
        <v>145</v>
      </c>
      <c r="F525" s="48" t="s">
        <v>135</v>
      </c>
      <c r="G525" s="48" t="s">
        <v>91</v>
      </c>
      <c r="J525" s="44">
        <f>YEAR(A525)</f>
        <v>2023</v>
      </c>
    </row>
    <row r="526" spans="1:10" ht="12" customHeight="1" x14ac:dyDescent="0.25">
      <c r="A526" s="43">
        <v>45006</v>
      </c>
      <c r="B526" s="47">
        <v>15289</v>
      </c>
      <c r="C526" s="44" t="s">
        <v>662</v>
      </c>
      <c r="D526" s="45">
        <v>-73.510000000000005</v>
      </c>
      <c r="E526" s="48" t="s">
        <v>299</v>
      </c>
      <c r="F526" s="48" t="s">
        <v>90</v>
      </c>
      <c r="G526" s="48" t="s">
        <v>91</v>
      </c>
      <c r="H526" s="44">
        <v>4001</v>
      </c>
      <c r="I526" s="44" t="s">
        <v>710</v>
      </c>
      <c r="J526" s="44">
        <f>YEAR(A526)</f>
        <v>2023</v>
      </c>
    </row>
    <row r="527" spans="1:10" ht="12" customHeight="1" x14ac:dyDescent="0.25">
      <c r="A527" s="43">
        <v>45006</v>
      </c>
      <c r="B527" s="47">
        <v>15289</v>
      </c>
      <c r="C527" s="44" t="s">
        <v>662</v>
      </c>
      <c r="D527" s="45">
        <v>73.510000000000005</v>
      </c>
      <c r="E527" s="48" t="s">
        <v>157</v>
      </c>
      <c r="F527" s="48" t="s">
        <v>116</v>
      </c>
      <c r="G527" s="48" t="s">
        <v>91</v>
      </c>
      <c r="J527" s="44">
        <f>YEAR(A527)</f>
        <v>2023</v>
      </c>
    </row>
    <row r="528" spans="1:10" ht="12" customHeight="1" x14ac:dyDescent="0.25">
      <c r="A528" s="43">
        <v>44987</v>
      </c>
      <c r="B528" s="47">
        <v>15290</v>
      </c>
      <c r="C528" s="44" t="s">
        <v>507</v>
      </c>
      <c r="D528" s="45">
        <v>2</v>
      </c>
      <c r="E528" s="48" t="s">
        <v>180</v>
      </c>
      <c r="F528" s="48" t="s">
        <v>90</v>
      </c>
      <c r="G528" s="48" t="s">
        <v>91</v>
      </c>
      <c r="J528" s="44">
        <f>YEAR(A528)</f>
        <v>2023</v>
      </c>
    </row>
    <row r="529" spans="1:10" ht="12" customHeight="1" x14ac:dyDescent="0.25">
      <c r="A529" s="43">
        <v>45013</v>
      </c>
      <c r="B529" s="47">
        <v>15290</v>
      </c>
      <c r="C529" s="44" t="s">
        <v>663</v>
      </c>
      <c r="D529" s="45">
        <v>4</v>
      </c>
      <c r="E529" s="48" t="s">
        <v>145</v>
      </c>
      <c r="F529" s="48" t="s">
        <v>128</v>
      </c>
      <c r="G529" s="48" t="s">
        <v>115</v>
      </c>
      <c r="J529" s="44">
        <f>YEAR(A529)</f>
        <v>2023</v>
      </c>
    </row>
    <row r="530" spans="1:10" ht="12" customHeight="1" x14ac:dyDescent="0.25">
      <c r="A530" s="43">
        <v>45013</v>
      </c>
      <c r="B530" s="47">
        <v>15290</v>
      </c>
      <c r="C530" s="44" t="s">
        <v>441</v>
      </c>
      <c r="D530" s="45">
        <v>-38.700000000000003</v>
      </c>
      <c r="E530" s="48" t="s">
        <v>299</v>
      </c>
      <c r="F530" s="48" t="s">
        <v>101</v>
      </c>
      <c r="G530" s="48" t="s">
        <v>91</v>
      </c>
      <c r="J530" s="44">
        <f>YEAR(A530)</f>
        <v>2023</v>
      </c>
    </row>
    <row r="531" spans="1:10" ht="12" customHeight="1" x14ac:dyDescent="0.25">
      <c r="A531" s="43">
        <v>45013</v>
      </c>
      <c r="B531" s="47">
        <v>15290</v>
      </c>
      <c r="C531" s="44" t="s">
        <v>508</v>
      </c>
      <c r="D531" s="45">
        <v>12.7</v>
      </c>
      <c r="E531" s="48" t="s">
        <v>157</v>
      </c>
      <c r="F531" s="48" t="s">
        <v>96</v>
      </c>
      <c r="G531" s="48" t="s">
        <v>91</v>
      </c>
      <c r="J531" s="44">
        <f>YEAR(A531)</f>
        <v>2023</v>
      </c>
    </row>
    <row r="532" spans="1:10" ht="12" customHeight="1" x14ac:dyDescent="0.25">
      <c r="A532" s="43">
        <v>45013</v>
      </c>
      <c r="B532" s="47">
        <v>15290</v>
      </c>
      <c r="C532" s="44" t="s">
        <v>664</v>
      </c>
      <c r="D532" s="45">
        <v>20</v>
      </c>
      <c r="E532" s="48" t="s">
        <v>89</v>
      </c>
      <c r="F532" s="48" t="s">
        <v>90</v>
      </c>
      <c r="G532" s="48" t="s">
        <v>91</v>
      </c>
      <c r="J532" s="44">
        <f>YEAR(A532)</f>
        <v>2023</v>
      </c>
    </row>
    <row r="533" spans="1:10" ht="12" customHeight="1" x14ac:dyDescent="0.25">
      <c r="A533" s="43">
        <v>45001</v>
      </c>
      <c r="B533" s="47">
        <v>15291</v>
      </c>
      <c r="C533" s="44" t="s">
        <v>444</v>
      </c>
      <c r="D533" s="45">
        <v>-73.27</v>
      </c>
      <c r="E533" s="48" t="s">
        <v>299</v>
      </c>
      <c r="F533" s="48" t="s">
        <v>90</v>
      </c>
      <c r="G533" s="48" t="s">
        <v>91</v>
      </c>
      <c r="H533" s="44" t="s">
        <v>459</v>
      </c>
      <c r="I533" s="44" t="s">
        <v>681</v>
      </c>
      <c r="J533" s="44">
        <f>YEAR(A533)</f>
        <v>2023</v>
      </c>
    </row>
    <row r="534" spans="1:10" ht="12" customHeight="1" x14ac:dyDescent="0.25">
      <c r="A534" s="43">
        <v>45001</v>
      </c>
      <c r="B534" s="47">
        <v>15291</v>
      </c>
      <c r="C534" s="44" t="s">
        <v>444</v>
      </c>
      <c r="D534" s="45">
        <v>8.08</v>
      </c>
      <c r="E534" s="48" t="s">
        <v>157</v>
      </c>
      <c r="F534" s="48" t="s">
        <v>96</v>
      </c>
      <c r="G534" s="48" t="s">
        <v>91</v>
      </c>
      <c r="J534" s="44">
        <f>YEAR(A534)</f>
        <v>2023</v>
      </c>
    </row>
    <row r="535" spans="1:10" ht="12" customHeight="1" x14ac:dyDescent="0.25">
      <c r="A535" s="43">
        <v>45001</v>
      </c>
      <c r="B535" s="47">
        <v>15291</v>
      </c>
      <c r="C535" s="44" t="s">
        <v>444</v>
      </c>
      <c r="D535" s="45">
        <v>14.86</v>
      </c>
      <c r="E535" s="48" t="s">
        <v>197</v>
      </c>
      <c r="F535" s="48" t="s">
        <v>96</v>
      </c>
      <c r="G535" s="48" t="s">
        <v>91</v>
      </c>
      <c r="J535" s="44">
        <f>YEAR(A535)</f>
        <v>2023</v>
      </c>
    </row>
    <row r="536" spans="1:10" ht="12" customHeight="1" x14ac:dyDescent="0.25">
      <c r="A536" s="43">
        <v>45001</v>
      </c>
      <c r="B536" s="47">
        <v>15291</v>
      </c>
      <c r="C536" s="44" t="s">
        <v>444</v>
      </c>
      <c r="D536" s="45">
        <v>22.2</v>
      </c>
      <c r="E536" s="48" t="s">
        <v>89</v>
      </c>
      <c r="F536" s="48" t="s">
        <v>90</v>
      </c>
      <c r="G536" s="48" t="s">
        <v>91</v>
      </c>
      <c r="J536" s="44">
        <f>YEAR(A536)</f>
        <v>2023</v>
      </c>
    </row>
    <row r="537" spans="1:10" ht="12" customHeight="1" x14ac:dyDescent="0.25">
      <c r="A537" s="43">
        <v>45001</v>
      </c>
      <c r="B537" s="47">
        <v>15291</v>
      </c>
      <c r="C537" s="44" t="s">
        <v>444</v>
      </c>
      <c r="D537" s="45">
        <v>28.13</v>
      </c>
      <c r="E537" s="48" t="s">
        <v>157</v>
      </c>
      <c r="F537" s="48" t="s">
        <v>96</v>
      </c>
      <c r="G537" s="48" t="s">
        <v>91</v>
      </c>
      <c r="J537" s="44">
        <f>YEAR(A537)</f>
        <v>2023</v>
      </c>
    </row>
    <row r="538" spans="1:10" ht="12" customHeight="1" x14ac:dyDescent="0.25">
      <c r="A538" s="43">
        <v>45005</v>
      </c>
      <c r="B538" s="47">
        <v>15292</v>
      </c>
      <c r="C538" s="44" t="s">
        <v>453</v>
      </c>
      <c r="D538" s="45">
        <v>20.29</v>
      </c>
      <c r="E538" s="48" t="s">
        <v>89</v>
      </c>
      <c r="F538" s="48" t="s">
        <v>90</v>
      </c>
      <c r="G538" s="48" t="s">
        <v>91</v>
      </c>
      <c r="J538" s="44">
        <f>YEAR(A538)</f>
        <v>2023</v>
      </c>
    </row>
    <row r="539" spans="1:10" ht="12" customHeight="1" x14ac:dyDescent="0.25">
      <c r="A539" s="43">
        <v>45005</v>
      </c>
      <c r="B539" s="47">
        <v>15292</v>
      </c>
      <c r="C539" s="44" t="s">
        <v>453</v>
      </c>
      <c r="D539" s="45">
        <v>-20.29</v>
      </c>
      <c r="E539" s="48" t="s">
        <v>299</v>
      </c>
      <c r="F539" s="48" t="s">
        <v>90</v>
      </c>
      <c r="G539" s="48" t="s">
        <v>305</v>
      </c>
      <c r="I539" s="44" t="s">
        <v>675</v>
      </c>
      <c r="J539" s="44">
        <f>YEAR(A539)</f>
        <v>2023</v>
      </c>
    </row>
    <row r="540" spans="1:10" ht="12" customHeight="1" x14ac:dyDescent="0.25">
      <c r="A540" s="43">
        <v>45005</v>
      </c>
      <c r="B540" s="47">
        <v>15293</v>
      </c>
      <c r="C540" s="44" t="s">
        <v>453</v>
      </c>
      <c r="D540" s="45">
        <v>2.8</v>
      </c>
      <c r="E540" s="48" t="s">
        <v>89</v>
      </c>
      <c r="F540" s="48" t="s">
        <v>90</v>
      </c>
      <c r="G540" s="48" t="s">
        <v>91</v>
      </c>
      <c r="J540" s="44">
        <f>YEAR(A540)</f>
        <v>2023</v>
      </c>
    </row>
    <row r="541" spans="1:10" ht="12" customHeight="1" x14ac:dyDescent="0.25">
      <c r="A541" s="43">
        <v>45005</v>
      </c>
      <c r="B541" s="47">
        <v>15293</v>
      </c>
      <c r="C541" s="44" t="s">
        <v>453</v>
      </c>
      <c r="D541" s="45">
        <v>-2.8</v>
      </c>
      <c r="E541" s="48" t="s">
        <v>299</v>
      </c>
      <c r="F541" s="48" t="s">
        <v>90</v>
      </c>
      <c r="G541" s="48" t="s">
        <v>305</v>
      </c>
      <c r="I541" s="44" t="s">
        <v>675</v>
      </c>
      <c r="J541" s="44">
        <f>YEAR(A541)</f>
        <v>2023</v>
      </c>
    </row>
    <row r="542" spans="1:10" ht="12" customHeight="1" x14ac:dyDescent="0.25">
      <c r="A542" s="43">
        <v>45006</v>
      </c>
      <c r="B542" s="47">
        <v>15294</v>
      </c>
      <c r="C542" s="44" t="s">
        <v>444</v>
      </c>
      <c r="D542" s="45">
        <v>-70.459999999999994</v>
      </c>
      <c r="E542" s="48" t="s">
        <v>299</v>
      </c>
      <c r="F542" s="48" t="s">
        <v>90</v>
      </c>
      <c r="G542" s="48" t="s">
        <v>91</v>
      </c>
      <c r="H542" s="44" t="s">
        <v>459</v>
      </c>
      <c r="I542" s="44" t="s">
        <v>681</v>
      </c>
      <c r="J542" s="44">
        <f>YEAR(A542)</f>
        <v>2023</v>
      </c>
    </row>
    <row r="543" spans="1:10" ht="12" customHeight="1" x14ac:dyDescent="0.25">
      <c r="A543" s="43">
        <v>45006</v>
      </c>
      <c r="B543" s="47">
        <v>15294</v>
      </c>
      <c r="C543" s="44" t="s">
        <v>444</v>
      </c>
      <c r="D543" s="45">
        <v>70.459999999999994</v>
      </c>
      <c r="E543" s="48" t="s">
        <v>180</v>
      </c>
      <c r="F543" s="48" t="s">
        <v>96</v>
      </c>
      <c r="G543" s="48" t="s">
        <v>592</v>
      </c>
      <c r="J543" s="44">
        <f>YEAR(A543)</f>
        <v>2023</v>
      </c>
    </row>
    <row r="544" spans="1:10" ht="12" customHeight="1" x14ac:dyDescent="0.25">
      <c r="A544" s="43">
        <v>45006</v>
      </c>
      <c r="B544" s="47">
        <v>15295</v>
      </c>
      <c r="C544" s="44" t="s">
        <v>444</v>
      </c>
      <c r="D544" s="45">
        <v>-111.04</v>
      </c>
      <c r="E544" s="48" t="s">
        <v>299</v>
      </c>
      <c r="F544" s="48" t="s">
        <v>90</v>
      </c>
      <c r="G544" s="48" t="s">
        <v>91</v>
      </c>
      <c r="H544" s="44" t="s">
        <v>459</v>
      </c>
      <c r="I544" s="44" t="s">
        <v>681</v>
      </c>
      <c r="J544" s="44">
        <f>YEAR(A544)</f>
        <v>2023</v>
      </c>
    </row>
    <row r="545" spans="1:10" ht="12" customHeight="1" x14ac:dyDescent="0.25">
      <c r="A545" s="43">
        <v>45006</v>
      </c>
      <c r="B545" s="47">
        <v>15295</v>
      </c>
      <c r="C545" s="44" t="s">
        <v>444</v>
      </c>
      <c r="D545" s="45">
        <v>18.62</v>
      </c>
      <c r="E545" s="48" t="s">
        <v>157</v>
      </c>
      <c r="F545" s="48" t="s">
        <v>96</v>
      </c>
      <c r="G545" s="48" t="s">
        <v>91</v>
      </c>
      <c r="J545" s="44">
        <f>YEAR(A545)</f>
        <v>2023</v>
      </c>
    </row>
    <row r="546" spans="1:10" ht="12" customHeight="1" x14ac:dyDescent="0.25">
      <c r="A546" s="43">
        <v>45006</v>
      </c>
      <c r="B546" s="47">
        <v>15295</v>
      </c>
      <c r="C546" s="44" t="s">
        <v>444</v>
      </c>
      <c r="D546" s="45">
        <v>16.38</v>
      </c>
      <c r="E546" s="48" t="s">
        <v>197</v>
      </c>
      <c r="F546" s="48" t="s">
        <v>96</v>
      </c>
      <c r="G546" s="48" t="s">
        <v>91</v>
      </c>
      <c r="J546" s="44">
        <f>YEAR(A546)</f>
        <v>2023</v>
      </c>
    </row>
    <row r="547" spans="1:10" ht="12" customHeight="1" x14ac:dyDescent="0.25">
      <c r="A547" s="43">
        <v>45006</v>
      </c>
      <c r="B547" s="47">
        <v>15295</v>
      </c>
      <c r="C547" s="44" t="s">
        <v>444</v>
      </c>
      <c r="D547" s="45">
        <v>79.19</v>
      </c>
      <c r="E547" s="48" t="s">
        <v>89</v>
      </c>
      <c r="F547" s="48" t="s">
        <v>90</v>
      </c>
      <c r="G547" s="48" t="s">
        <v>91</v>
      </c>
      <c r="J547" s="44">
        <f>YEAR(A547)</f>
        <v>2023</v>
      </c>
    </row>
    <row r="548" spans="1:10" ht="12" customHeight="1" x14ac:dyDescent="0.25">
      <c r="A548" s="43">
        <v>45006</v>
      </c>
      <c r="B548" s="47">
        <v>15295</v>
      </c>
      <c r="C548" s="44" t="s">
        <v>665</v>
      </c>
      <c r="D548" s="45">
        <v>-3.15</v>
      </c>
      <c r="E548" s="48" t="s">
        <v>200</v>
      </c>
      <c r="F548" s="48" t="s">
        <v>135</v>
      </c>
      <c r="G548" s="48" t="s">
        <v>91</v>
      </c>
      <c r="J548" s="44">
        <f>YEAR(A548)</f>
        <v>2023</v>
      </c>
    </row>
    <row r="549" spans="1:10" ht="12" customHeight="1" x14ac:dyDescent="0.25">
      <c r="A549" s="43">
        <v>45006</v>
      </c>
      <c r="B549" s="47">
        <v>15296</v>
      </c>
      <c r="C549" s="44" t="s">
        <v>493</v>
      </c>
      <c r="D549" s="45">
        <v>18.239999999999998</v>
      </c>
      <c r="E549" s="48" t="s">
        <v>89</v>
      </c>
      <c r="F549" s="48" t="s">
        <v>90</v>
      </c>
      <c r="G549" s="48" t="s">
        <v>91</v>
      </c>
      <c r="J549" s="44">
        <f>YEAR(A549)</f>
        <v>2023</v>
      </c>
    </row>
    <row r="550" spans="1:10" ht="12" customHeight="1" x14ac:dyDescent="0.25">
      <c r="A550" s="43">
        <v>45006</v>
      </c>
      <c r="B550" s="47">
        <v>15296</v>
      </c>
      <c r="C550" s="44" t="s">
        <v>493</v>
      </c>
      <c r="D550" s="45">
        <v>-18.239999999999998</v>
      </c>
      <c r="E550" s="48" t="s">
        <v>299</v>
      </c>
      <c r="F550" s="48" t="s">
        <v>90</v>
      </c>
      <c r="G550" s="48" t="s">
        <v>305</v>
      </c>
      <c r="I550" s="44" t="s">
        <v>675</v>
      </c>
      <c r="J550" s="44">
        <f>YEAR(A550)</f>
        <v>2023</v>
      </c>
    </row>
    <row r="551" spans="1:10" ht="12" customHeight="1" x14ac:dyDescent="0.25">
      <c r="A551" s="43">
        <v>45007</v>
      </c>
      <c r="B551" s="47">
        <v>15297</v>
      </c>
      <c r="C551" s="44" t="s">
        <v>600</v>
      </c>
      <c r="D551" s="45">
        <v>19.600000000000001</v>
      </c>
      <c r="E551" s="48" t="s">
        <v>89</v>
      </c>
      <c r="F551" s="48" t="s">
        <v>90</v>
      </c>
      <c r="G551" s="48" t="s">
        <v>91</v>
      </c>
      <c r="J551" s="44">
        <f>YEAR(A551)</f>
        <v>2023</v>
      </c>
    </row>
    <row r="552" spans="1:10" ht="12" customHeight="1" x14ac:dyDescent="0.25">
      <c r="A552" s="43">
        <v>45007</v>
      </c>
      <c r="B552" s="47">
        <v>15297</v>
      </c>
      <c r="C552" s="44" t="s">
        <v>600</v>
      </c>
      <c r="D552" s="45">
        <v>-19.600000000000001</v>
      </c>
      <c r="E552" s="48" t="s">
        <v>299</v>
      </c>
      <c r="F552" s="48" t="s">
        <v>90</v>
      </c>
      <c r="G552" s="48" t="s">
        <v>305</v>
      </c>
      <c r="I552" s="44" t="s">
        <v>675</v>
      </c>
      <c r="J552" s="44">
        <f>YEAR(A552)</f>
        <v>2023</v>
      </c>
    </row>
    <row r="553" spans="1:10" ht="12" customHeight="1" x14ac:dyDescent="0.25">
      <c r="A553" s="43">
        <v>45008</v>
      </c>
      <c r="B553" s="47">
        <v>15298</v>
      </c>
      <c r="C553" s="44" t="s">
        <v>550</v>
      </c>
      <c r="D553" s="45">
        <v>29.7</v>
      </c>
      <c r="E553" s="48" t="s">
        <v>197</v>
      </c>
      <c r="F553" s="48" t="s">
        <v>96</v>
      </c>
      <c r="G553" s="48" t="s">
        <v>93</v>
      </c>
      <c r="J553" s="44">
        <f>YEAR(A553)</f>
        <v>2023</v>
      </c>
    </row>
    <row r="554" spans="1:10" ht="12" customHeight="1" x14ac:dyDescent="0.25">
      <c r="A554" s="43">
        <v>45008</v>
      </c>
      <c r="B554" s="47">
        <v>15298</v>
      </c>
      <c r="C554" s="44" t="s">
        <v>550</v>
      </c>
      <c r="D554" s="45">
        <v>-29.7</v>
      </c>
      <c r="E554" s="48" t="s">
        <v>299</v>
      </c>
      <c r="F554" s="48" t="s">
        <v>90</v>
      </c>
      <c r="G554" s="48" t="s">
        <v>305</v>
      </c>
      <c r="I554" s="44" t="s">
        <v>675</v>
      </c>
      <c r="J554" s="44">
        <f>YEAR(A554)</f>
        <v>2023</v>
      </c>
    </row>
    <row r="555" spans="1:10" ht="12" customHeight="1" x14ac:dyDescent="0.25">
      <c r="A555" s="43">
        <v>45009</v>
      </c>
      <c r="B555" s="47">
        <v>15299</v>
      </c>
      <c r="C555" s="44" t="s">
        <v>444</v>
      </c>
      <c r="D555" s="45">
        <v>-79.56</v>
      </c>
      <c r="E555" s="48" t="s">
        <v>299</v>
      </c>
      <c r="F555" s="48" t="s">
        <v>90</v>
      </c>
      <c r="G555" s="48" t="s">
        <v>91</v>
      </c>
      <c r="H555" s="44" t="s">
        <v>459</v>
      </c>
      <c r="I555" s="44" t="s">
        <v>681</v>
      </c>
      <c r="J555" s="44">
        <f>YEAR(A555)</f>
        <v>2023</v>
      </c>
    </row>
    <row r="556" spans="1:10" ht="12" customHeight="1" x14ac:dyDescent="0.25">
      <c r="A556" s="43">
        <v>45009</v>
      </c>
      <c r="B556" s="47">
        <v>15299</v>
      </c>
      <c r="C556" s="44" t="s">
        <v>444</v>
      </c>
      <c r="D556" s="45">
        <v>14.64</v>
      </c>
      <c r="E556" s="48" t="s">
        <v>157</v>
      </c>
      <c r="F556" s="48" t="s">
        <v>96</v>
      </c>
      <c r="G556" s="48" t="s">
        <v>91</v>
      </c>
      <c r="J556" s="44">
        <f>YEAR(A556)</f>
        <v>2023</v>
      </c>
    </row>
    <row r="557" spans="1:10" ht="12" customHeight="1" x14ac:dyDescent="0.25">
      <c r="A557" s="43">
        <v>45009</v>
      </c>
      <c r="B557" s="47">
        <v>15299</v>
      </c>
      <c r="C557" s="44" t="s">
        <v>444</v>
      </c>
      <c r="D557" s="45">
        <v>64.92</v>
      </c>
      <c r="E557" s="48" t="s">
        <v>89</v>
      </c>
      <c r="F557" s="48" t="s">
        <v>90</v>
      </c>
      <c r="G557" s="48" t="s">
        <v>91</v>
      </c>
      <c r="J557" s="44">
        <f>YEAR(A557)</f>
        <v>2023</v>
      </c>
    </row>
    <row r="558" spans="1:10" ht="12" customHeight="1" x14ac:dyDescent="0.25">
      <c r="A558" s="43">
        <v>45010</v>
      </c>
      <c r="B558" s="47">
        <v>15300</v>
      </c>
      <c r="C558" s="44" t="s">
        <v>446</v>
      </c>
      <c r="D558" s="45">
        <v>31.44</v>
      </c>
      <c r="E558" s="48" t="s">
        <v>89</v>
      </c>
      <c r="F558" s="48" t="s">
        <v>96</v>
      </c>
      <c r="G558" s="48" t="s">
        <v>91</v>
      </c>
      <c r="J558" s="44">
        <f>YEAR(A558)</f>
        <v>2023</v>
      </c>
    </row>
    <row r="559" spans="1:10" ht="12" customHeight="1" x14ac:dyDescent="0.25">
      <c r="A559" s="43">
        <v>45010</v>
      </c>
      <c r="B559" s="47">
        <v>15300</v>
      </c>
      <c r="C559" s="44" t="s">
        <v>446</v>
      </c>
      <c r="D559" s="45">
        <v>-31.44</v>
      </c>
      <c r="E559" s="48" t="s">
        <v>299</v>
      </c>
      <c r="F559" s="48" t="s">
        <v>90</v>
      </c>
      <c r="G559" s="48" t="s">
        <v>305</v>
      </c>
      <c r="I559" s="44" t="s">
        <v>675</v>
      </c>
      <c r="J559" s="44">
        <f>YEAR(A559)</f>
        <v>2023</v>
      </c>
    </row>
    <row r="560" spans="1:10" ht="12" customHeight="1" x14ac:dyDescent="0.25">
      <c r="A560" s="43">
        <v>45010</v>
      </c>
      <c r="B560" s="47">
        <v>15301</v>
      </c>
      <c r="C560" s="44" t="s">
        <v>464</v>
      </c>
      <c r="D560" s="45">
        <v>10.4</v>
      </c>
      <c r="E560" s="48" t="s">
        <v>89</v>
      </c>
      <c r="F560" s="48" t="s">
        <v>90</v>
      </c>
      <c r="G560" s="48" t="s">
        <v>91</v>
      </c>
      <c r="J560" s="44">
        <f>YEAR(A560)</f>
        <v>2023</v>
      </c>
    </row>
    <row r="561" spans="1:10" ht="12" customHeight="1" x14ac:dyDescent="0.25">
      <c r="A561" s="43">
        <v>45010</v>
      </c>
      <c r="B561" s="47">
        <v>15301</v>
      </c>
      <c r="C561" s="44" t="s">
        <v>464</v>
      </c>
      <c r="D561" s="45">
        <v>-10.4</v>
      </c>
      <c r="E561" s="48" t="s">
        <v>299</v>
      </c>
      <c r="F561" s="48" t="s">
        <v>90</v>
      </c>
      <c r="G561" s="48" t="s">
        <v>305</v>
      </c>
      <c r="I561" s="44" t="s">
        <v>675</v>
      </c>
      <c r="J561" s="44">
        <f>YEAR(A561)</f>
        <v>2023</v>
      </c>
    </row>
    <row r="562" spans="1:10" ht="12" customHeight="1" x14ac:dyDescent="0.25">
      <c r="A562" s="43">
        <v>45013</v>
      </c>
      <c r="B562" s="47">
        <v>15302</v>
      </c>
      <c r="C562" s="44" t="s">
        <v>471</v>
      </c>
      <c r="D562" s="45">
        <v>21.6</v>
      </c>
      <c r="E562" s="48" t="s">
        <v>89</v>
      </c>
      <c r="F562" s="48" t="s">
        <v>90</v>
      </c>
      <c r="G562" s="48" t="s">
        <v>91</v>
      </c>
      <c r="J562" s="44">
        <f>YEAR(A562)</f>
        <v>2023</v>
      </c>
    </row>
    <row r="563" spans="1:10" ht="12" customHeight="1" x14ac:dyDescent="0.25">
      <c r="A563" s="43">
        <v>45013</v>
      </c>
      <c r="B563" s="47">
        <v>15302</v>
      </c>
      <c r="C563" s="44" t="s">
        <v>471</v>
      </c>
      <c r="D563" s="45">
        <v>-21.6</v>
      </c>
      <c r="E563" s="48" t="s">
        <v>299</v>
      </c>
      <c r="F563" s="48" t="s">
        <v>90</v>
      </c>
      <c r="G563" s="48" t="s">
        <v>305</v>
      </c>
      <c r="I563" s="44" t="s">
        <v>675</v>
      </c>
      <c r="J563" s="44">
        <f>YEAR(A563)</f>
        <v>2023</v>
      </c>
    </row>
    <row r="564" spans="1:10" ht="12" customHeight="1" x14ac:dyDescent="0.25">
      <c r="A564" s="43">
        <v>45013</v>
      </c>
      <c r="B564" s="47">
        <v>15303</v>
      </c>
      <c r="C564" s="44" t="s">
        <v>554</v>
      </c>
      <c r="D564" s="45">
        <v>16.07</v>
      </c>
      <c r="E564" s="48" t="s">
        <v>89</v>
      </c>
      <c r="F564" s="48" t="s">
        <v>90</v>
      </c>
      <c r="G564" s="48" t="s">
        <v>91</v>
      </c>
      <c r="J564" s="44">
        <f>YEAR(A564)</f>
        <v>2023</v>
      </c>
    </row>
    <row r="565" spans="1:10" ht="12" customHeight="1" x14ac:dyDescent="0.25">
      <c r="A565" s="43">
        <v>45013</v>
      </c>
      <c r="B565" s="47">
        <v>15303</v>
      </c>
      <c r="C565" s="44" t="s">
        <v>554</v>
      </c>
      <c r="D565" s="45">
        <v>-16.07</v>
      </c>
      <c r="E565" s="48" t="s">
        <v>299</v>
      </c>
      <c r="F565" s="48" t="s">
        <v>90</v>
      </c>
      <c r="G565" s="48" t="s">
        <v>305</v>
      </c>
      <c r="I565" s="44" t="s">
        <v>675</v>
      </c>
      <c r="J565" s="44">
        <f>YEAR(A565)</f>
        <v>2023</v>
      </c>
    </row>
    <row r="566" spans="1:10" ht="12" customHeight="1" x14ac:dyDescent="0.25">
      <c r="A566" s="43">
        <v>45013</v>
      </c>
      <c r="B566" s="47">
        <v>15304</v>
      </c>
      <c r="C566" s="44" t="s">
        <v>475</v>
      </c>
      <c r="D566" s="45">
        <v>33.72</v>
      </c>
      <c r="E566" s="48" t="s">
        <v>89</v>
      </c>
      <c r="F566" s="48" t="s">
        <v>90</v>
      </c>
      <c r="G566" s="48" t="s">
        <v>91</v>
      </c>
      <c r="J566" s="44">
        <f>YEAR(A566)</f>
        <v>2023</v>
      </c>
    </row>
    <row r="567" spans="1:10" ht="12" customHeight="1" x14ac:dyDescent="0.25">
      <c r="A567" s="43">
        <v>45013</v>
      </c>
      <c r="B567" s="47">
        <v>15304</v>
      </c>
      <c r="C567" s="44" t="s">
        <v>475</v>
      </c>
      <c r="D567" s="45">
        <v>-33.72</v>
      </c>
      <c r="E567" s="48" t="s">
        <v>299</v>
      </c>
      <c r="F567" s="48" t="s">
        <v>90</v>
      </c>
      <c r="G567" s="48" t="s">
        <v>305</v>
      </c>
      <c r="I567" s="44" t="s">
        <v>675</v>
      </c>
      <c r="J567" s="44">
        <f>YEAR(A567)</f>
        <v>2023</v>
      </c>
    </row>
    <row r="568" spans="1:10" ht="12" customHeight="1" x14ac:dyDescent="0.25">
      <c r="A568" s="43">
        <v>45013</v>
      </c>
      <c r="B568" s="47">
        <v>15305</v>
      </c>
      <c r="C568" s="44" t="s">
        <v>453</v>
      </c>
      <c r="D568" s="45">
        <v>25.2</v>
      </c>
      <c r="E568" s="48" t="s">
        <v>89</v>
      </c>
      <c r="F568" s="48" t="s">
        <v>90</v>
      </c>
      <c r="G568" s="48" t="s">
        <v>91</v>
      </c>
      <c r="J568" s="44">
        <f>YEAR(A568)</f>
        <v>2023</v>
      </c>
    </row>
    <row r="569" spans="1:10" ht="12" customHeight="1" x14ac:dyDescent="0.25">
      <c r="A569" s="43">
        <v>45013</v>
      </c>
      <c r="B569" s="47">
        <v>15305</v>
      </c>
      <c r="C569" s="44" t="s">
        <v>453</v>
      </c>
      <c r="D569" s="45">
        <v>-25.2</v>
      </c>
      <c r="E569" s="48" t="s">
        <v>299</v>
      </c>
      <c r="F569" s="48" t="s">
        <v>90</v>
      </c>
      <c r="G569" s="48" t="s">
        <v>305</v>
      </c>
      <c r="I569" s="44" t="s">
        <v>675</v>
      </c>
      <c r="J569" s="44">
        <f>YEAR(A569)</f>
        <v>2023</v>
      </c>
    </row>
    <row r="570" spans="1:10" ht="12" customHeight="1" x14ac:dyDescent="0.25">
      <c r="A570" s="43">
        <v>45013</v>
      </c>
      <c r="B570" s="47">
        <v>15306</v>
      </c>
      <c r="C570" s="44" t="s">
        <v>568</v>
      </c>
      <c r="D570" s="45">
        <v>24.82</v>
      </c>
      <c r="E570" s="48" t="s">
        <v>89</v>
      </c>
      <c r="F570" s="48" t="s">
        <v>90</v>
      </c>
      <c r="G570" s="48" t="s">
        <v>91</v>
      </c>
      <c r="J570" s="44">
        <f>YEAR(A570)</f>
        <v>2023</v>
      </c>
    </row>
    <row r="571" spans="1:10" ht="12" customHeight="1" x14ac:dyDescent="0.25">
      <c r="A571" s="43">
        <v>45013</v>
      </c>
      <c r="B571" s="47">
        <v>15306</v>
      </c>
      <c r="C571" s="44" t="s">
        <v>568</v>
      </c>
      <c r="D571" s="45">
        <v>-24.82</v>
      </c>
      <c r="E571" s="48" t="s">
        <v>299</v>
      </c>
      <c r="F571" s="48" t="s">
        <v>90</v>
      </c>
      <c r="G571" s="48" t="s">
        <v>305</v>
      </c>
      <c r="I571" s="44" t="s">
        <v>675</v>
      </c>
      <c r="J571" s="44">
        <f>YEAR(A571)</f>
        <v>2023</v>
      </c>
    </row>
    <row r="572" spans="1:10" ht="12" customHeight="1" x14ac:dyDescent="0.25">
      <c r="A572" s="43">
        <v>45013</v>
      </c>
      <c r="B572" s="47">
        <v>15307</v>
      </c>
      <c r="C572" s="44" t="s">
        <v>575</v>
      </c>
      <c r="D572" s="45">
        <v>52.53</v>
      </c>
      <c r="E572" s="48" t="s">
        <v>89</v>
      </c>
      <c r="F572" s="48" t="s">
        <v>90</v>
      </c>
      <c r="G572" s="48" t="s">
        <v>91</v>
      </c>
      <c r="J572" s="44">
        <f>YEAR(A572)</f>
        <v>2023</v>
      </c>
    </row>
    <row r="573" spans="1:10" ht="12" customHeight="1" x14ac:dyDescent="0.25">
      <c r="A573" s="43">
        <v>45013</v>
      </c>
      <c r="B573" s="47">
        <v>15307</v>
      </c>
      <c r="C573" s="44" t="s">
        <v>575</v>
      </c>
      <c r="D573" s="45">
        <v>-52.53</v>
      </c>
      <c r="E573" s="48" t="s">
        <v>299</v>
      </c>
      <c r="F573" s="48" t="s">
        <v>90</v>
      </c>
      <c r="G573" s="48" t="s">
        <v>305</v>
      </c>
      <c r="I573" s="44" t="s">
        <v>675</v>
      </c>
      <c r="J573" s="44">
        <f>YEAR(A573)</f>
        <v>2023</v>
      </c>
    </row>
    <row r="574" spans="1:10" ht="12" customHeight="1" x14ac:dyDescent="0.25">
      <c r="A574" s="43">
        <v>45013</v>
      </c>
      <c r="B574" s="47">
        <v>15308</v>
      </c>
      <c r="C574" s="44" t="s">
        <v>446</v>
      </c>
      <c r="D574" s="45">
        <v>49.4</v>
      </c>
      <c r="E574" s="48" t="s">
        <v>89</v>
      </c>
      <c r="F574" s="48" t="s">
        <v>90</v>
      </c>
      <c r="G574" s="48" t="s">
        <v>91</v>
      </c>
      <c r="J574" s="44">
        <f>YEAR(A574)</f>
        <v>2023</v>
      </c>
    </row>
    <row r="575" spans="1:10" ht="12" customHeight="1" x14ac:dyDescent="0.25">
      <c r="A575" s="43">
        <v>45013</v>
      </c>
      <c r="B575" s="47">
        <v>15308</v>
      </c>
      <c r="C575" s="44" t="s">
        <v>446</v>
      </c>
      <c r="D575" s="45">
        <v>-49.4</v>
      </c>
      <c r="E575" s="48" t="s">
        <v>299</v>
      </c>
      <c r="F575" s="48" t="s">
        <v>90</v>
      </c>
      <c r="G575" s="48" t="s">
        <v>305</v>
      </c>
      <c r="I575" s="44" t="s">
        <v>675</v>
      </c>
      <c r="J575" s="44">
        <f>YEAR(A575)</f>
        <v>2023</v>
      </c>
    </row>
    <row r="576" spans="1:10" ht="12" customHeight="1" x14ac:dyDescent="0.25">
      <c r="A576" s="43">
        <v>45013</v>
      </c>
      <c r="B576" s="47">
        <v>15309</v>
      </c>
      <c r="C576" s="44" t="s">
        <v>446</v>
      </c>
      <c r="D576" s="45">
        <v>9.1999999999999993</v>
      </c>
      <c r="E576" s="48" t="s">
        <v>89</v>
      </c>
      <c r="F576" s="48" t="s">
        <v>90</v>
      </c>
      <c r="G576" s="48" t="s">
        <v>91</v>
      </c>
      <c r="J576" s="44">
        <f>YEAR(A576)</f>
        <v>2023</v>
      </c>
    </row>
    <row r="577" spans="1:10" ht="12" customHeight="1" x14ac:dyDescent="0.25">
      <c r="A577" s="43">
        <v>45013</v>
      </c>
      <c r="B577" s="47">
        <v>15309</v>
      </c>
      <c r="C577" s="44" t="s">
        <v>446</v>
      </c>
      <c r="D577" s="45">
        <v>-9.1999999999999993</v>
      </c>
      <c r="E577" s="48" t="s">
        <v>299</v>
      </c>
      <c r="F577" s="48" t="s">
        <v>90</v>
      </c>
      <c r="G577" s="48" t="s">
        <v>305</v>
      </c>
      <c r="I577" s="44" t="s">
        <v>675</v>
      </c>
      <c r="J577" s="44">
        <f>YEAR(A577)</f>
        <v>2023</v>
      </c>
    </row>
    <row r="578" spans="1:10" ht="12" customHeight="1" x14ac:dyDescent="0.25">
      <c r="A578" s="43">
        <v>45014</v>
      </c>
      <c r="B578" s="47">
        <v>15310</v>
      </c>
      <c r="C578" s="44" t="s">
        <v>585</v>
      </c>
      <c r="D578" s="45">
        <v>-75</v>
      </c>
      <c r="E578" s="48" t="s">
        <v>197</v>
      </c>
      <c r="F578" s="48" t="s">
        <v>90</v>
      </c>
      <c r="G578" s="48" t="s">
        <v>99</v>
      </c>
      <c r="J578" s="44">
        <f>YEAR(A578)</f>
        <v>2023</v>
      </c>
    </row>
    <row r="579" spans="1:10" ht="12" customHeight="1" x14ac:dyDescent="0.25">
      <c r="A579" s="43">
        <v>45014</v>
      </c>
      <c r="B579" s="47">
        <v>15310</v>
      </c>
      <c r="C579" s="44" t="s">
        <v>585</v>
      </c>
      <c r="D579" s="45">
        <v>75</v>
      </c>
      <c r="E579" s="48" t="s">
        <v>299</v>
      </c>
      <c r="F579" s="48" t="s">
        <v>90</v>
      </c>
      <c r="G579" s="48" t="s">
        <v>91</v>
      </c>
      <c r="H579" s="44" t="s">
        <v>398</v>
      </c>
      <c r="I579" s="44" t="s">
        <v>682</v>
      </c>
      <c r="J579" s="44">
        <f>YEAR(A579)</f>
        <v>2023</v>
      </c>
    </row>
    <row r="580" spans="1:10" ht="12" customHeight="1" x14ac:dyDescent="0.25">
      <c r="A580" s="43">
        <v>45017</v>
      </c>
      <c r="B580" s="47">
        <v>15312</v>
      </c>
      <c r="C580" s="44" t="s">
        <v>164</v>
      </c>
      <c r="D580" s="45">
        <v>-794.3</v>
      </c>
      <c r="E580" s="48" t="s">
        <v>299</v>
      </c>
      <c r="F580" s="48" t="s">
        <v>90</v>
      </c>
      <c r="G580" s="48" t="s">
        <v>91</v>
      </c>
      <c r="H580" s="44" t="s">
        <v>402</v>
      </c>
      <c r="I580" s="44" t="s">
        <v>681</v>
      </c>
      <c r="J580" s="44">
        <f>YEAR(A580)</f>
        <v>2023</v>
      </c>
    </row>
    <row r="581" spans="1:10" ht="12" customHeight="1" x14ac:dyDescent="0.25">
      <c r="A581" s="43">
        <v>45017</v>
      </c>
      <c r="B581" s="47">
        <v>15312</v>
      </c>
      <c r="C581" s="44" t="s">
        <v>164</v>
      </c>
      <c r="D581" s="45">
        <v>794.3</v>
      </c>
      <c r="E581" s="48" t="s">
        <v>157</v>
      </c>
      <c r="F581" s="48" t="s">
        <v>128</v>
      </c>
      <c r="G581" s="48" t="s">
        <v>112</v>
      </c>
      <c r="J581" s="44">
        <f>YEAR(A581)</f>
        <v>2023</v>
      </c>
    </row>
    <row r="582" spans="1:10" ht="12" customHeight="1" x14ac:dyDescent="0.25">
      <c r="A582" s="43">
        <v>45017</v>
      </c>
      <c r="B582" s="47">
        <v>15313</v>
      </c>
      <c r="C582" s="44" t="s">
        <v>452</v>
      </c>
      <c r="D582" s="45">
        <v>-282.32</v>
      </c>
      <c r="E582" s="48" t="s">
        <v>299</v>
      </c>
      <c r="F582" s="48" t="s">
        <v>90</v>
      </c>
      <c r="G582" s="48" t="s">
        <v>91</v>
      </c>
      <c r="H582" s="44" t="s">
        <v>402</v>
      </c>
      <c r="I582" s="44" t="s">
        <v>681</v>
      </c>
      <c r="J582" s="44">
        <f>YEAR(A582)</f>
        <v>2023</v>
      </c>
    </row>
    <row r="583" spans="1:10" ht="12" customHeight="1" x14ac:dyDescent="0.25">
      <c r="A583" s="43">
        <v>44989</v>
      </c>
      <c r="B583" s="47">
        <v>15313</v>
      </c>
      <c r="C583" s="44" t="s">
        <v>469</v>
      </c>
      <c r="D583" s="45">
        <v>7.8</v>
      </c>
      <c r="E583" s="48" t="s">
        <v>89</v>
      </c>
      <c r="F583" s="48" t="s">
        <v>90</v>
      </c>
      <c r="G583" s="48" t="s">
        <v>91</v>
      </c>
      <c r="J583" s="44">
        <f>YEAR(A583)</f>
        <v>2023</v>
      </c>
    </row>
    <row r="584" spans="1:10" ht="12" customHeight="1" x14ac:dyDescent="0.25">
      <c r="A584" s="43">
        <v>44996</v>
      </c>
      <c r="B584" s="47">
        <v>15313</v>
      </c>
      <c r="C584" s="44" t="s">
        <v>451</v>
      </c>
      <c r="D584" s="45">
        <v>6.1</v>
      </c>
      <c r="E584" s="48" t="s">
        <v>89</v>
      </c>
      <c r="F584" s="48" t="s">
        <v>90</v>
      </c>
      <c r="G584" s="48" t="s">
        <v>91</v>
      </c>
      <c r="J584" s="44">
        <f>YEAR(A584)</f>
        <v>2023</v>
      </c>
    </row>
    <row r="585" spans="1:10" ht="12" customHeight="1" x14ac:dyDescent="0.25">
      <c r="A585" s="43">
        <v>44996</v>
      </c>
      <c r="B585" s="47">
        <v>15313</v>
      </c>
      <c r="C585" s="44" t="s">
        <v>666</v>
      </c>
      <c r="D585" s="45">
        <v>31.72</v>
      </c>
      <c r="E585" s="48" t="s">
        <v>89</v>
      </c>
      <c r="F585" s="48" t="s">
        <v>90</v>
      </c>
      <c r="G585" s="48" t="s">
        <v>91</v>
      </c>
      <c r="J585" s="44">
        <f>YEAR(A585)</f>
        <v>2023</v>
      </c>
    </row>
    <row r="586" spans="1:10" ht="12" customHeight="1" x14ac:dyDescent="0.25">
      <c r="A586" s="43">
        <v>44997</v>
      </c>
      <c r="B586" s="47">
        <v>15313</v>
      </c>
      <c r="C586" s="44" t="s">
        <v>451</v>
      </c>
      <c r="D586" s="45">
        <v>9.0500000000000007</v>
      </c>
      <c r="E586" s="48" t="s">
        <v>89</v>
      </c>
      <c r="F586" s="48" t="s">
        <v>90</v>
      </c>
      <c r="G586" s="48" t="s">
        <v>91</v>
      </c>
      <c r="J586" s="44">
        <f>YEAR(A586)</f>
        <v>2023</v>
      </c>
    </row>
    <row r="587" spans="1:10" ht="12" customHeight="1" x14ac:dyDescent="0.25">
      <c r="A587" s="43">
        <v>44997</v>
      </c>
      <c r="B587" s="47">
        <v>15313</v>
      </c>
      <c r="C587" s="44" t="s">
        <v>667</v>
      </c>
      <c r="D587" s="45">
        <v>8.2200000000000006</v>
      </c>
      <c r="E587" s="48" t="s">
        <v>89</v>
      </c>
      <c r="F587" s="48" t="s">
        <v>90</v>
      </c>
      <c r="G587" s="48" t="s">
        <v>91</v>
      </c>
      <c r="J587" s="44">
        <f>YEAR(A587)</f>
        <v>2023</v>
      </c>
    </row>
    <row r="588" spans="1:10" ht="12" customHeight="1" x14ac:dyDescent="0.25">
      <c r="A588" s="43">
        <v>45002</v>
      </c>
      <c r="B588" s="47">
        <v>15313</v>
      </c>
      <c r="C588" s="44" t="s">
        <v>576</v>
      </c>
      <c r="D588" s="45">
        <v>52.99</v>
      </c>
      <c r="E588" s="48" t="s">
        <v>89</v>
      </c>
      <c r="F588" s="48" t="s">
        <v>90</v>
      </c>
      <c r="G588" s="48" t="s">
        <v>91</v>
      </c>
      <c r="J588" s="44">
        <f>YEAR(A588)</f>
        <v>2023</v>
      </c>
    </row>
    <row r="589" spans="1:10" ht="12" customHeight="1" x14ac:dyDescent="0.25">
      <c r="A589" s="43">
        <v>45002</v>
      </c>
      <c r="B589" s="47">
        <v>15313</v>
      </c>
      <c r="C589" s="44" t="s">
        <v>668</v>
      </c>
      <c r="D589" s="45">
        <v>4.74</v>
      </c>
      <c r="E589" s="48" t="s">
        <v>89</v>
      </c>
      <c r="F589" s="48" t="s">
        <v>90</v>
      </c>
      <c r="G589" s="48" t="s">
        <v>91</v>
      </c>
      <c r="J589" s="44">
        <f>YEAR(A589)</f>
        <v>2023</v>
      </c>
    </row>
    <row r="590" spans="1:10" ht="12" customHeight="1" x14ac:dyDescent="0.25">
      <c r="A590" s="43">
        <v>45002</v>
      </c>
      <c r="B590" s="47">
        <v>15313</v>
      </c>
      <c r="C590" s="44" t="s">
        <v>669</v>
      </c>
      <c r="D590" s="45">
        <v>2.6</v>
      </c>
      <c r="E590" s="48" t="s">
        <v>139</v>
      </c>
      <c r="F590" s="48" t="s">
        <v>90</v>
      </c>
      <c r="G590" s="48" t="s">
        <v>91</v>
      </c>
      <c r="J590" s="44">
        <f>YEAR(A590)</f>
        <v>2023</v>
      </c>
    </row>
    <row r="591" spans="1:10" ht="12" customHeight="1" x14ac:dyDescent="0.25">
      <c r="A591" s="43">
        <v>45002</v>
      </c>
      <c r="B591" s="47">
        <v>15313</v>
      </c>
      <c r="C591" s="44" t="s">
        <v>449</v>
      </c>
      <c r="D591" s="45">
        <v>7.75</v>
      </c>
      <c r="E591" s="48" t="s">
        <v>89</v>
      </c>
      <c r="F591" s="48" t="s">
        <v>90</v>
      </c>
      <c r="G591" s="48" t="s">
        <v>91</v>
      </c>
      <c r="J591" s="44">
        <f>YEAR(A591)</f>
        <v>2023</v>
      </c>
    </row>
    <row r="592" spans="1:10" ht="12" customHeight="1" x14ac:dyDescent="0.25">
      <c r="A592" s="43">
        <v>45003</v>
      </c>
      <c r="B592" s="47">
        <v>15313</v>
      </c>
      <c r="C592" s="44" t="s">
        <v>469</v>
      </c>
      <c r="D592" s="45">
        <v>7.9</v>
      </c>
      <c r="E592" s="48" t="s">
        <v>89</v>
      </c>
      <c r="F592" s="48" t="s">
        <v>90</v>
      </c>
      <c r="G592" s="48" t="s">
        <v>91</v>
      </c>
      <c r="J592" s="44">
        <f>YEAR(A592)</f>
        <v>2023</v>
      </c>
    </row>
    <row r="593" spans="1:10" ht="12" customHeight="1" x14ac:dyDescent="0.25">
      <c r="A593" s="43">
        <v>45017</v>
      </c>
      <c r="B593" s="47">
        <v>15313</v>
      </c>
      <c r="C593" s="44" t="s">
        <v>469</v>
      </c>
      <c r="D593" s="45">
        <v>13.45</v>
      </c>
      <c r="E593" s="48" t="s">
        <v>89</v>
      </c>
      <c r="F593" s="48" t="s">
        <v>90</v>
      </c>
      <c r="G593" s="48" t="s">
        <v>91</v>
      </c>
      <c r="J593" s="44">
        <f>YEAR(A593)</f>
        <v>2023</v>
      </c>
    </row>
    <row r="594" spans="1:10" ht="12" customHeight="1" x14ac:dyDescent="0.25">
      <c r="A594" s="43">
        <v>45017</v>
      </c>
      <c r="B594" s="47">
        <v>15313</v>
      </c>
      <c r="C594" s="44" t="s">
        <v>670</v>
      </c>
      <c r="D594" s="45">
        <v>130</v>
      </c>
      <c r="E594" s="48" t="s">
        <v>89</v>
      </c>
      <c r="F594" s="48" t="s">
        <v>96</v>
      </c>
      <c r="G594" s="48" t="s">
        <v>91</v>
      </c>
      <c r="J594" s="44">
        <f>YEAR(A594)</f>
        <v>2023</v>
      </c>
    </row>
    <row r="595" spans="1:10" ht="12" customHeight="1" x14ac:dyDescent="0.25">
      <c r="A595" s="43">
        <v>45018</v>
      </c>
      <c r="B595" s="47">
        <v>15314</v>
      </c>
      <c r="C595" s="44" t="s">
        <v>410</v>
      </c>
      <c r="D595" s="45">
        <v>-705.31</v>
      </c>
      <c r="E595" s="48" t="s">
        <v>214</v>
      </c>
      <c r="F595" s="48" t="s">
        <v>128</v>
      </c>
      <c r="G595" s="48" t="s">
        <v>99</v>
      </c>
      <c r="J595" s="44">
        <f>YEAR(A595)</f>
        <v>2023</v>
      </c>
    </row>
    <row r="596" spans="1:10" ht="12" customHeight="1" x14ac:dyDescent="0.25">
      <c r="A596" s="43">
        <v>45018</v>
      </c>
      <c r="B596" s="47">
        <v>15314</v>
      </c>
      <c r="C596" s="44" t="s">
        <v>411</v>
      </c>
      <c r="D596" s="45">
        <v>110.98</v>
      </c>
      <c r="E596" s="48" t="s">
        <v>110</v>
      </c>
      <c r="F596" s="48" t="s">
        <v>90</v>
      </c>
      <c r="G596" s="48" t="s">
        <v>91</v>
      </c>
      <c r="J596" s="44">
        <f>YEAR(A596)</f>
        <v>2023</v>
      </c>
    </row>
    <row r="597" spans="1:10" ht="12" customHeight="1" x14ac:dyDescent="0.25">
      <c r="A597" s="43">
        <v>45018</v>
      </c>
      <c r="B597" s="47">
        <v>15314</v>
      </c>
      <c r="C597" s="44" t="s">
        <v>410</v>
      </c>
      <c r="D597" s="45">
        <v>594.33000000000004</v>
      </c>
      <c r="E597" s="48" t="s">
        <v>299</v>
      </c>
      <c r="F597" s="48" t="s">
        <v>90</v>
      </c>
      <c r="G597" s="48" t="s">
        <v>91</v>
      </c>
      <c r="H597" s="44" t="s">
        <v>398</v>
      </c>
      <c r="I597" s="44" t="s">
        <v>682</v>
      </c>
      <c r="J597" s="44">
        <f>YEAR(A597)</f>
        <v>2023</v>
      </c>
    </row>
    <row r="598" spans="1:10" ht="12" customHeight="1" x14ac:dyDescent="0.25">
      <c r="A598" s="43">
        <v>45024</v>
      </c>
      <c r="B598" s="47">
        <v>15315</v>
      </c>
      <c r="C598" s="44" t="s">
        <v>512</v>
      </c>
      <c r="D598" s="45">
        <v>-917.79</v>
      </c>
      <c r="E598" s="48" t="s">
        <v>244</v>
      </c>
      <c r="F598" s="48" t="s">
        <v>90</v>
      </c>
      <c r="G598" s="48" t="s">
        <v>114</v>
      </c>
      <c r="J598" s="44">
        <f>YEAR(A598)</f>
        <v>2023</v>
      </c>
    </row>
    <row r="599" spans="1:10" ht="12" customHeight="1" x14ac:dyDescent="0.25">
      <c r="A599" s="43">
        <v>45024</v>
      </c>
      <c r="B599" s="47">
        <v>15315</v>
      </c>
      <c r="C599" s="44" t="s">
        <v>512</v>
      </c>
      <c r="D599" s="45">
        <v>917.79</v>
      </c>
      <c r="E599" s="48" t="s">
        <v>299</v>
      </c>
      <c r="F599" s="48" t="s">
        <v>90</v>
      </c>
      <c r="G599" s="48" t="s">
        <v>91</v>
      </c>
      <c r="H599" s="44" t="s">
        <v>398</v>
      </c>
      <c r="I599" s="44" t="s">
        <v>682</v>
      </c>
      <c r="J599" s="44">
        <f>YEAR(A599)</f>
        <v>2023</v>
      </c>
    </row>
    <row r="600" spans="1:10" ht="12" customHeight="1" x14ac:dyDescent="0.25">
      <c r="A600" s="43">
        <v>45041</v>
      </c>
      <c r="B600" s="47">
        <v>15316</v>
      </c>
      <c r="C600" s="44" t="s">
        <v>629</v>
      </c>
      <c r="D600" s="45">
        <v>299.35000000000002</v>
      </c>
      <c r="E600" s="48" t="s">
        <v>157</v>
      </c>
      <c r="F600" s="48" t="s">
        <v>137</v>
      </c>
      <c r="G600" s="48" t="s">
        <v>91</v>
      </c>
      <c r="J600" s="44">
        <f>YEAR(A600)</f>
        <v>2023</v>
      </c>
    </row>
    <row r="601" spans="1:10" ht="12" customHeight="1" x14ac:dyDescent="0.25">
      <c r="A601" s="43">
        <v>45041</v>
      </c>
      <c r="B601" s="47">
        <v>15316</v>
      </c>
      <c r="C601" s="44" t="s">
        <v>629</v>
      </c>
      <c r="D601" s="45">
        <v>-299.35000000000002</v>
      </c>
      <c r="E601" s="48" t="s">
        <v>299</v>
      </c>
      <c r="F601" s="48" t="s">
        <v>90</v>
      </c>
      <c r="G601" s="48" t="s">
        <v>91</v>
      </c>
      <c r="H601" s="44" t="s">
        <v>391</v>
      </c>
      <c r="I601" s="44" t="s">
        <v>710</v>
      </c>
      <c r="J601" s="44">
        <f>YEAR(A601)</f>
        <v>2023</v>
      </c>
    </row>
    <row r="602" spans="1:10" ht="12" customHeight="1" x14ac:dyDescent="0.25">
      <c r="A602" s="43">
        <v>45042</v>
      </c>
      <c r="B602" s="47">
        <v>15317</v>
      </c>
      <c r="C602" s="44" t="s">
        <v>630</v>
      </c>
      <c r="D602" s="45">
        <v>-418.09</v>
      </c>
      <c r="E602" s="48" t="s">
        <v>299</v>
      </c>
      <c r="F602" s="48" t="s">
        <v>90</v>
      </c>
      <c r="G602" s="48" t="s">
        <v>91</v>
      </c>
      <c r="H602" s="44" t="s">
        <v>391</v>
      </c>
      <c r="I602" s="44" t="s">
        <v>710</v>
      </c>
      <c r="J602" s="44">
        <f>YEAR(A602)</f>
        <v>2023</v>
      </c>
    </row>
    <row r="603" spans="1:10" ht="12" customHeight="1" x14ac:dyDescent="0.25">
      <c r="A603" s="43">
        <v>45042</v>
      </c>
      <c r="B603" s="47">
        <v>15317</v>
      </c>
      <c r="C603" s="44" t="s">
        <v>630</v>
      </c>
      <c r="D603" s="45">
        <v>418.09</v>
      </c>
      <c r="E603" s="48" t="s">
        <v>157</v>
      </c>
      <c r="F603" s="48" t="s">
        <v>137</v>
      </c>
      <c r="G603" s="48" t="s">
        <v>91</v>
      </c>
      <c r="J603" s="44">
        <f>YEAR(A603)</f>
        <v>2023</v>
      </c>
    </row>
    <row r="604" spans="1:10" ht="12" customHeight="1" x14ac:dyDescent="0.25">
      <c r="A604" s="43">
        <v>45029</v>
      </c>
      <c r="B604" s="47">
        <v>15318</v>
      </c>
      <c r="C604" s="44" t="s">
        <v>671</v>
      </c>
      <c r="D604" s="45">
        <v>7.48</v>
      </c>
      <c r="E604" s="48" t="s">
        <v>145</v>
      </c>
      <c r="F604" s="48" t="s">
        <v>116</v>
      </c>
      <c r="G604" s="48" t="s">
        <v>91</v>
      </c>
      <c r="J604" s="44">
        <f>YEAR(A604)</f>
        <v>2023</v>
      </c>
    </row>
    <row r="605" spans="1:10" ht="12" customHeight="1" x14ac:dyDescent="0.25">
      <c r="A605" s="43">
        <v>45029</v>
      </c>
      <c r="B605" s="47">
        <v>15318</v>
      </c>
      <c r="C605" s="44" t="s">
        <v>671</v>
      </c>
      <c r="D605" s="45">
        <v>-7.48</v>
      </c>
      <c r="E605" s="48" t="s">
        <v>299</v>
      </c>
      <c r="F605" s="48" t="s">
        <v>90</v>
      </c>
      <c r="G605" s="48" t="s">
        <v>305</v>
      </c>
      <c r="I605" s="44" t="s">
        <v>709</v>
      </c>
      <c r="J605" s="44">
        <f>YEAR(A605)</f>
        <v>2023</v>
      </c>
    </row>
    <row r="606" spans="1:10" ht="12" customHeight="1" x14ac:dyDescent="0.25">
      <c r="A606" s="43">
        <v>45029</v>
      </c>
      <c r="B606" s="47">
        <v>15319</v>
      </c>
      <c r="C606" s="44" t="s">
        <v>470</v>
      </c>
      <c r="D606" s="45">
        <v>5.63</v>
      </c>
      <c r="E606" s="48" t="s">
        <v>145</v>
      </c>
      <c r="F606" s="48" t="s">
        <v>116</v>
      </c>
      <c r="G606" s="48" t="s">
        <v>91</v>
      </c>
      <c r="J606" s="44">
        <f>YEAR(A606)</f>
        <v>2023</v>
      </c>
    </row>
    <row r="607" spans="1:10" ht="12" customHeight="1" x14ac:dyDescent="0.25">
      <c r="A607" s="43">
        <v>45029</v>
      </c>
      <c r="B607" s="47">
        <v>15319</v>
      </c>
      <c r="C607" s="44" t="s">
        <v>470</v>
      </c>
      <c r="D607" s="45">
        <v>-5.63</v>
      </c>
      <c r="E607" s="48" t="s">
        <v>299</v>
      </c>
      <c r="F607" s="48" t="s">
        <v>90</v>
      </c>
      <c r="G607" s="48" t="s">
        <v>305</v>
      </c>
      <c r="I607" s="44" t="s">
        <v>709</v>
      </c>
      <c r="J607" s="44">
        <f>YEAR(A607)</f>
        <v>2023</v>
      </c>
    </row>
    <row r="608" spans="1:10" ht="12" customHeight="1" x14ac:dyDescent="0.25">
      <c r="A608" s="43">
        <v>45029</v>
      </c>
      <c r="B608" s="47">
        <v>15320</v>
      </c>
      <c r="C608" s="44" t="s">
        <v>672</v>
      </c>
      <c r="D608" s="45">
        <v>10.41</v>
      </c>
      <c r="E608" s="48" t="s">
        <v>145</v>
      </c>
      <c r="F608" s="48" t="s">
        <v>116</v>
      </c>
      <c r="G608" s="48" t="s">
        <v>91</v>
      </c>
      <c r="J608" s="44">
        <f>YEAR(A608)</f>
        <v>2023</v>
      </c>
    </row>
    <row r="609" spans="1:10" ht="12" customHeight="1" x14ac:dyDescent="0.25">
      <c r="A609" s="43">
        <v>45029</v>
      </c>
      <c r="B609" s="47">
        <v>15320</v>
      </c>
      <c r="C609" s="44" t="s">
        <v>672</v>
      </c>
      <c r="D609" s="45">
        <v>-10.41</v>
      </c>
      <c r="E609" s="48" t="s">
        <v>299</v>
      </c>
      <c r="F609" s="48" t="s">
        <v>90</v>
      </c>
      <c r="G609" s="48" t="s">
        <v>305</v>
      </c>
      <c r="I609" s="44" t="s">
        <v>709</v>
      </c>
      <c r="J609" s="44">
        <f>YEAR(A609)</f>
        <v>2023</v>
      </c>
    </row>
    <row r="610" spans="1:10" ht="12" customHeight="1" x14ac:dyDescent="0.25">
      <c r="A610" s="43">
        <v>45021</v>
      </c>
      <c r="B610" s="47">
        <v>15321</v>
      </c>
      <c r="C610" s="44" t="s">
        <v>417</v>
      </c>
      <c r="D610" s="45">
        <v>-532.91</v>
      </c>
      <c r="E610" s="48" t="s">
        <v>299</v>
      </c>
      <c r="F610" s="48" t="s">
        <v>90</v>
      </c>
      <c r="G610" s="48" t="s">
        <v>91</v>
      </c>
      <c r="I610" s="44" t="s">
        <v>681</v>
      </c>
      <c r="J610" s="44">
        <f>YEAR(A610)</f>
        <v>2023</v>
      </c>
    </row>
    <row r="611" spans="1:10" ht="12" customHeight="1" x14ac:dyDescent="0.25">
      <c r="A611" s="43">
        <v>45021</v>
      </c>
      <c r="B611" s="47">
        <v>15321</v>
      </c>
      <c r="C611" s="44" t="s">
        <v>417</v>
      </c>
      <c r="D611" s="45">
        <v>532.91</v>
      </c>
      <c r="E611" s="48" t="s">
        <v>299</v>
      </c>
      <c r="F611" s="48" t="s">
        <v>90</v>
      </c>
      <c r="G611" s="48" t="s">
        <v>305</v>
      </c>
      <c r="I611" s="44" t="s">
        <v>674</v>
      </c>
      <c r="J611" s="44">
        <f>YEAR(A611)</f>
        <v>2023</v>
      </c>
    </row>
    <row r="612" spans="1:10" ht="12" customHeight="1" x14ac:dyDescent="0.25">
      <c r="A612" s="43">
        <v>45013</v>
      </c>
      <c r="B612" s="47">
        <v>15322</v>
      </c>
      <c r="C612" s="44" t="s">
        <v>454</v>
      </c>
      <c r="D612" s="45">
        <v>-18.72</v>
      </c>
      <c r="E612" s="48" t="s">
        <v>299</v>
      </c>
      <c r="F612" s="48" t="s">
        <v>90</v>
      </c>
      <c r="G612" s="48" t="s">
        <v>305</v>
      </c>
      <c r="I612" s="44" t="s">
        <v>675</v>
      </c>
      <c r="J612" s="44">
        <f>YEAR(A612)</f>
        <v>2023</v>
      </c>
    </row>
    <row r="613" spans="1:10" ht="12" customHeight="1" x14ac:dyDescent="0.25">
      <c r="A613" s="43">
        <v>45013</v>
      </c>
      <c r="B613" s="47">
        <v>15322</v>
      </c>
      <c r="C613" s="44" t="s">
        <v>454</v>
      </c>
      <c r="D613" s="45">
        <v>18.72</v>
      </c>
      <c r="E613" s="48" t="s">
        <v>89</v>
      </c>
      <c r="F613" s="48" t="s">
        <v>90</v>
      </c>
      <c r="G613" s="48" t="s">
        <v>91</v>
      </c>
      <c r="J613" s="44">
        <f>YEAR(A613)</f>
        <v>2023</v>
      </c>
    </row>
    <row r="614" spans="1:10" ht="12" customHeight="1" x14ac:dyDescent="0.25">
      <c r="A614" s="43">
        <v>45013</v>
      </c>
      <c r="B614" s="47">
        <v>15323</v>
      </c>
      <c r="C614" s="44" t="s">
        <v>460</v>
      </c>
      <c r="D614" s="45">
        <v>-20.79</v>
      </c>
      <c r="E614" s="48" t="s">
        <v>299</v>
      </c>
      <c r="F614" s="48" t="s">
        <v>90</v>
      </c>
      <c r="G614" s="48" t="s">
        <v>305</v>
      </c>
      <c r="I614" s="44" t="s">
        <v>675</v>
      </c>
      <c r="J614" s="44">
        <f>YEAR(A614)</f>
        <v>2023</v>
      </c>
    </row>
    <row r="615" spans="1:10" ht="12" customHeight="1" x14ac:dyDescent="0.25">
      <c r="A615" s="43">
        <v>45013</v>
      </c>
      <c r="B615" s="47">
        <v>15323</v>
      </c>
      <c r="C615" s="44" t="s">
        <v>460</v>
      </c>
      <c r="D615" s="45">
        <v>20.79</v>
      </c>
      <c r="E615" s="48" t="s">
        <v>89</v>
      </c>
      <c r="F615" s="48" t="s">
        <v>90</v>
      </c>
      <c r="G615" s="48" t="s">
        <v>91</v>
      </c>
      <c r="J615" s="44">
        <f>YEAR(A615)</f>
        <v>2023</v>
      </c>
    </row>
    <row r="616" spans="1:10" ht="12" customHeight="1" x14ac:dyDescent="0.25">
      <c r="A616" s="43">
        <v>45013</v>
      </c>
      <c r="B616" s="47">
        <v>15324</v>
      </c>
      <c r="C616" s="44" t="s">
        <v>494</v>
      </c>
      <c r="D616" s="45">
        <v>-79.989999999999995</v>
      </c>
      <c r="E616" s="48" t="s">
        <v>299</v>
      </c>
      <c r="F616" s="48" t="s">
        <v>90</v>
      </c>
      <c r="G616" s="48" t="s">
        <v>305</v>
      </c>
      <c r="I616" s="44" t="s">
        <v>675</v>
      </c>
      <c r="J616" s="44">
        <f>YEAR(A616)</f>
        <v>2023</v>
      </c>
    </row>
    <row r="617" spans="1:10" ht="12" customHeight="1" x14ac:dyDescent="0.25">
      <c r="A617" s="43">
        <v>45013</v>
      </c>
      <c r="B617" s="47">
        <v>15324</v>
      </c>
      <c r="C617" s="44" t="s">
        <v>494</v>
      </c>
      <c r="D617" s="45">
        <v>79.989999999999995</v>
      </c>
      <c r="E617" s="48" t="s">
        <v>157</v>
      </c>
      <c r="F617" s="48" t="s">
        <v>96</v>
      </c>
      <c r="G617" s="48" t="s">
        <v>91</v>
      </c>
      <c r="J617" s="44">
        <f>YEAR(A617)</f>
        <v>2023</v>
      </c>
    </row>
    <row r="618" spans="1:10" ht="12" customHeight="1" x14ac:dyDescent="0.25">
      <c r="A618" s="43">
        <v>45014</v>
      </c>
      <c r="B618" s="47">
        <v>15325</v>
      </c>
      <c r="C618" s="44" t="s">
        <v>600</v>
      </c>
      <c r="D618" s="45">
        <v>-12.38</v>
      </c>
      <c r="E618" s="48" t="s">
        <v>299</v>
      </c>
      <c r="F618" s="48" t="s">
        <v>90</v>
      </c>
      <c r="G618" s="48" t="s">
        <v>305</v>
      </c>
      <c r="I618" s="44" t="s">
        <v>675</v>
      </c>
      <c r="J618" s="44">
        <f>YEAR(A618)</f>
        <v>2023</v>
      </c>
    </row>
    <row r="619" spans="1:10" ht="12" customHeight="1" x14ac:dyDescent="0.25">
      <c r="A619" s="43">
        <v>45014</v>
      </c>
      <c r="B619" s="47">
        <v>15325</v>
      </c>
      <c r="C619" s="44" t="s">
        <v>600</v>
      </c>
      <c r="D619" s="45">
        <v>12.38</v>
      </c>
      <c r="E619" s="48" t="s">
        <v>89</v>
      </c>
      <c r="F619" s="48" t="s">
        <v>90</v>
      </c>
      <c r="G619" s="48" t="s">
        <v>91</v>
      </c>
      <c r="J619" s="44">
        <f>YEAR(A619)</f>
        <v>2023</v>
      </c>
    </row>
    <row r="620" spans="1:10" ht="12" customHeight="1" x14ac:dyDescent="0.25">
      <c r="A620" s="43">
        <v>45015</v>
      </c>
      <c r="B620" s="47">
        <v>15326</v>
      </c>
      <c r="C620" s="44" t="s">
        <v>444</v>
      </c>
      <c r="D620" s="45">
        <v>-46.06</v>
      </c>
      <c r="E620" s="48" t="s">
        <v>299</v>
      </c>
      <c r="F620" s="48" t="s">
        <v>90</v>
      </c>
      <c r="G620" s="48" t="s">
        <v>91</v>
      </c>
      <c r="H620" s="44" t="s">
        <v>459</v>
      </c>
      <c r="I620" s="44" t="s">
        <v>681</v>
      </c>
      <c r="J620" s="44">
        <f>YEAR(A620)</f>
        <v>2023</v>
      </c>
    </row>
    <row r="621" spans="1:10" ht="12" customHeight="1" x14ac:dyDescent="0.25">
      <c r="A621" s="43">
        <v>45015</v>
      </c>
      <c r="B621" s="47">
        <v>15326</v>
      </c>
      <c r="C621" s="44" t="s">
        <v>444</v>
      </c>
      <c r="D621" s="45">
        <v>46.06</v>
      </c>
      <c r="E621" s="48" t="s">
        <v>180</v>
      </c>
      <c r="F621" s="48" t="s">
        <v>96</v>
      </c>
      <c r="G621" s="48" t="s">
        <v>592</v>
      </c>
      <c r="J621" s="44">
        <f>YEAR(A621)</f>
        <v>2023</v>
      </c>
    </row>
    <row r="622" spans="1:10" ht="12" customHeight="1" x14ac:dyDescent="0.25">
      <c r="A622" s="43">
        <v>45015</v>
      </c>
      <c r="B622" s="47">
        <v>15327</v>
      </c>
      <c r="C622" s="44" t="s">
        <v>495</v>
      </c>
      <c r="D622" s="45">
        <v>-2.6</v>
      </c>
      <c r="E622" s="48" t="s">
        <v>299</v>
      </c>
      <c r="F622" s="48" t="s">
        <v>90</v>
      </c>
      <c r="G622" s="48" t="s">
        <v>305</v>
      </c>
      <c r="I622" s="44" t="s">
        <v>709</v>
      </c>
      <c r="J622" s="44">
        <f>YEAR(A622)</f>
        <v>2023</v>
      </c>
    </row>
    <row r="623" spans="1:10" ht="12" customHeight="1" x14ac:dyDescent="0.25">
      <c r="A623" s="43">
        <v>45015</v>
      </c>
      <c r="B623" s="47">
        <v>15327</v>
      </c>
      <c r="C623" s="44" t="s">
        <v>495</v>
      </c>
      <c r="D623" s="45">
        <v>2.6</v>
      </c>
      <c r="E623" s="48" t="s">
        <v>89</v>
      </c>
      <c r="F623" s="48" t="s">
        <v>90</v>
      </c>
      <c r="G623" s="48" t="s">
        <v>91</v>
      </c>
      <c r="J623" s="44">
        <f>YEAR(A623)</f>
        <v>2023</v>
      </c>
    </row>
    <row r="624" spans="1:10" ht="12" customHeight="1" x14ac:dyDescent="0.25">
      <c r="A624" s="43">
        <v>45015</v>
      </c>
      <c r="B624" s="47">
        <v>15328</v>
      </c>
      <c r="C624" s="44" t="s">
        <v>467</v>
      </c>
      <c r="D624" s="45">
        <v>-6.42</v>
      </c>
      <c r="E624" s="48" t="s">
        <v>299</v>
      </c>
      <c r="F624" s="48" t="s">
        <v>90</v>
      </c>
      <c r="G624" s="48" t="s">
        <v>305</v>
      </c>
      <c r="I624" s="44" t="s">
        <v>709</v>
      </c>
      <c r="J624" s="44">
        <f>YEAR(A624)</f>
        <v>2023</v>
      </c>
    </row>
    <row r="625" spans="1:10" ht="12" customHeight="1" x14ac:dyDescent="0.25">
      <c r="A625" s="43">
        <v>45015</v>
      </c>
      <c r="B625" s="47">
        <v>15328</v>
      </c>
      <c r="C625" s="44" t="s">
        <v>467</v>
      </c>
      <c r="D625" s="45">
        <v>6.42</v>
      </c>
      <c r="E625" s="48" t="s">
        <v>145</v>
      </c>
      <c r="F625" s="48" t="s">
        <v>128</v>
      </c>
      <c r="G625" s="48" t="s">
        <v>91</v>
      </c>
      <c r="J625" s="44">
        <f>YEAR(A625)</f>
        <v>2023</v>
      </c>
    </row>
    <row r="626" spans="1:10" ht="12" customHeight="1" x14ac:dyDescent="0.25">
      <c r="A626" s="43">
        <v>45016</v>
      </c>
      <c r="B626" s="47">
        <v>15329</v>
      </c>
      <c r="C626" s="44" t="s">
        <v>493</v>
      </c>
      <c r="D626" s="45">
        <v>-23.6</v>
      </c>
      <c r="E626" s="48" t="s">
        <v>299</v>
      </c>
      <c r="F626" s="48" t="s">
        <v>90</v>
      </c>
      <c r="G626" s="48" t="s">
        <v>305</v>
      </c>
      <c r="I626" s="44" t="s">
        <v>709</v>
      </c>
      <c r="J626" s="44">
        <f>YEAR(A626)</f>
        <v>2023</v>
      </c>
    </row>
    <row r="627" spans="1:10" ht="12" customHeight="1" x14ac:dyDescent="0.25">
      <c r="A627" s="43">
        <v>45016</v>
      </c>
      <c r="B627" s="47">
        <v>15329</v>
      </c>
      <c r="C627" s="44" t="s">
        <v>493</v>
      </c>
      <c r="D627" s="45">
        <v>23.6</v>
      </c>
      <c r="E627" s="48" t="s">
        <v>89</v>
      </c>
      <c r="F627" s="48" t="s">
        <v>90</v>
      </c>
      <c r="G627" s="48" t="s">
        <v>91</v>
      </c>
      <c r="J627" s="44">
        <f>YEAR(A627)</f>
        <v>2023</v>
      </c>
    </row>
    <row r="628" spans="1:10" ht="12" customHeight="1" x14ac:dyDescent="0.25">
      <c r="A628" s="43">
        <v>45017</v>
      </c>
      <c r="B628" s="47">
        <v>15330</v>
      </c>
      <c r="C628" s="44" t="s">
        <v>458</v>
      </c>
      <c r="D628" s="45">
        <v>-12.15</v>
      </c>
      <c r="E628" s="48" t="s">
        <v>299</v>
      </c>
      <c r="F628" s="48" t="s">
        <v>90</v>
      </c>
      <c r="G628" s="48" t="s">
        <v>305</v>
      </c>
      <c r="I628" s="44" t="s">
        <v>709</v>
      </c>
      <c r="J628" s="44">
        <f>YEAR(A628)</f>
        <v>2023</v>
      </c>
    </row>
    <row r="629" spans="1:10" ht="12" customHeight="1" x14ac:dyDescent="0.25">
      <c r="A629" s="43">
        <v>45017</v>
      </c>
      <c r="B629" s="47">
        <v>15330</v>
      </c>
      <c r="C629" s="44" t="s">
        <v>458</v>
      </c>
      <c r="D629" s="45">
        <v>12.15</v>
      </c>
      <c r="E629" s="48" t="s">
        <v>89</v>
      </c>
      <c r="F629" s="48" t="s">
        <v>90</v>
      </c>
      <c r="G629" s="48" t="s">
        <v>91</v>
      </c>
      <c r="J629" s="44">
        <f>YEAR(A629)</f>
        <v>2023</v>
      </c>
    </row>
    <row r="630" spans="1:10" ht="12" customHeight="1" x14ac:dyDescent="0.25">
      <c r="A630" s="43">
        <v>45017</v>
      </c>
      <c r="B630" s="47">
        <v>15331</v>
      </c>
      <c r="C630" s="44" t="s">
        <v>460</v>
      </c>
      <c r="D630" s="45">
        <v>-23</v>
      </c>
      <c r="E630" s="48" t="s">
        <v>299</v>
      </c>
      <c r="F630" s="48" t="s">
        <v>90</v>
      </c>
      <c r="G630" s="48" t="s">
        <v>305</v>
      </c>
      <c r="I630" s="44" t="s">
        <v>709</v>
      </c>
      <c r="J630" s="44">
        <f>YEAR(A630)</f>
        <v>2023</v>
      </c>
    </row>
    <row r="631" spans="1:10" ht="12" customHeight="1" x14ac:dyDescent="0.25">
      <c r="A631" s="43">
        <v>45017</v>
      </c>
      <c r="B631" s="47">
        <v>15331</v>
      </c>
      <c r="C631" s="44" t="s">
        <v>460</v>
      </c>
      <c r="D631" s="45">
        <v>23</v>
      </c>
      <c r="E631" s="48" t="s">
        <v>89</v>
      </c>
      <c r="F631" s="48" t="s">
        <v>90</v>
      </c>
      <c r="G631" s="48" t="s">
        <v>91</v>
      </c>
      <c r="J631" s="44">
        <f>YEAR(A631)</f>
        <v>2023</v>
      </c>
    </row>
    <row r="632" spans="1:10" ht="12" customHeight="1" x14ac:dyDescent="0.25">
      <c r="A632" s="43">
        <v>45017</v>
      </c>
      <c r="B632" s="47">
        <v>15332</v>
      </c>
      <c r="C632" s="44" t="s">
        <v>446</v>
      </c>
      <c r="D632" s="45">
        <v>-16.940000000000001</v>
      </c>
      <c r="E632" s="48" t="s">
        <v>299</v>
      </c>
      <c r="F632" s="48" t="s">
        <v>90</v>
      </c>
      <c r="G632" s="48" t="s">
        <v>305</v>
      </c>
      <c r="I632" s="44" t="s">
        <v>709</v>
      </c>
      <c r="J632" s="44">
        <f>YEAR(A632)</f>
        <v>2023</v>
      </c>
    </row>
    <row r="633" spans="1:10" ht="12" customHeight="1" x14ac:dyDescent="0.25">
      <c r="A633" s="43">
        <v>45017</v>
      </c>
      <c r="B633" s="47">
        <v>15332</v>
      </c>
      <c r="C633" s="44" t="s">
        <v>446</v>
      </c>
      <c r="D633" s="45">
        <v>16.940000000000001</v>
      </c>
      <c r="E633" s="48" t="s">
        <v>89</v>
      </c>
      <c r="F633" s="48" t="s">
        <v>90</v>
      </c>
      <c r="G633" s="48" t="s">
        <v>91</v>
      </c>
      <c r="J633" s="44">
        <f>YEAR(A633)</f>
        <v>2023</v>
      </c>
    </row>
    <row r="634" spans="1:10" ht="12" customHeight="1" x14ac:dyDescent="0.25">
      <c r="A634" s="43">
        <v>45018</v>
      </c>
      <c r="B634" s="47">
        <v>15333</v>
      </c>
      <c r="C634" s="44" t="s">
        <v>464</v>
      </c>
      <c r="D634" s="45">
        <v>-47.09</v>
      </c>
      <c r="E634" s="48" t="s">
        <v>299</v>
      </c>
      <c r="F634" s="48" t="s">
        <v>90</v>
      </c>
      <c r="G634" s="48" t="s">
        <v>305</v>
      </c>
      <c r="I634" s="44" t="s">
        <v>709</v>
      </c>
      <c r="J634" s="44">
        <f>YEAR(A634)</f>
        <v>2023</v>
      </c>
    </row>
    <row r="635" spans="1:10" ht="12" customHeight="1" x14ac:dyDescent="0.25">
      <c r="A635" s="43">
        <v>45018</v>
      </c>
      <c r="B635" s="47">
        <v>15333</v>
      </c>
      <c r="C635" s="44" t="s">
        <v>464</v>
      </c>
      <c r="D635" s="45">
        <v>-6.62</v>
      </c>
      <c r="E635" s="48" t="s">
        <v>299</v>
      </c>
      <c r="F635" s="48" t="s">
        <v>90</v>
      </c>
      <c r="G635" s="48" t="s">
        <v>305</v>
      </c>
      <c r="I635" s="44" t="s">
        <v>709</v>
      </c>
      <c r="J635" s="44">
        <f>YEAR(A635)</f>
        <v>2023</v>
      </c>
    </row>
    <row r="636" spans="1:10" ht="12" customHeight="1" x14ac:dyDescent="0.25">
      <c r="A636" s="43">
        <v>45018</v>
      </c>
      <c r="B636" s="47">
        <v>15333</v>
      </c>
      <c r="C636" s="44" t="s">
        <v>464</v>
      </c>
      <c r="D636" s="45">
        <v>47.09</v>
      </c>
      <c r="E636" s="48" t="s">
        <v>89</v>
      </c>
      <c r="F636" s="48" t="s">
        <v>90</v>
      </c>
      <c r="G636" s="48" t="s">
        <v>91</v>
      </c>
      <c r="J636" s="44">
        <f>YEAR(A636)</f>
        <v>2023</v>
      </c>
    </row>
    <row r="637" spans="1:10" ht="12" customHeight="1" x14ac:dyDescent="0.25">
      <c r="A637" s="43">
        <v>45018</v>
      </c>
      <c r="B637" s="47">
        <v>15333</v>
      </c>
      <c r="C637" s="44" t="s">
        <v>464</v>
      </c>
      <c r="D637" s="45">
        <v>6.62</v>
      </c>
      <c r="E637" s="48" t="s">
        <v>89</v>
      </c>
      <c r="F637" s="48" t="s">
        <v>90</v>
      </c>
      <c r="G637" s="48" t="s">
        <v>91</v>
      </c>
      <c r="J637" s="44">
        <f>YEAR(A637)</f>
        <v>2023</v>
      </c>
    </row>
    <row r="638" spans="1:10" ht="12" customHeight="1" x14ac:dyDescent="0.25">
      <c r="A638" s="43">
        <v>45019</v>
      </c>
      <c r="B638" s="47">
        <v>15334</v>
      </c>
      <c r="C638" s="44" t="s">
        <v>455</v>
      </c>
      <c r="D638" s="45">
        <v>-145.22</v>
      </c>
      <c r="E638" s="48" t="s">
        <v>299</v>
      </c>
      <c r="F638" s="48" t="s">
        <v>90</v>
      </c>
      <c r="G638" s="48" t="s">
        <v>305</v>
      </c>
      <c r="I638" s="44" t="s">
        <v>709</v>
      </c>
      <c r="J638" s="44">
        <f>YEAR(A638)</f>
        <v>2023</v>
      </c>
    </row>
    <row r="639" spans="1:10" ht="12" customHeight="1" x14ac:dyDescent="0.25">
      <c r="A639" s="43">
        <v>45019</v>
      </c>
      <c r="B639" s="47">
        <v>15334</v>
      </c>
      <c r="C639" s="44" t="s">
        <v>455</v>
      </c>
      <c r="D639" s="45">
        <v>63.26</v>
      </c>
      <c r="E639" s="48" t="s">
        <v>89</v>
      </c>
      <c r="F639" s="48" t="s">
        <v>90</v>
      </c>
      <c r="G639" s="48" t="s">
        <v>91</v>
      </c>
      <c r="J639" s="44">
        <f>YEAR(A639)</f>
        <v>2023</v>
      </c>
    </row>
    <row r="640" spans="1:10" ht="12" customHeight="1" x14ac:dyDescent="0.25">
      <c r="A640" s="43">
        <v>45019</v>
      </c>
      <c r="B640" s="47">
        <v>15334</v>
      </c>
      <c r="C640" s="44" t="s">
        <v>455</v>
      </c>
      <c r="D640" s="45">
        <v>56.54</v>
      </c>
      <c r="E640" s="48" t="s">
        <v>157</v>
      </c>
      <c r="F640" s="48" t="s">
        <v>96</v>
      </c>
      <c r="G640" s="48" t="s">
        <v>91</v>
      </c>
      <c r="J640" s="44">
        <f>YEAR(A640)</f>
        <v>2023</v>
      </c>
    </row>
    <row r="641" spans="1:10" ht="12" customHeight="1" x14ac:dyDescent="0.25">
      <c r="A641" s="43">
        <v>45019</v>
      </c>
      <c r="B641" s="47">
        <v>15334</v>
      </c>
      <c r="C641" s="44" t="s">
        <v>455</v>
      </c>
      <c r="D641" s="45">
        <v>19.43</v>
      </c>
      <c r="E641" s="48" t="s">
        <v>197</v>
      </c>
      <c r="F641" s="48" t="s">
        <v>96</v>
      </c>
      <c r="G641" s="48" t="s">
        <v>91</v>
      </c>
      <c r="J641" s="44">
        <f>YEAR(A641)</f>
        <v>2023</v>
      </c>
    </row>
    <row r="642" spans="1:10" ht="12" customHeight="1" x14ac:dyDescent="0.25">
      <c r="A642" s="43">
        <v>45019</v>
      </c>
      <c r="B642" s="47">
        <v>15334</v>
      </c>
      <c r="C642" s="44" t="s">
        <v>455</v>
      </c>
      <c r="D642" s="45">
        <v>5.99</v>
      </c>
      <c r="E642" s="48" t="s">
        <v>145</v>
      </c>
      <c r="F642" s="48" t="s">
        <v>116</v>
      </c>
      <c r="G642" s="48" t="s">
        <v>93</v>
      </c>
      <c r="J642" s="44">
        <f>YEAR(A642)</f>
        <v>2023</v>
      </c>
    </row>
    <row r="643" spans="1:10" ht="12" customHeight="1" x14ac:dyDescent="0.25">
      <c r="A643" s="43">
        <v>45019</v>
      </c>
      <c r="B643" s="47">
        <v>15335</v>
      </c>
      <c r="C643" s="44" t="s">
        <v>453</v>
      </c>
      <c r="D643" s="45">
        <v>-10</v>
      </c>
      <c r="E643" s="48" t="s">
        <v>299</v>
      </c>
      <c r="F643" s="48" t="s">
        <v>90</v>
      </c>
      <c r="G643" s="48" t="s">
        <v>305</v>
      </c>
      <c r="I643" s="44" t="s">
        <v>709</v>
      </c>
      <c r="J643" s="44">
        <f>YEAR(A643)</f>
        <v>2023</v>
      </c>
    </row>
    <row r="644" spans="1:10" ht="12" customHeight="1" x14ac:dyDescent="0.25">
      <c r="A644" s="43">
        <v>45019</v>
      </c>
      <c r="B644" s="47">
        <v>15335</v>
      </c>
      <c r="C644" s="44" t="s">
        <v>453</v>
      </c>
      <c r="D644" s="45">
        <v>10</v>
      </c>
      <c r="E644" s="48" t="s">
        <v>89</v>
      </c>
      <c r="F644" s="48" t="s">
        <v>90</v>
      </c>
      <c r="G644" s="48" t="s">
        <v>91</v>
      </c>
      <c r="J644" s="44">
        <f>YEAR(A644)</f>
        <v>2023</v>
      </c>
    </row>
    <row r="645" spans="1:10" ht="12" customHeight="1" x14ac:dyDescent="0.25">
      <c r="A645" s="43">
        <v>45019</v>
      </c>
      <c r="B645" s="47">
        <v>15336</v>
      </c>
      <c r="C645" s="44" t="s">
        <v>476</v>
      </c>
      <c r="D645" s="45">
        <v>-70.38</v>
      </c>
      <c r="E645" s="48" t="s">
        <v>299</v>
      </c>
      <c r="F645" s="48" t="s">
        <v>90</v>
      </c>
      <c r="G645" s="48" t="s">
        <v>305</v>
      </c>
      <c r="I645" s="44" t="s">
        <v>709</v>
      </c>
      <c r="J645" s="44">
        <f>YEAR(A645)</f>
        <v>2023</v>
      </c>
    </row>
    <row r="646" spans="1:10" ht="12" customHeight="1" x14ac:dyDescent="0.25">
      <c r="A646" s="43">
        <v>45019</v>
      </c>
      <c r="B646" s="47">
        <v>15336</v>
      </c>
      <c r="C646" s="44" t="s">
        <v>476</v>
      </c>
      <c r="D646" s="45">
        <v>29.6</v>
      </c>
      <c r="E646" s="48" t="s">
        <v>157</v>
      </c>
      <c r="F646" s="48" t="s">
        <v>96</v>
      </c>
      <c r="G646" s="48" t="s">
        <v>91</v>
      </c>
      <c r="J646" s="44">
        <f>YEAR(A646)</f>
        <v>2023</v>
      </c>
    </row>
    <row r="647" spans="1:10" ht="12" customHeight="1" x14ac:dyDescent="0.25">
      <c r="A647" s="43">
        <v>45019</v>
      </c>
      <c r="B647" s="47">
        <v>15336</v>
      </c>
      <c r="C647" s="44" t="s">
        <v>476</v>
      </c>
      <c r="D647" s="45">
        <v>40.78</v>
      </c>
      <c r="E647" s="48" t="s">
        <v>145</v>
      </c>
      <c r="F647" s="48" t="s">
        <v>116</v>
      </c>
      <c r="G647" s="48" t="s">
        <v>93</v>
      </c>
      <c r="J647" s="44">
        <f>YEAR(A647)</f>
        <v>2023</v>
      </c>
    </row>
    <row r="648" spans="1:10" ht="12" customHeight="1" x14ac:dyDescent="0.25">
      <c r="A648" s="43">
        <v>45019</v>
      </c>
      <c r="B648" s="47">
        <v>15337</v>
      </c>
      <c r="C648" s="44" t="s">
        <v>444</v>
      </c>
      <c r="D648" s="45">
        <v>-52.36</v>
      </c>
      <c r="E648" s="48" t="s">
        <v>299</v>
      </c>
      <c r="F648" s="48" t="s">
        <v>90</v>
      </c>
      <c r="G648" s="48" t="s">
        <v>91</v>
      </c>
      <c r="H648" s="44" t="s">
        <v>459</v>
      </c>
      <c r="I648" s="44" t="s">
        <v>681</v>
      </c>
      <c r="J648" s="44">
        <f>YEAR(A648)</f>
        <v>2023</v>
      </c>
    </row>
    <row r="649" spans="1:10" ht="12" customHeight="1" x14ac:dyDescent="0.25">
      <c r="A649" s="43">
        <v>45019</v>
      </c>
      <c r="B649" s="47">
        <v>15337</v>
      </c>
      <c r="C649" s="44" t="s">
        <v>444</v>
      </c>
      <c r="D649" s="45">
        <v>52.36</v>
      </c>
      <c r="E649" s="48" t="s">
        <v>180</v>
      </c>
      <c r="F649" s="48" t="s">
        <v>96</v>
      </c>
      <c r="G649" s="48" t="s">
        <v>592</v>
      </c>
      <c r="J649" s="44">
        <f>YEAR(A649)</f>
        <v>2023</v>
      </c>
    </row>
    <row r="650" spans="1:10" ht="12" customHeight="1" x14ac:dyDescent="0.25">
      <c r="A650" s="43">
        <v>45019</v>
      </c>
      <c r="B650" s="47">
        <v>15338</v>
      </c>
      <c r="C650" s="44" t="s">
        <v>556</v>
      </c>
      <c r="D650" s="45">
        <v>-1.99</v>
      </c>
      <c r="E650" s="48" t="s">
        <v>299</v>
      </c>
      <c r="F650" s="48" t="s">
        <v>90</v>
      </c>
      <c r="G650" s="48" t="s">
        <v>305</v>
      </c>
      <c r="I650" s="44" t="s">
        <v>709</v>
      </c>
      <c r="J650" s="44">
        <f>YEAR(A650)</f>
        <v>2023</v>
      </c>
    </row>
    <row r="651" spans="1:10" ht="12" customHeight="1" x14ac:dyDescent="0.25">
      <c r="A651" s="43">
        <v>45019</v>
      </c>
      <c r="B651" s="47">
        <v>15338</v>
      </c>
      <c r="C651" s="44" t="s">
        <v>556</v>
      </c>
      <c r="D651" s="45">
        <v>1.99</v>
      </c>
      <c r="E651" s="48" t="s">
        <v>145</v>
      </c>
      <c r="F651" s="48" t="s">
        <v>116</v>
      </c>
      <c r="G651" s="48" t="s">
        <v>93</v>
      </c>
      <c r="J651" s="44">
        <f>YEAR(A651)</f>
        <v>2023</v>
      </c>
    </row>
    <row r="652" spans="1:10" ht="12" customHeight="1" x14ac:dyDescent="0.25">
      <c r="A652" s="43">
        <v>45020</v>
      </c>
      <c r="B652" s="47">
        <v>15339</v>
      </c>
      <c r="C652" s="44" t="s">
        <v>600</v>
      </c>
      <c r="D652" s="45">
        <v>-5.18</v>
      </c>
      <c r="E652" s="48" t="s">
        <v>299</v>
      </c>
      <c r="F652" s="48" t="s">
        <v>90</v>
      </c>
      <c r="G652" s="48" t="s">
        <v>305</v>
      </c>
      <c r="I652" s="44" t="s">
        <v>709</v>
      </c>
      <c r="J652" s="44">
        <f>YEAR(A652)</f>
        <v>2023</v>
      </c>
    </row>
    <row r="653" spans="1:10" ht="12" customHeight="1" x14ac:dyDescent="0.25">
      <c r="A653" s="43">
        <v>45020</v>
      </c>
      <c r="B653" s="47">
        <v>15339</v>
      </c>
      <c r="C653" s="44" t="s">
        <v>600</v>
      </c>
      <c r="D653" s="45">
        <v>5.18</v>
      </c>
      <c r="E653" s="48" t="s">
        <v>89</v>
      </c>
      <c r="F653" s="48" t="s">
        <v>90</v>
      </c>
      <c r="G653" s="48" t="s">
        <v>91</v>
      </c>
      <c r="J653" s="44">
        <f>YEAR(A653)</f>
        <v>2023</v>
      </c>
    </row>
    <row r="654" spans="1:10" ht="12" customHeight="1" x14ac:dyDescent="0.25">
      <c r="A654" s="43">
        <v>45022</v>
      </c>
      <c r="B654" s="47">
        <v>15340</v>
      </c>
      <c r="C654" s="44" t="s">
        <v>443</v>
      </c>
      <c r="D654" s="45">
        <v>-12.55</v>
      </c>
      <c r="E654" s="48" t="s">
        <v>299</v>
      </c>
      <c r="F654" s="48" t="s">
        <v>90</v>
      </c>
      <c r="G654" s="48" t="s">
        <v>305</v>
      </c>
      <c r="I654" s="44" t="s">
        <v>709</v>
      </c>
      <c r="J654" s="44">
        <f>YEAR(A654)</f>
        <v>2023</v>
      </c>
    </row>
    <row r="655" spans="1:10" ht="12" customHeight="1" x14ac:dyDescent="0.25">
      <c r="A655" s="43">
        <v>45022</v>
      </c>
      <c r="B655" s="47">
        <v>15340</v>
      </c>
      <c r="C655" s="44" t="s">
        <v>443</v>
      </c>
      <c r="D655" s="45">
        <v>12.55</v>
      </c>
      <c r="E655" s="48" t="s">
        <v>89</v>
      </c>
      <c r="F655" s="48" t="s">
        <v>90</v>
      </c>
      <c r="G655" s="48" t="s">
        <v>91</v>
      </c>
      <c r="J655" s="44">
        <f>YEAR(A655)</f>
        <v>2023</v>
      </c>
    </row>
    <row r="656" spans="1:10" ht="12" customHeight="1" x14ac:dyDescent="0.25">
      <c r="A656" s="43">
        <v>45022</v>
      </c>
      <c r="B656" s="47">
        <v>15341</v>
      </c>
      <c r="C656" s="44" t="s">
        <v>496</v>
      </c>
      <c r="D656" s="45">
        <v>-72.209999999999994</v>
      </c>
      <c r="E656" s="48" t="s">
        <v>299</v>
      </c>
      <c r="F656" s="48" t="s">
        <v>90</v>
      </c>
      <c r="G656" s="48" t="s">
        <v>305</v>
      </c>
      <c r="I656" s="44" t="s">
        <v>709</v>
      </c>
      <c r="J656" s="44">
        <f>YEAR(A656)</f>
        <v>2023</v>
      </c>
    </row>
    <row r="657" spans="1:10" ht="12" customHeight="1" x14ac:dyDescent="0.25">
      <c r="A657" s="43">
        <v>45022</v>
      </c>
      <c r="B657" s="47">
        <v>15341</v>
      </c>
      <c r="C657" s="44" t="s">
        <v>496</v>
      </c>
      <c r="D657" s="45">
        <v>72.209999999999994</v>
      </c>
      <c r="E657" s="48" t="s">
        <v>89</v>
      </c>
      <c r="F657" s="48" t="s">
        <v>90</v>
      </c>
      <c r="G657" s="48" t="s">
        <v>91</v>
      </c>
      <c r="J657" s="44">
        <f>YEAR(A657)</f>
        <v>2023</v>
      </c>
    </row>
    <row r="658" spans="1:10" ht="12" customHeight="1" x14ac:dyDescent="0.25">
      <c r="A658" s="43">
        <v>45022</v>
      </c>
      <c r="B658" s="47">
        <v>15342</v>
      </c>
      <c r="C658" s="44" t="s">
        <v>507</v>
      </c>
      <c r="D658" s="45">
        <v>-1.7</v>
      </c>
      <c r="E658" s="48" t="s">
        <v>299</v>
      </c>
      <c r="F658" s="48" t="s">
        <v>90</v>
      </c>
      <c r="G658" s="48" t="s">
        <v>305</v>
      </c>
      <c r="I658" s="44" t="s">
        <v>709</v>
      </c>
      <c r="J658" s="44">
        <f>YEAR(A658)</f>
        <v>2023</v>
      </c>
    </row>
    <row r="659" spans="1:10" ht="12" customHeight="1" x14ac:dyDescent="0.25">
      <c r="A659" s="43">
        <v>45022</v>
      </c>
      <c r="B659" s="47">
        <v>15342</v>
      </c>
      <c r="C659" s="44" t="s">
        <v>507</v>
      </c>
      <c r="D659" s="45">
        <v>1.7</v>
      </c>
      <c r="E659" s="48" t="s">
        <v>180</v>
      </c>
      <c r="F659" s="48" t="s">
        <v>90</v>
      </c>
      <c r="G659" s="48" t="s">
        <v>91</v>
      </c>
      <c r="H659" s="44" t="s">
        <v>442</v>
      </c>
      <c r="J659" s="44">
        <f>YEAR(A659)</f>
        <v>2023</v>
      </c>
    </row>
    <row r="660" spans="1:10" ht="12" customHeight="1" x14ac:dyDescent="0.25">
      <c r="A660" s="43">
        <v>45022</v>
      </c>
      <c r="B660" s="47">
        <v>15343</v>
      </c>
      <c r="C660" s="44" t="s">
        <v>573</v>
      </c>
      <c r="D660" s="45">
        <v>-3</v>
      </c>
      <c r="E660" s="48" t="s">
        <v>299</v>
      </c>
      <c r="F660" s="48" t="s">
        <v>90</v>
      </c>
      <c r="G660" s="48" t="s">
        <v>305</v>
      </c>
      <c r="I660" s="44" t="s">
        <v>709</v>
      </c>
      <c r="J660" s="44">
        <f>YEAR(A660)</f>
        <v>2023</v>
      </c>
    </row>
    <row r="661" spans="1:10" ht="12" customHeight="1" x14ac:dyDescent="0.25">
      <c r="A661" s="43">
        <v>45022</v>
      </c>
      <c r="B661" s="47">
        <v>15343</v>
      </c>
      <c r="C661" s="44" t="s">
        <v>573</v>
      </c>
      <c r="D661" s="45">
        <v>3</v>
      </c>
      <c r="E661" s="48" t="s">
        <v>180</v>
      </c>
      <c r="F661" s="48" t="s">
        <v>90</v>
      </c>
      <c r="G661" s="48" t="s">
        <v>91</v>
      </c>
      <c r="H661" s="44" t="s">
        <v>442</v>
      </c>
      <c r="J661" s="44">
        <f>YEAR(A661)</f>
        <v>2023</v>
      </c>
    </row>
    <row r="662" spans="1:10" ht="12" customHeight="1" x14ac:dyDescent="0.25">
      <c r="A662" s="43">
        <v>45022</v>
      </c>
      <c r="B662" s="47">
        <v>15344</v>
      </c>
      <c r="C662" s="44" t="s">
        <v>649</v>
      </c>
      <c r="D662" s="45">
        <v>-67.45</v>
      </c>
      <c r="E662" s="48" t="s">
        <v>299</v>
      </c>
      <c r="F662" s="48" t="s">
        <v>90</v>
      </c>
      <c r="G662" s="48" t="s">
        <v>305</v>
      </c>
      <c r="I662" s="44" t="s">
        <v>709</v>
      </c>
      <c r="J662" s="44">
        <f>YEAR(A662)</f>
        <v>2023</v>
      </c>
    </row>
    <row r="663" spans="1:10" ht="12" customHeight="1" x14ac:dyDescent="0.25">
      <c r="A663" s="43">
        <v>45022</v>
      </c>
      <c r="B663" s="47">
        <v>15344</v>
      </c>
      <c r="C663" s="44" t="s">
        <v>649</v>
      </c>
      <c r="D663" s="45">
        <v>67.45</v>
      </c>
      <c r="E663" s="48" t="s">
        <v>145</v>
      </c>
      <c r="F663" s="48" t="s">
        <v>116</v>
      </c>
      <c r="G663" s="48" t="s">
        <v>93</v>
      </c>
      <c r="J663" s="44">
        <f>YEAR(A663)</f>
        <v>2023</v>
      </c>
    </row>
    <row r="664" spans="1:10" ht="12" customHeight="1" x14ac:dyDescent="0.25">
      <c r="A664" s="43">
        <v>45022</v>
      </c>
      <c r="B664" s="47">
        <v>15345</v>
      </c>
      <c r="C664" s="44" t="s">
        <v>479</v>
      </c>
      <c r="D664" s="45">
        <v>-29.4</v>
      </c>
      <c r="E664" s="48" t="s">
        <v>299</v>
      </c>
      <c r="F664" s="48" t="s">
        <v>90</v>
      </c>
      <c r="G664" s="48" t="s">
        <v>305</v>
      </c>
      <c r="I664" s="44" t="s">
        <v>709</v>
      </c>
      <c r="J664" s="44">
        <f>YEAR(A664)</f>
        <v>2023</v>
      </c>
    </row>
    <row r="665" spans="1:10" ht="12" customHeight="1" x14ac:dyDescent="0.25">
      <c r="A665" s="43">
        <v>45022</v>
      </c>
      <c r="B665" s="47">
        <v>15345</v>
      </c>
      <c r="C665" s="44" t="s">
        <v>479</v>
      </c>
      <c r="D665" s="45">
        <v>29.4</v>
      </c>
      <c r="E665" s="48" t="s">
        <v>89</v>
      </c>
      <c r="F665" s="48" t="s">
        <v>90</v>
      </c>
      <c r="G665" s="48" t="s">
        <v>91</v>
      </c>
      <c r="J665" s="44">
        <f>YEAR(A665)</f>
        <v>2023</v>
      </c>
    </row>
    <row r="666" spans="1:10" ht="12" customHeight="1" x14ac:dyDescent="0.25">
      <c r="A666" s="43">
        <v>45022</v>
      </c>
      <c r="B666" s="47">
        <v>15346</v>
      </c>
      <c r="C666" s="44" t="s">
        <v>479</v>
      </c>
      <c r="D666" s="45">
        <v>-3.95</v>
      </c>
      <c r="E666" s="48" t="s">
        <v>299</v>
      </c>
      <c r="F666" s="48" t="s">
        <v>90</v>
      </c>
      <c r="G666" s="48" t="s">
        <v>305</v>
      </c>
      <c r="I666" s="44" t="s">
        <v>709</v>
      </c>
      <c r="J666" s="44">
        <f>YEAR(A666)</f>
        <v>2023</v>
      </c>
    </row>
    <row r="667" spans="1:10" ht="12" customHeight="1" x14ac:dyDescent="0.25">
      <c r="A667" s="43">
        <v>45022</v>
      </c>
      <c r="B667" s="47">
        <v>15346</v>
      </c>
      <c r="C667" s="44" t="s">
        <v>479</v>
      </c>
      <c r="D667" s="45">
        <v>3.95</v>
      </c>
      <c r="E667" s="48" t="s">
        <v>89</v>
      </c>
      <c r="F667" s="48" t="s">
        <v>90</v>
      </c>
      <c r="G667" s="48" t="s">
        <v>91</v>
      </c>
      <c r="J667" s="44">
        <f>YEAR(A667)</f>
        <v>2023</v>
      </c>
    </row>
    <row r="668" spans="1:10" ht="12" customHeight="1" x14ac:dyDescent="0.25">
      <c r="A668" s="43">
        <v>45023</v>
      </c>
      <c r="B668" s="47">
        <v>15347</v>
      </c>
      <c r="C668" s="44" t="s">
        <v>579</v>
      </c>
      <c r="D668" s="45">
        <v>-9.24</v>
      </c>
      <c r="E668" s="48" t="s">
        <v>299</v>
      </c>
      <c r="F668" s="48" t="s">
        <v>90</v>
      </c>
      <c r="G668" s="48" t="s">
        <v>305</v>
      </c>
      <c r="I668" s="44" t="s">
        <v>709</v>
      </c>
      <c r="J668" s="44">
        <f>YEAR(A668)</f>
        <v>2023</v>
      </c>
    </row>
    <row r="669" spans="1:10" ht="12" customHeight="1" x14ac:dyDescent="0.25">
      <c r="A669" s="43">
        <v>45023</v>
      </c>
      <c r="B669" s="47">
        <v>15347</v>
      </c>
      <c r="C669" s="44" t="s">
        <v>579</v>
      </c>
      <c r="D669" s="45">
        <v>9.24</v>
      </c>
      <c r="E669" s="48" t="s">
        <v>89</v>
      </c>
      <c r="F669" s="48" t="s">
        <v>90</v>
      </c>
      <c r="G669" s="48" t="s">
        <v>91</v>
      </c>
      <c r="J669" s="44">
        <f>YEAR(A669)</f>
        <v>2023</v>
      </c>
    </row>
    <row r="670" spans="1:10" ht="12" customHeight="1" x14ac:dyDescent="0.25">
      <c r="A670" s="43">
        <v>45023</v>
      </c>
      <c r="B670" s="47">
        <v>15348</v>
      </c>
      <c r="C670" s="44" t="s">
        <v>493</v>
      </c>
      <c r="D670" s="45">
        <v>-6.96</v>
      </c>
      <c r="E670" s="48" t="s">
        <v>299</v>
      </c>
      <c r="F670" s="48" t="s">
        <v>90</v>
      </c>
      <c r="G670" s="48" t="s">
        <v>305</v>
      </c>
      <c r="I670" s="44" t="s">
        <v>709</v>
      </c>
      <c r="J670" s="44">
        <f>YEAR(A670)</f>
        <v>2023</v>
      </c>
    </row>
    <row r="671" spans="1:10" ht="12" customHeight="1" x14ac:dyDescent="0.25">
      <c r="A671" s="43">
        <v>45023</v>
      </c>
      <c r="B671" s="47">
        <v>15348</v>
      </c>
      <c r="C671" s="44" t="s">
        <v>493</v>
      </c>
      <c r="D671" s="45">
        <v>6.96</v>
      </c>
      <c r="E671" s="48" t="s">
        <v>89</v>
      </c>
      <c r="F671" s="48" t="s">
        <v>90</v>
      </c>
      <c r="G671" s="48" t="s">
        <v>91</v>
      </c>
      <c r="J671" s="44">
        <f>YEAR(A671)</f>
        <v>2023</v>
      </c>
    </row>
    <row r="672" spans="1:10" ht="12" customHeight="1" x14ac:dyDescent="0.25">
      <c r="A672" s="43">
        <v>45024</v>
      </c>
      <c r="B672" s="47">
        <v>15349</v>
      </c>
      <c r="C672" s="44" t="s">
        <v>599</v>
      </c>
      <c r="D672" s="45">
        <v>-41.2</v>
      </c>
      <c r="E672" s="48" t="s">
        <v>299</v>
      </c>
      <c r="F672" s="48" t="s">
        <v>90</v>
      </c>
      <c r="G672" s="48" t="s">
        <v>305</v>
      </c>
      <c r="I672" s="44" t="s">
        <v>709</v>
      </c>
      <c r="J672" s="44">
        <f>YEAR(A672)</f>
        <v>2023</v>
      </c>
    </row>
    <row r="673" spans="1:11" ht="12" customHeight="1" x14ac:dyDescent="0.25">
      <c r="A673" s="43">
        <v>45024</v>
      </c>
      <c r="B673" s="47">
        <v>15349</v>
      </c>
      <c r="C673" s="44" t="s">
        <v>599</v>
      </c>
      <c r="D673" s="45">
        <v>41.2</v>
      </c>
      <c r="E673" s="48" t="s">
        <v>145</v>
      </c>
      <c r="F673" s="48" t="s">
        <v>116</v>
      </c>
      <c r="G673" s="48" t="s">
        <v>93</v>
      </c>
      <c r="J673" s="44">
        <f>YEAR(A673)</f>
        <v>2023</v>
      </c>
      <c r="K673" s="49" t="s">
        <v>676</v>
      </c>
    </row>
    <row r="674" spans="1:11" ht="12" customHeight="1" x14ac:dyDescent="0.25">
      <c r="A674" s="43">
        <v>45024</v>
      </c>
      <c r="B674" s="47">
        <v>15350</v>
      </c>
      <c r="C674" s="44" t="s">
        <v>464</v>
      </c>
      <c r="D674" s="45">
        <v>-124.42</v>
      </c>
      <c r="E674" s="48" t="s">
        <v>299</v>
      </c>
      <c r="F674" s="48" t="s">
        <v>90</v>
      </c>
      <c r="G674" s="48" t="s">
        <v>305</v>
      </c>
      <c r="I674" s="44" t="s">
        <v>709</v>
      </c>
      <c r="J674" s="44">
        <f>YEAR(A674)</f>
        <v>2023</v>
      </c>
    </row>
    <row r="675" spans="1:11" ht="12" customHeight="1" x14ac:dyDescent="0.25">
      <c r="A675" s="43">
        <v>45024</v>
      </c>
      <c r="B675" s="47">
        <v>15350</v>
      </c>
      <c r="C675" s="44" t="s">
        <v>464</v>
      </c>
      <c r="D675" s="45">
        <v>124.42</v>
      </c>
      <c r="E675" s="48" t="s">
        <v>89</v>
      </c>
      <c r="F675" s="48" t="s">
        <v>90</v>
      </c>
      <c r="G675" s="48" t="s">
        <v>91</v>
      </c>
      <c r="J675" s="44">
        <f>YEAR(A675)</f>
        <v>2023</v>
      </c>
    </row>
    <row r="676" spans="1:11" ht="12" customHeight="1" x14ac:dyDescent="0.25">
      <c r="A676" s="43">
        <v>45024</v>
      </c>
      <c r="B676" s="47">
        <v>15351</v>
      </c>
      <c r="C676" s="44" t="s">
        <v>460</v>
      </c>
      <c r="D676" s="45">
        <v>-21</v>
      </c>
      <c r="E676" s="48" t="s">
        <v>299</v>
      </c>
      <c r="F676" s="48" t="s">
        <v>90</v>
      </c>
      <c r="G676" s="48" t="s">
        <v>305</v>
      </c>
      <c r="I676" s="44" t="s">
        <v>709</v>
      </c>
      <c r="J676" s="44">
        <f>YEAR(A676)</f>
        <v>2023</v>
      </c>
    </row>
    <row r="677" spans="1:11" ht="12" customHeight="1" x14ac:dyDescent="0.25">
      <c r="A677" s="43">
        <v>45024</v>
      </c>
      <c r="B677" s="47">
        <v>15351</v>
      </c>
      <c r="C677" s="44" t="s">
        <v>460</v>
      </c>
      <c r="D677" s="45">
        <v>21</v>
      </c>
      <c r="E677" s="48" t="s">
        <v>89</v>
      </c>
      <c r="F677" s="48" t="s">
        <v>90</v>
      </c>
      <c r="G677" s="48" t="s">
        <v>91</v>
      </c>
      <c r="J677" s="44">
        <f>YEAR(A677)</f>
        <v>2023</v>
      </c>
    </row>
    <row r="678" spans="1:11" ht="12" customHeight="1" x14ac:dyDescent="0.25">
      <c r="A678" s="43">
        <v>45024</v>
      </c>
      <c r="B678" s="47">
        <v>15352</v>
      </c>
      <c r="C678" s="44" t="s">
        <v>677</v>
      </c>
      <c r="D678" s="45">
        <v>-46.2</v>
      </c>
      <c r="E678" s="48" t="s">
        <v>299</v>
      </c>
      <c r="F678" s="48" t="s">
        <v>90</v>
      </c>
      <c r="G678" s="48" t="s">
        <v>305</v>
      </c>
      <c r="I678" s="44" t="s">
        <v>709</v>
      </c>
      <c r="J678" s="44">
        <f>YEAR(A678)</f>
        <v>2023</v>
      </c>
    </row>
    <row r="679" spans="1:11" ht="12" customHeight="1" x14ac:dyDescent="0.25">
      <c r="A679" s="43">
        <v>45024</v>
      </c>
      <c r="B679" s="47">
        <v>15352</v>
      </c>
      <c r="C679" s="44" t="s">
        <v>677</v>
      </c>
      <c r="D679" s="45">
        <v>46.2</v>
      </c>
      <c r="E679" s="48" t="s">
        <v>157</v>
      </c>
      <c r="F679" s="48" t="s">
        <v>96</v>
      </c>
      <c r="G679" s="48" t="s">
        <v>91</v>
      </c>
      <c r="J679" s="44">
        <f>YEAR(A679)</f>
        <v>2023</v>
      </c>
    </row>
    <row r="680" spans="1:11" ht="12" customHeight="1" x14ac:dyDescent="0.25">
      <c r="A680" s="43">
        <v>45024</v>
      </c>
      <c r="B680" s="47">
        <v>15353</v>
      </c>
      <c r="C680" s="44" t="s">
        <v>562</v>
      </c>
      <c r="D680" s="45">
        <v>-76.900000000000006</v>
      </c>
      <c r="E680" s="48" t="s">
        <v>299</v>
      </c>
      <c r="F680" s="48" t="s">
        <v>90</v>
      </c>
      <c r="G680" s="48" t="s">
        <v>305</v>
      </c>
      <c r="I680" s="44" t="s">
        <v>709</v>
      </c>
      <c r="J680" s="44">
        <f>YEAR(A680)</f>
        <v>2023</v>
      </c>
    </row>
    <row r="681" spans="1:11" ht="12" customHeight="1" x14ac:dyDescent="0.25">
      <c r="A681" s="43">
        <v>45024</v>
      </c>
      <c r="B681" s="47">
        <v>15353</v>
      </c>
      <c r="C681" s="44" t="s">
        <v>562</v>
      </c>
      <c r="D681" s="45">
        <v>76.900000000000006</v>
      </c>
      <c r="E681" s="48" t="s">
        <v>105</v>
      </c>
      <c r="F681" s="48" t="s">
        <v>90</v>
      </c>
      <c r="G681" s="48" t="s">
        <v>93</v>
      </c>
      <c r="J681" s="44">
        <f>YEAR(A681)</f>
        <v>2023</v>
      </c>
    </row>
    <row r="682" spans="1:11" ht="12" customHeight="1" x14ac:dyDescent="0.25">
      <c r="A682" s="43">
        <v>45024</v>
      </c>
      <c r="B682" s="47">
        <v>15354</v>
      </c>
      <c r="C682" s="44" t="s">
        <v>739</v>
      </c>
      <c r="D682" s="45">
        <v>0</v>
      </c>
      <c r="E682" s="48" t="s">
        <v>105</v>
      </c>
      <c r="F682" s="48" t="s">
        <v>90</v>
      </c>
      <c r="G682" s="48" t="s">
        <v>93</v>
      </c>
      <c r="J682" s="44">
        <f>YEAR(A682)</f>
        <v>2023</v>
      </c>
    </row>
    <row r="683" spans="1:11" ht="12" customHeight="1" x14ac:dyDescent="0.25">
      <c r="A683" s="43">
        <v>45027</v>
      </c>
      <c r="B683" s="47">
        <v>15355</v>
      </c>
      <c r="C683" s="44" t="s">
        <v>475</v>
      </c>
      <c r="D683" s="45">
        <v>-39.340000000000003</v>
      </c>
      <c r="E683" s="48" t="s">
        <v>299</v>
      </c>
      <c r="F683" s="48" t="s">
        <v>90</v>
      </c>
      <c r="G683" s="48" t="s">
        <v>305</v>
      </c>
      <c r="I683" s="44" t="s">
        <v>709</v>
      </c>
      <c r="J683" s="44">
        <f>YEAR(A683)</f>
        <v>2023</v>
      </c>
    </row>
    <row r="684" spans="1:11" ht="12" customHeight="1" x14ac:dyDescent="0.25">
      <c r="A684" s="43">
        <v>45027</v>
      </c>
      <c r="B684" s="47">
        <v>15355</v>
      </c>
      <c r="C684" s="44" t="s">
        <v>475</v>
      </c>
      <c r="D684" s="45">
        <v>39.340000000000003</v>
      </c>
      <c r="E684" s="48" t="s">
        <v>89</v>
      </c>
      <c r="F684" s="48" t="s">
        <v>90</v>
      </c>
      <c r="G684" s="48" t="s">
        <v>91</v>
      </c>
      <c r="J684" s="44">
        <f>YEAR(A684)</f>
        <v>2023</v>
      </c>
    </row>
    <row r="685" spans="1:11" ht="12" customHeight="1" x14ac:dyDescent="0.25">
      <c r="A685" s="43">
        <v>45027</v>
      </c>
      <c r="B685" s="47">
        <v>15356</v>
      </c>
      <c r="C685" s="44" t="s">
        <v>481</v>
      </c>
      <c r="D685" s="45">
        <v>-23.05</v>
      </c>
      <c r="E685" s="48" t="s">
        <v>299</v>
      </c>
      <c r="F685" s="48" t="s">
        <v>90</v>
      </c>
      <c r="G685" s="48" t="s">
        <v>305</v>
      </c>
      <c r="I685" s="44" t="s">
        <v>709</v>
      </c>
      <c r="J685" s="44">
        <f>YEAR(A685)</f>
        <v>2023</v>
      </c>
    </row>
    <row r="686" spans="1:11" ht="12" customHeight="1" x14ac:dyDescent="0.25">
      <c r="A686" s="43">
        <v>45027</v>
      </c>
      <c r="B686" s="47">
        <v>15356</v>
      </c>
      <c r="C686" s="44" t="s">
        <v>481</v>
      </c>
      <c r="D686" s="45">
        <v>23.05</v>
      </c>
      <c r="E686" s="48" t="s">
        <v>157</v>
      </c>
      <c r="F686" s="48" t="s">
        <v>96</v>
      </c>
      <c r="G686" s="48" t="s">
        <v>91</v>
      </c>
      <c r="J686" s="44">
        <f>YEAR(A686)</f>
        <v>2023</v>
      </c>
    </row>
    <row r="687" spans="1:11" ht="12" customHeight="1" x14ac:dyDescent="0.25">
      <c r="A687" s="43">
        <v>45027</v>
      </c>
      <c r="B687" s="47">
        <v>15357</v>
      </c>
      <c r="C687" s="44" t="s">
        <v>446</v>
      </c>
      <c r="D687" s="45">
        <v>-12.78</v>
      </c>
      <c r="E687" s="48" t="s">
        <v>299</v>
      </c>
      <c r="F687" s="48" t="s">
        <v>90</v>
      </c>
      <c r="G687" s="48" t="s">
        <v>305</v>
      </c>
      <c r="I687" s="44" t="s">
        <v>709</v>
      </c>
      <c r="J687" s="44">
        <f>YEAR(A687)</f>
        <v>2023</v>
      </c>
    </row>
    <row r="688" spans="1:11" ht="12" customHeight="1" x14ac:dyDescent="0.25">
      <c r="A688" s="43">
        <v>45027</v>
      </c>
      <c r="B688" s="47">
        <v>15357</v>
      </c>
      <c r="C688" s="44" t="s">
        <v>446</v>
      </c>
      <c r="D688" s="45">
        <v>12.78</v>
      </c>
      <c r="E688" s="48" t="s">
        <v>89</v>
      </c>
      <c r="F688" s="48" t="s">
        <v>90</v>
      </c>
      <c r="G688" s="48" t="s">
        <v>91</v>
      </c>
      <c r="J688" s="44">
        <f>YEAR(A688)</f>
        <v>2023</v>
      </c>
    </row>
    <row r="689" spans="1:10" ht="12" customHeight="1" x14ac:dyDescent="0.25">
      <c r="A689" s="43">
        <v>45027</v>
      </c>
      <c r="B689" s="47">
        <v>15358</v>
      </c>
      <c r="C689" s="44" t="s">
        <v>464</v>
      </c>
      <c r="D689" s="45">
        <v>-24.58</v>
      </c>
      <c r="E689" s="48" t="s">
        <v>299</v>
      </c>
      <c r="F689" s="48" t="s">
        <v>90</v>
      </c>
      <c r="G689" s="48" t="s">
        <v>305</v>
      </c>
      <c r="I689" s="44" t="s">
        <v>709</v>
      </c>
      <c r="J689" s="44">
        <f>YEAR(A689)</f>
        <v>2023</v>
      </c>
    </row>
    <row r="690" spans="1:10" ht="12" customHeight="1" x14ac:dyDescent="0.25">
      <c r="A690" s="43">
        <v>45027</v>
      </c>
      <c r="B690" s="47">
        <v>15358</v>
      </c>
      <c r="C690" s="44" t="s">
        <v>464</v>
      </c>
      <c r="D690" s="45">
        <v>24.58</v>
      </c>
      <c r="E690" s="48" t="s">
        <v>89</v>
      </c>
      <c r="F690" s="48" t="s">
        <v>90</v>
      </c>
      <c r="G690" s="48" t="s">
        <v>91</v>
      </c>
      <c r="J690" s="44">
        <f>YEAR(A690)</f>
        <v>2023</v>
      </c>
    </row>
    <row r="691" spans="1:10" ht="12" customHeight="1" x14ac:dyDescent="0.25">
      <c r="A691" s="43">
        <v>45028</v>
      </c>
      <c r="B691" s="47">
        <v>15359</v>
      </c>
      <c r="C691" s="44" t="s">
        <v>471</v>
      </c>
      <c r="D691" s="45">
        <v>-32.4</v>
      </c>
      <c r="E691" s="48" t="s">
        <v>299</v>
      </c>
      <c r="F691" s="48" t="s">
        <v>90</v>
      </c>
      <c r="G691" s="48" t="s">
        <v>305</v>
      </c>
      <c r="I691" s="44" t="s">
        <v>709</v>
      </c>
      <c r="J691" s="44">
        <f>YEAR(A691)</f>
        <v>2023</v>
      </c>
    </row>
    <row r="692" spans="1:10" ht="12" customHeight="1" x14ac:dyDescent="0.25">
      <c r="A692" s="43">
        <v>45028</v>
      </c>
      <c r="B692" s="47">
        <v>15359</v>
      </c>
      <c r="C692" s="44" t="s">
        <v>471</v>
      </c>
      <c r="D692" s="45">
        <v>32.4</v>
      </c>
      <c r="E692" s="48" t="s">
        <v>89</v>
      </c>
      <c r="F692" s="48" t="s">
        <v>90</v>
      </c>
      <c r="G692" s="48" t="s">
        <v>91</v>
      </c>
      <c r="J692" s="44">
        <f>YEAR(A692)</f>
        <v>2023</v>
      </c>
    </row>
    <row r="693" spans="1:10" ht="12" customHeight="1" x14ac:dyDescent="0.25">
      <c r="A693" s="43">
        <v>45020</v>
      </c>
      <c r="B693" s="47">
        <v>15360</v>
      </c>
      <c r="C693" s="44" t="s">
        <v>582</v>
      </c>
      <c r="D693" s="45">
        <v>-68</v>
      </c>
      <c r="E693" s="48" t="s">
        <v>299</v>
      </c>
      <c r="F693" s="48" t="s">
        <v>90</v>
      </c>
      <c r="G693" s="48" t="s">
        <v>91</v>
      </c>
      <c r="H693" s="44">
        <v>4002</v>
      </c>
      <c r="I693" s="44" t="s">
        <v>681</v>
      </c>
      <c r="J693" s="44">
        <f>YEAR(A693)</f>
        <v>2023</v>
      </c>
    </row>
    <row r="694" spans="1:10" ht="12" customHeight="1" x14ac:dyDescent="0.25">
      <c r="A694" s="43">
        <v>45020</v>
      </c>
      <c r="B694" s="47">
        <v>15360</v>
      </c>
      <c r="C694" s="44" t="s">
        <v>582</v>
      </c>
      <c r="D694" s="45">
        <v>68</v>
      </c>
      <c r="E694" s="48" t="s">
        <v>197</v>
      </c>
      <c r="F694" s="48" t="s">
        <v>90</v>
      </c>
      <c r="G694" s="48" t="s">
        <v>99</v>
      </c>
      <c r="J694" s="44">
        <f>YEAR(A694)</f>
        <v>2023</v>
      </c>
    </row>
    <row r="695" spans="1:10" ht="12" customHeight="1" x14ac:dyDescent="0.25">
      <c r="A695" s="43">
        <v>45022</v>
      </c>
      <c r="B695" s="47">
        <v>15361</v>
      </c>
      <c r="C695" s="44" t="s">
        <v>478</v>
      </c>
      <c r="D695" s="45">
        <v>-126</v>
      </c>
      <c r="E695" s="48" t="s">
        <v>299</v>
      </c>
      <c r="F695" s="48" t="s">
        <v>90</v>
      </c>
      <c r="G695" s="48" t="s">
        <v>91</v>
      </c>
      <c r="H695" s="44">
        <v>4003</v>
      </c>
      <c r="I695" s="44" t="s">
        <v>681</v>
      </c>
      <c r="J695" s="44">
        <f>YEAR(A695)</f>
        <v>2023</v>
      </c>
    </row>
    <row r="696" spans="1:10" ht="12" customHeight="1" x14ac:dyDescent="0.25">
      <c r="A696" s="43">
        <v>45012</v>
      </c>
      <c r="B696" s="47">
        <v>15361</v>
      </c>
      <c r="C696" s="44" t="s">
        <v>478</v>
      </c>
      <c r="D696" s="45">
        <v>63</v>
      </c>
      <c r="E696" s="48" t="s">
        <v>197</v>
      </c>
      <c r="F696" s="48" t="s">
        <v>90</v>
      </c>
      <c r="G696" s="48" t="s">
        <v>91</v>
      </c>
      <c r="J696" s="44">
        <f>YEAR(A696)</f>
        <v>2023</v>
      </c>
    </row>
    <row r="697" spans="1:10" ht="12" customHeight="1" x14ac:dyDescent="0.25">
      <c r="A697" s="43">
        <v>45022</v>
      </c>
      <c r="B697" s="47">
        <v>15361</v>
      </c>
      <c r="C697" s="44" t="s">
        <v>478</v>
      </c>
      <c r="D697" s="45">
        <v>63</v>
      </c>
      <c r="E697" s="48" t="s">
        <v>197</v>
      </c>
      <c r="F697" s="48" t="s">
        <v>90</v>
      </c>
      <c r="G697" s="48" t="s">
        <v>91</v>
      </c>
      <c r="J697" s="44">
        <f>YEAR(A697)</f>
        <v>2023</v>
      </c>
    </row>
    <row r="698" spans="1:10" ht="12" customHeight="1" x14ac:dyDescent="0.25">
      <c r="A698" s="43">
        <v>45030</v>
      </c>
      <c r="B698" s="47">
        <v>15362</v>
      </c>
      <c r="C698" s="44" t="s">
        <v>678</v>
      </c>
      <c r="D698" s="45">
        <v>21.1</v>
      </c>
      <c r="E698" s="48" t="s">
        <v>89</v>
      </c>
      <c r="F698" s="48" t="s">
        <v>90</v>
      </c>
      <c r="G698" s="48" t="s">
        <v>91</v>
      </c>
      <c r="J698" s="44">
        <f>YEAR(A698)</f>
        <v>2023</v>
      </c>
    </row>
    <row r="699" spans="1:10" ht="12" customHeight="1" x14ac:dyDescent="0.25">
      <c r="A699" s="43">
        <v>45029</v>
      </c>
      <c r="B699" s="47">
        <v>15362</v>
      </c>
      <c r="C699" s="44" t="s">
        <v>554</v>
      </c>
      <c r="D699" s="45">
        <v>30</v>
      </c>
      <c r="E699" s="48" t="s">
        <v>89</v>
      </c>
      <c r="F699" s="48" t="s">
        <v>90</v>
      </c>
      <c r="G699" s="48" t="s">
        <v>91</v>
      </c>
      <c r="J699" s="44">
        <f>YEAR(A699)</f>
        <v>2023</v>
      </c>
    </row>
    <row r="700" spans="1:10" ht="12" customHeight="1" x14ac:dyDescent="0.25">
      <c r="A700" s="43">
        <v>45030</v>
      </c>
      <c r="B700" s="47">
        <v>15362</v>
      </c>
      <c r="C700" s="44" t="s">
        <v>441</v>
      </c>
      <c r="D700" s="45">
        <v>-51.1</v>
      </c>
      <c r="E700" s="48" t="s">
        <v>299</v>
      </c>
      <c r="F700" s="48" t="s">
        <v>101</v>
      </c>
      <c r="G700" s="48" t="s">
        <v>91</v>
      </c>
      <c r="J700" s="44">
        <f>YEAR(A700)</f>
        <v>2023</v>
      </c>
    </row>
    <row r="701" spans="1:10" ht="12" customHeight="1" x14ac:dyDescent="0.25">
      <c r="A701" s="43">
        <v>45004</v>
      </c>
      <c r="B701" s="47">
        <v>15363</v>
      </c>
      <c r="C701" s="44" t="s">
        <v>679</v>
      </c>
      <c r="D701" s="45">
        <v>71.2</v>
      </c>
      <c r="E701" s="48" t="s">
        <v>180</v>
      </c>
      <c r="F701" s="48" t="s">
        <v>96</v>
      </c>
      <c r="G701" s="48" t="s">
        <v>592</v>
      </c>
      <c r="J701" s="44">
        <f>YEAR(A701)</f>
        <v>2023</v>
      </c>
    </row>
    <row r="702" spans="1:10" ht="12" customHeight="1" x14ac:dyDescent="0.25">
      <c r="A702" s="43">
        <v>45004</v>
      </c>
      <c r="B702" s="47">
        <v>15363</v>
      </c>
      <c r="C702" s="44" t="s">
        <v>679</v>
      </c>
      <c r="D702" s="45">
        <v>-71.2</v>
      </c>
      <c r="E702" s="48" t="s">
        <v>299</v>
      </c>
      <c r="F702" s="48" t="s">
        <v>90</v>
      </c>
      <c r="G702" s="48" t="s">
        <v>305</v>
      </c>
      <c r="I702" s="44" t="s">
        <v>675</v>
      </c>
      <c r="J702" s="44">
        <f>YEAR(A702)</f>
        <v>2023</v>
      </c>
    </row>
    <row r="703" spans="1:10" ht="12" customHeight="1" x14ac:dyDescent="0.25">
      <c r="A703" s="43">
        <v>45021</v>
      </c>
      <c r="B703" s="47">
        <v>15364</v>
      </c>
      <c r="C703" s="44" t="s">
        <v>417</v>
      </c>
      <c r="D703" s="45">
        <v>-799.93</v>
      </c>
      <c r="E703" s="48" t="s">
        <v>299</v>
      </c>
      <c r="F703" s="48" t="s">
        <v>90</v>
      </c>
      <c r="G703" s="48" t="s">
        <v>91</v>
      </c>
      <c r="I703" s="44" t="s">
        <v>681</v>
      </c>
      <c r="J703" s="44">
        <f>YEAR(A703)</f>
        <v>2023</v>
      </c>
    </row>
    <row r="704" spans="1:10" ht="12" customHeight="1" x14ac:dyDescent="0.25">
      <c r="A704" s="43">
        <v>45021</v>
      </c>
      <c r="B704" s="47">
        <v>15364</v>
      </c>
      <c r="C704" s="44" t="s">
        <v>417</v>
      </c>
      <c r="D704" s="45">
        <v>799.93</v>
      </c>
      <c r="E704" s="48" t="s">
        <v>299</v>
      </c>
      <c r="F704" s="48" t="s">
        <v>90</v>
      </c>
      <c r="G704" s="48" t="s">
        <v>305</v>
      </c>
      <c r="I704" s="44" t="s">
        <v>680</v>
      </c>
      <c r="J704" s="44">
        <f>YEAR(A704)</f>
        <v>2023</v>
      </c>
    </row>
    <row r="705" spans="1:10" ht="12" customHeight="1" x14ac:dyDescent="0.25">
      <c r="A705" s="43">
        <v>45019</v>
      </c>
      <c r="B705" s="47">
        <v>15365</v>
      </c>
      <c r="C705" s="44" t="s">
        <v>409</v>
      </c>
      <c r="D705" s="45">
        <v>-3200</v>
      </c>
      <c r="E705" s="48" t="s">
        <v>214</v>
      </c>
      <c r="F705" s="48" t="s">
        <v>90</v>
      </c>
      <c r="G705" s="48" t="s">
        <v>107</v>
      </c>
      <c r="J705" s="44">
        <f>YEAR(A705)</f>
        <v>2023</v>
      </c>
    </row>
    <row r="706" spans="1:10" ht="12" customHeight="1" x14ac:dyDescent="0.25">
      <c r="A706" s="43">
        <v>45019</v>
      </c>
      <c r="B706" s="47">
        <v>15365</v>
      </c>
      <c r="C706" s="44" t="s">
        <v>409</v>
      </c>
      <c r="D706" s="45">
        <v>3200</v>
      </c>
      <c r="E706" s="48" t="s">
        <v>299</v>
      </c>
      <c r="F706" s="48" t="s">
        <v>90</v>
      </c>
      <c r="G706" s="48" t="s">
        <v>91</v>
      </c>
      <c r="H706" s="44" t="s">
        <v>398</v>
      </c>
      <c r="I706" s="44" t="s">
        <v>682</v>
      </c>
      <c r="J706" s="44">
        <f>YEAR(A706)</f>
        <v>2023</v>
      </c>
    </row>
    <row r="707" spans="1:10" ht="12" customHeight="1" x14ac:dyDescent="0.25">
      <c r="A707" s="43">
        <v>45002</v>
      </c>
      <c r="B707" s="47">
        <v>15366</v>
      </c>
      <c r="C707" s="44" t="s">
        <v>390</v>
      </c>
      <c r="D707" s="45">
        <v>6.3</v>
      </c>
      <c r="E707" s="48" t="s">
        <v>124</v>
      </c>
      <c r="F707" s="48" t="s">
        <v>128</v>
      </c>
      <c r="G707" s="48" t="s">
        <v>91</v>
      </c>
      <c r="J707" s="44">
        <f>YEAR(A707)</f>
        <v>2023</v>
      </c>
    </row>
    <row r="708" spans="1:10" ht="12" customHeight="1" x14ac:dyDescent="0.25">
      <c r="A708" s="43">
        <v>45002</v>
      </c>
      <c r="B708" s="47">
        <v>15366</v>
      </c>
      <c r="C708" s="44" t="s">
        <v>390</v>
      </c>
      <c r="D708" s="45">
        <v>-6.3</v>
      </c>
      <c r="E708" s="48" t="s">
        <v>299</v>
      </c>
      <c r="F708" s="48" t="s">
        <v>90</v>
      </c>
      <c r="G708" s="48" t="s">
        <v>91</v>
      </c>
      <c r="H708" s="44" t="s">
        <v>391</v>
      </c>
      <c r="I708" s="44" t="s">
        <v>681</v>
      </c>
      <c r="J708" s="44">
        <f>YEAR(A708)</f>
        <v>2023</v>
      </c>
    </row>
    <row r="709" spans="1:10" ht="12" customHeight="1" x14ac:dyDescent="0.25">
      <c r="A709" s="43">
        <v>45002</v>
      </c>
      <c r="B709" s="47">
        <v>15366</v>
      </c>
      <c r="C709" s="44" t="s">
        <v>393</v>
      </c>
      <c r="D709" s="45">
        <v>16.100000000000001</v>
      </c>
      <c r="E709" s="48" t="s">
        <v>124</v>
      </c>
      <c r="F709" s="48" t="s">
        <v>128</v>
      </c>
      <c r="G709" s="48" t="s">
        <v>91</v>
      </c>
      <c r="J709" s="44">
        <f>YEAR(A709)</f>
        <v>2023</v>
      </c>
    </row>
    <row r="710" spans="1:10" ht="12" customHeight="1" x14ac:dyDescent="0.25">
      <c r="A710" s="43">
        <v>45002</v>
      </c>
      <c r="B710" s="47">
        <v>15366</v>
      </c>
      <c r="C710" s="44" t="s">
        <v>393</v>
      </c>
      <c r="D710" s="45">
        <v>-16.100000000000001</v>
      </c>
      <c r="E710" s="48" t="s">
        <v>299</v>
      </c>
      <c r="F710" s="48" t="s">
        <v>90</v>
      </c>
      <c r="G710" s="48" t="s">
        <v>91</v>
      </c>
      <c r="H710" s="44" t="s">
        <v>391</v>
      </c>
      <c r="I710" s="44" t="s">
        <v>681</v>
      </c>
      <c r="J710" s="44">
        <f>YEAR(A710)</f>
        <v>2023</v>
      </c>
    </row>
    <row r="711" spans="1:10" ht="12" customHeight="1" x14ac:dyDescent="0.25">
      <c r="A711" s="43">
        <v>45002</v>
      </c>
      <c r="B711" s="47">
        <v>15366</v>
      </c>
      <c r="C711" s="44" t="s">
        <v>394</v>
      </c>
      <c r="D711" s="45">
        <v>0.49</v>
      </c>
      <c r="E711" s="48" t="s">
        <v>124</v>
      </c>
      <c r="F711" s="48" t="s">
        <v>128</v>
      </c>
      <c r="G711" s="48" t="s">
        <v>91</v>
      </c>
      <c r="J711" s="44">
        <f>YEAR(A711)</f>
        <v>2023</v>
      </c>
    </row>
    <row r="712" spans="1:10" ht="12" customHeight="1" x14ac:dyDescent="0.25">
      <c r="A712" s="43">
        <v>45002</v>
      </c>
      <c r="B712" s="47">
        <v>15366</v>
      </c>
      <c r="C712" s="44" t="s">
        <v>394</v>
      </c>
      <c r="D712" s="45">
        <v>-0.49</v>
      </c>
      <c r="E712" s="48" t="s">
        <v>299</v>
      </c>
      <c r="F712" s="48" t="s">
        <v>90</v>
      </c>
      <c r="G712" s="48" t="s">
        <v>91</v>
      </c>
      <c r="H712" s="44" t="s">
        <v>391</v>
      </c>
      <c r="I712" s="44" t="s">
        <v>681</v>
      </c>
      <c r="J712" s="44">
        <f>YEAR(A712)</f>
        <v>2023</v>
      </c>
    </row>
    <row r="713" spans="1:10" ht="12" customHeight="1" x14ac:dyDescent="0.25">
      <c r="A713" s="43">
        <v>45002</v>
      </c>
      <c r="B713" s="47">
        <v>15366</v>
      </c>
      <c r="C713" s="44" t="s">
        <v>395</v>
      </c>
      <c r="D713" s="45">
        <v>0.7</v>
      </c>
      <c r="E713" s="48" t="s">
        <v>124</v>
      </c>
      <c r="F713" s="48" t="s">
        <v>128</v>
      </c>
      <c r="G713" s="48" t="s">
        <v>91</v>
      </c>
      <c r="J713" s="44">
        <f>YEAR(A713)</f>
        <v>2023</v>
      </c>
    </row>
    <row r="714" spans="1:10" ht="12" customHeight="1" x14ac:dyDescent="0.25">
      <c r="A714" s="43">
        <v>45002</v>
      </c>
      <c r="B714" s="47">
        <v>15366</v>
      </c>
      <c r="C714" s="44" t="s">
        <v>395</v>
      </c>
      <c r="D714" s="45">
        <v>-0.7</v>
      </c>
      <c r="E714" s="48" t="s">
        <v>299</v>
      </c>
      <c r="F714" s="48" t="s">
        <v>90</v>
      </c>
      <c r="G714" s="48" t="s">
        <v>91</v>
      </c>
      <c r="H714" s="44" t="s">
        <v>391</v>
      </c>
      <c r="I714" s="44" t="s">
        <v>681</v>
      </c>
      <c r="J714" s="44">
        <f>YEAR(A714)</f>
        <v>2023</v>
      </c>
    </row>
    <row r="715" spans="1:10" ht="12" customHeight="1" x14ac:dyDescent="0.25">
      <c r="A715" s="43">
        <v>45012</v>
      </c>
      <c r="B715" s="47">
        <v>15367</v>
      </c>
      <c r="C715" s="44" t="s">
        <v>396</v>
      </c>
      <c r="D715" s="45">
        <v>24.99</v>
      </c>
      <c r="E715" s="48" t="s">
        <v>157</v>
      </c>
      <c r="F715" s="48" t="s">
        <v>155</v>
      </c>
      <c r="G715" s="48" t="s">
        <v>94</v>
      </c>
      <c r="J715" s="44">
        <f>YEAR(A715)</f>
        <v>2023</v>
      </c>
    </row>
    <row r="716" spans="1:10" ht="12" customHeight="1" x14ac:dyDescent="0.25">
      <c r="A716" s="43">
        <v>45012</v>
      </c>
      <c r="B716" s="47">
        <v>15367</v>
      </c>
      <c r="C716" s="44" t="s">
        <v>396</v>
      </c>
      <c r="D716" s="45">
        <v>-24.99</v>
      </c>
      <c r="E716" s="48" t="s">
        <v>299</v>
      </c>
      <c r="F716" s="48" t="s">
        <v>90</v>
      </c>
      <c r="G716" s="48" t="s">
        <v>91</v>
      </c>
      <c r="H716" s="44" t="s">
        <v>391</v>
      </c>
      <c r="I716" s="44" t="s">
        <v>681</v>
      </c>
      <c r="J716" s="44">
        <f>YEAR(A716)</f>
        <v>2023</v>
      </c>
    </row>
    <row r="717" spans="1:10" ht="12" customHeight="1" x14ac:dyDescent="0.25">
      <c r="A717" s="43">
        <v>45000</v>
      </c>
      <c r="B717" s="47">
        <v>15368</v>
      </c>
      <c r="C717" s="44" t="s">
        <v>397</v>
      </c>
      <c r="D717" s="45">
        <v>-800</v>
      </c>
      <c r="E717" s="48" t="s">
        <v>244</v>
      </c>
      <c r="F717" s="48" t="s">
        <v>90</v>
      </c>
      <c r="G717" s="48" t="s">
        <v>114</v>
      </c>
      <c r="J717" s="44">
        <f>YEAR(A717)</f>
        <v>2023</v>
      </c>
    </row>
    <row r="718" spans="1:10" ht="12" customHeight="1" x14ac:dyDescent="0.25">
      <c r="A718" s="43">
        <v>45000</v>
      </c>
      <c r="B718" s="47">
        <v>15368</v>
      </c>
      <c r="C718" s="44" t="s">
        <v>397</v>
      </c>
      <c r="D718" s="45">
        <v>800</v>
      </c>
      <c r="E718" s="48" t="s">
        <v>299</v>
      </c>
      <c r="F718" s="48" t="s">
        <v>90</v>
      </c>
      <c r="G718" s="48" t="s">
        <v>91</v>
      </c>
      <c r="H718" s="44" t="s">
        <v>398</v>
      </c>
      <c r="I718" s="44" t="s">
        <v>682</v>
      </c>
      <c r="J718" s="44">
        <f>YEAR(A718)</f>
        <v>2023</v>
      </c>
    </row>
    <row r="719" spans="1:10" ht="12" customHeight="1" x14ac:dyDescent="0.25">
      <c r="A719" s="43">
        <v>45019</v>
      </c>
      <c r="B719" s="47">
        <v>15369</v>
      </c>
      <c r="C719" s="44" t="s">
        <v>399</v>
      </c>
      <c r="D719" s="45">
        <v>19.989999999999998</v>
      </c>
      <c r="E719" s="48" t="s">
        <v>157</v>
      </c>
      <c r="F719" s="48" t="s">
        <v>155</v>
      </c>
      <c r="G719" s="48" t="s">
        <v>98</v>
      </c>
      <c r="J719" s="44">
        <f>YEAR(A719)</f>
        <v>2023</v>
      </c>
    </row>
    <row r="720" spans="1:10" ht="12" customHeight="1" x14ac:dyDescent="0.25">
      <c r="A720" s="43">
        <v>45019</v>
      </c>
      <c r="B720" s="47">
        <v>15369</v>
      </c>
      <c r="C720" s="44" t="s">
        <v>399</v>
      </c>
      <c r="D720" s="45">
        <v>-19.989999999999998</v>
      </c>
      <c r="E720" s="48" t="s">
        <v>299</v>
      </c>
      <c r="F720" s="48" t="s">
        <v>90</v>
      </c>
      <c r="G720" s="48" t="s">
        <v>91</v>
      </c>
      <c r="H720" s="44" t="s">
        <v>391</v>
      </c>
      <c r="I720" s="44" t="s">
        <v>681</v>
      </c>
      <c r="J720" s="44">
        <f>YEAR(A720)</f>
        <v>2023</v>
      </c>
    </row>
    <row r="721" spans="1:10" ht="12" customHeight="1" x14ac:dyDescent="0.25">
      <c r="A721" s="43">
        <v>45019</v>
      </c>
      <c r="B721" s="47">
        <v>15369</v>
      </c>
      <c r="C721" s="44" t="s">
        <v>400</v>
      </c>
      <c r="D721" s="45">
        <v>19.989999999999998</v>
      </c>
      <c r="E721" s="48" t="s">
        <v>157</v>
      </c>
      <c r="F721" s="48" t="s">
        <v>155</v>
      </c>
      <c r="G721" s="48" t="s">
        <v>95</v>
      </c>
      <c r="J721" s="44">
        <f>YEAR(A721)</f>
        <v>2023</v>
      </c>
    </row>
    <row r="722" spans="1:10" ht="12" customHeight="1" x14ac:dyDescent="0.25">
      <c r="A722" s="43">
        <v>45019</v>
      </c>
      <c r="B722" s="47">
        <v>15369</v>
      </c>
      <c r="C722" s="44" t="s">
        <v>400</v>
      </c>
      <c r="D722" s="45">
        <v>-19.989999999999998</v>
      </c>
      <c r="E722" s="48" t="s">
        <v>299</v>
      </c>
      <c r="F722" s="48" t="s">
        <v>90</v>
      </c>
      <c r="G722" s="48" t="s">
        <v>91</v>
      </c>
      <c r="H722" s="44" t="s">
        <v>391</v>
      </c>
      <c r="I722" s="44" t="s">
        <v>681</v>
      </c>
      <c r="J722" s="44">
        <f>YEAR(A722)</f>
        <v>2023</v>
      </c>
    </row>
    <row r="723" spans="1:10" ht="12" customHeight="1" x14ac:dyDescent="0.25">
      <c r="A723" s="43">
        <v>45000</v>
      </c>
      <c r="B723" s="47">
        <v>15370</v>
      </c>
      <c r="C723" s="44" t="s">
        <v>401</v>
      </c>
      <c r="D723" s="45">
        <v>238</v>
      </c>
      <c r="E723" s="48" t="s">
        <v>110</v>
      </c>
      <c r="F723" s="48" t="s">
        <v>90</v>
      </c>
      <c r="G723" s="48" t="s">
        <v>91</v>
      </c>
      <c r="J723" s="44">
        <f>YEAR(A723)</f>
        <v>2023</v>
      </c>
    </row>
    <row r="724" spans="1:10" ht="12" customHeight="1" x14ac:dyDescent="0.25">
      <c r="A724" s="43">
        <v>45000</v>
      </c>
      <c r="B724" s="47">
        <v>15370</v>
      </c>
      <c r="C724" s="44" t="s">
        <v>401</v>
      </c>
      <c r="D724" s="45">
        <v>-238</v>
      </c>
      <c r="E724" s="48" t="s">
        <v>299</v>
      </c>
      <c r="F724" s="48" t="s">
        <v>90</v>
      </c>
      <c r="G724" s="48" t="s">
        <v>91</v>
      </c>
      <c r="H724" s="44" t="s">
        <v>402</v>
      </c>
      <c r="I724" s="44" t="s">
        <v>681</v>
      </c>
      <c r="J724" s="44">
        <f>YEAR(A724)</f>
        <v>2023</v>
      </c>
    </row>
    <row r="725" spans="1:10" ht="12" customHeight="1" x14ac:dyDescent="0.25">
      <c r="A725" s="43">
        <v>44999</v>
      </c>
      <c r="B725" s="47">
        <v>15371</v>
      </c>
      <c r="C725" s="44" t="s">
        <v>225</v>
      </c>
      <c r="D725" s="45">
        <v>-45</v>
      </c>
      <c r="E725" s="48" t="s">
        <v>222</v>
      </c>
      <c r="F725" s="48" t="s">
        <v>90</v>
      </c>
      <c r="G725" s="48" t="s">
        <v>225</v>
      </c>
      <c r="J725" s="44">
        <f>YEAR(A725)</f>
        <v>2023</v>
      </c>
    </row>
    <row r="726" spans="1:10" ht="12" customHeight="1" x14ac:dyDescent="0.25">
      <c r="A726" s="43">
        <v>44999</v>
      </c>
      <c r="B726" s="47">
        <v>15371</v>
      </c>
      <c r="C726" s="44" t="s">
        <v>225</v>
      </c>
      <c r="D726" s="45">
        <v>45</v>
      </c>
      <c r="E726" s="48" t="s">
        <v>299</v>
      </c>
      <c r="F726" s="48" t="s">
        <v>90</v>
      </c>
      <c r="G726" s="48" t="s">
        <v>91</v>
      </c>
      <c r="H726" s="44" t="s">
        <v>398</v>
      </c>
      <c r="I726" s="44" t="s">
        <v>682</v>
      </c>
      <c r="J726" s="44">
        <f>YEAR(A726)</f>
        <v>2023</v>
      </c>
    </row>
    <row r="727" spans="1:10" ht="12" customHeight="1" x14ac:dyDescent="0.25">
      <c r="A727" s="43">
        <v>45029</v>
      </c>
      <c r="B727" s="47">
        <v>15372</v>
      </c>
      <c r="C727" s="44" t="s">
        <v>225</v>
      </c>
      <c r="D727" s="45">
        <v>-40</v>
      </c>
      <c r="E727" s="48" t="s">
        <v>222</v>
      </c>
      <c r="F727" s="48" t="s">
        <v>90</v>
      </c>
      <c r="G727" s="48" t="s">
        <v>225</v>
      </c>
      <c r="J727" s="44">
        <f>YEAR(A727)</f>
        <v>2023</v>
      </c>
    </row>
    <row r="728" spans="1:10" ht="12" customHeight="1" x14ac:dyDescent="0.25">
      <c r="A728" s="43">
        <v>45029</v>
      </c>
      <c r="B728" s="47">
        <v>15372</v>
      </c>
      <c r="C728" s="44" t="s">
        <v>225</v>
      </c>
      <c r="D728" s="45">
        <v>40</v>
      </c>
      <c r="E728" s="48" t="s">
        <v>299</v>
      </c>
      <c r="F728" s="48" t="s">
        <v>90</v>
      </c>
      <c r="G728" s="48" t="s">
        <v>91</v>
      </c>
      <c r="H728" s="44" t="s">
        <v>398</v>
      </c>
      <c r="I728" s="44" t="s">
        <v>682</v>
      </c>
      <c r="J728" s="44">
        <f>YEAR(A728)</f>
        <v>2023</v>
      </c>
    </row>
    <row r="729" spans="1:10" ht="12" customHeight="1" x14ac:dyDescent="0.25">
      <c r="A729" s="43">
        <v>45005</v>
      </c>
      <c r="B729" s="47">
        <v>15373</v>
      </c>
      <c r="C729" s="44" t="s">
        <v>405</v>
      </c>
      <c r="D729" s="45">
        <v>-44.05</v>
      </c>
      <c r="E729" s="48" t="s">
        <v>299</v>
      </c>
      <c r="F729" s="48" t="s">
        <v>90</v>
      </c>
      <c r="G729" s="48" t="s">
        <v>91</v>
      </c>
      <c r="H729" s="44" t="s">
        <v>391</v>
      </c>
      <c r="I729" s="44" t="s">
        <v>681</v>
      </c>
      <c r="J729" s="44">
        <f>YEAR(A729)</f>
        <v>2023</v>
      </c>
    </row>
    <row r="730" spans="1:10" ht="12" customHeight="1" x14ac:dyDescent="0.25">
      <c r="A730" s="43">
        <v>45005</v>
      </c>
      <c r="B730" s="47">
        <v>15373</v>
      </c>
      <c r="C730" s="44" t="s">
        <v>405</v>
      </c>
      <c r="D730" s="45">
        <v>44.05</v>
      </c>
      <c r="E730" s="48" t="s">
        <v>157</v>
      </c>
      <c r="F730" s="48" t="s">
        <v>137</v>
      </c>
      <c r="G730" s="48" t="s">
        <v>115</v>
      </c>
      <c r="J730" s="44">
        <f>YEAR(A730)</f>
        <v>2023</v>
      </c>
    </row>
    <row r="731" spans="1:10" ht="12" customHeight="1" x14ac:dyDescent="0.25">
      <c r="A731" s="43">
        <v>45006</v>
      </c>
      <c r="B731" s="47">
        <v>15374</v>
      </c>
      <c r="C731" s="44" t="s">
        <v>406</v>
      </c>
      <c r="D731" s="45">
        <v>-116.86</v>
      </c>
      <c r="E731" s="48" t="s">
        <v>299</v>
      </c>
      <c r="F731" s="48" t="s">
        <v>90</v>
      </c>
      <c r="G731" s="48" t="s">
        <v>91</v>
      </c>
      <c r="H731" s="44" t="s">
        <v>391</v>
      </c>
      <c r="I731" s="44" t="s">
        <v>681</v>
      </c>
      <c r="J731" s="44">
        <f>YEAR(A731)</f>
        <v>2023</v>
      </c>
    </row>
    <row r="732" spans="1:10" ht="12" customHeight="1" x14ac:dyDescent="0.25">
      <c r="A732" s="43">
        <v>45006</v>
      </c>
      <c r="B732" s="47">
        <v>15374</v>
      </c>
      <c r="C732" s="44" t="s">
        <v>406</v>
      </c>
      <c r="D732" s="45">
        <v>116.86</v>
      </c>
      <c r="E732" s="48" t="s">
        <v>157</v>
      </c>
      <c r="F732" s="48" t="s">
        <v>137</v>
      </c>
      <c r="G732" s="48" t="s">
        <v>115</v>
      </c>
      <c r="J732" s="44">
        <f>YEAR(A732)</f>
        <v>2023</v>
      </c>
    </row>
    <row r="733" spans="1:10" ht="12" customHeight="1" x14ac:dyDescent="0.25">
      <c r="A733" s="43">
        <v>45005</v>
      </c>
      <c r="B733" s="47">
        <v>15375</v>
      </c>
      <c r="C733" s="44" t="s">
        <v>407</v>
      </c>
      <c r="D733" s="45">
        <v>14.99</v>
      </c>
      <c r="E733" s="48" t="s">
        <v>157</v>
      </c>
      <c r="F733" s="48" t="s">
        <v>116</v>
      </c>
      <c r="G733" s="48" t="s">
        <v>91</v>
      </c>
      <c r="J733" s="44">
        <f>YEAR(A733)</f>
        <v>2023</v>
      </c>
    </row>
    <row r="734" spans="1:10" ht="12" customHeight="1" x14ac:dyDescent="0.25">
      <c r="A734" s="43">
        <v>45005</v>
      </c>
      <c r="B734" s="47">
        <v>15375</v>
      </c>
      <c r="C734" s="44" t="s">
        <v>407</v>
      </c>
      <c r="D734" s="45">
        <v>-14.99</v>
      </c>
      <c r="E734" s="48" t="s">
        <v>299</v>
      </c>
      <c r="F734" s="48" t="s">
        <v>90</v>
      </c>
      <c r="G734" s="48" t="s">
        <v>91</v>
      </c>
      <c r="H734" s="44" t="s">
        <v>391</v>
      </c>
      <c r="I734" s="44" t="s">
        <v>681</v>
      </c>
      <c r="J734" s="44">
        <f>YEAR(A734)</f>
        <v>2023</v>
      </c>
    </row>
    <row r="735" spans="1:10" ht="12" customHeight="1" x14ac:dyDescent="0.25">
      <c r="A735" s="43">
        <v>45022</v>
      </c>
      <c r="B735" s="47">
        <v>15376</v>
      </c>
      <c r="C735" s="44" t="s">
        <v>440</v>
      </c>
      <c r="D735" s="45">
        <v>306.14</v>
      </c>
      <c r="E735" s="48" t="s">
        <v>124</v>
      </c>
      <c r="F735" s="48" t="s">
        <v>90</v>
      </c>
      <c r="G735" s="48" t="s">
        <v>91</v>
      </c>
      <c r="J735" s="44">
        <f>YEAR(A735)</f>
        <v>2023</v>
      </c>
    </row>
    <row r="736" spans="1:10" ht="12" customHeight="1" x14ac:dyDescent="0.25">
      <c r="A736" s="43">
        <v>45022</v>
      </c>
      <c r="B736" s="47">
        <v>15376</v>
      </c>
      <c r="C736" s="44" t="s">
        <v>440</v>
      </c>
      <c r="D736" s="45">
        <v>-306.14</v>
      </c>
      <c r="E736" s="48" t="s">
        <v>299</v>
      </c>
      <c r="F736" s="48" t="s">
        <v>90</v>
      </c>
      <c r="G736" s="48" t="s">
        <v>91</v>
      </c>
      <c r="H736" s="44" t="s">
        <v>391</v>
      </c>
      <c r="I736" s="44" t="s">
        <v>681</v>
      </c>
      <c r="J736" s="44">
        <f>YEAR(A736)</f>
        <v>2023</v>
      </c>
    </row>
    <row r="737" spans="1:10" ht="12" customHeight="1" x14ac:dyDescent="0.25">
      <c r="A737" s="43">
        <v>44999</v>
      </c>
      <c r="B737" s="47">
        <v>15377</v>
      </c>
      <c r="C737" s="44" t="s">
        <v>606</v>
      </c>
      <c r="D737" s="45">
        <v>156</v>
      </c>
      <c r="E737" s="48" t="s">
        <v>222</v>
      </c>
      <c r="F737" s="48" t="s">
        <v>90</v>
      </c>
      <c r="G737" s="48" t="s">
        <v>577</v>
      </c>
      <c r="J737" s="44">
        <f>YEAR(A737)</f>
        <v>2023</v>
      </c>
    </row>
    <row r="738" spans="1:10" ht="12" customHeight="1" x14ac:dyDescent="0.25">
      <c r="A738" s="43">
        <v>44999</v>
      </c>
      <c r="B738" s="47">
        <v>15377</v>
      </c>
      <c r="C738" s="44" t="s">
        <v>606</v>
      </c>
      <c r="D738" s="45">
        <v>-156</v>
      </c>
      <c r="E738" s="48" t="s">
        <v>299</v>
      </c>
      <c r="F738" s="48" t="s">
        <v>90</v>
      </c>
      <c r="G738" s="48" t="s">
        <v>91</v>
      </c>
      <c r="H738" s="44" t="s">
        <v>391</v>
      </c>
      <c r="I738" s="44" t="s">
        <v>681</v>
      </c>
      <c r="J738" s="44">
        <f>YEAR(A738)</f>
        <v>2023</v>
      </c>
    </row>
    <row r="739" spans="1:10" ht="12" customHeight="1" x14ac:dyDescent="0.25">
      <c r="A739" s="43">
        <v>45028</v>
      </c>
      <c r="B739" s="47">
        <v>15378</v>
      </c>
      <c r="C739" s="44" t="s">
        <v>606</v>
      </c>
      <c r="D739" s="45">
        <v>247</v>
      </c>
      <c r="E739" s="48" t="s">
        <v>222</v>
      </c>
      <c r="F739" s="48" t="s">
        <v>90</v>
      </c>
      <c r="G739" s="48" t="s">
        <v>577</v>
      </c>
      <c r="J739" s="44">
        <f>YEAR(A739)</f>
        <v>2023</v>
      </c>
    </row>
    <row r="740" spans="1:10" ht="12" customHeight="1" x14ac:dyDescent="0.25">
      <c r="A740" s="43">
        <v>45028</v>
      </c>
      <c r="B740" s="47">
        <v>15378</v>
      </c>
      <c r="C740" s="44" t="s">
        <v>606</v>
      </c>
      <c r="D740" s="45">
        <v>-247</v>
      </c>
      <c r="E740" s="48" t="s">
        <v>299</v>
      </c>
      <c r="F740" s="48" t="s">
        <v>90</v>
      </c>
      <c r="G740" s="48" t="s">
        <v>91</v>
      </c>
      <c r="H740" s="44" t="s">
        <v>391</v>
      </c>
      <c r="I740" s="44" t="s">
        <v>681</v>
      </c>
      <c r="J740" s="44">
        <f>YEAR(A740)</f>
        <v>2023</v>
      </c>
    </row>
    <row r="741" spans="1:10" ht="12" customHeight="1" x14ac:dyDescent="0.25">
      <c r="A741" s="43">
        <v>45007</v>
      </c>
      <c r="B741" s="47">
        <v>15379</v>
      </c>
      <c r="C741" s="44" t="s">
        <v>560</v>
      </c>
      <c r="D741" s="45">
        <v>-514.47</v>
      </c>
      <c r="E741" s="48" t="s">
        <v>214</v>
      </c>
      <c r="F741" s="48" t="s">
        <v>128</v>
      </c>
      <c r="G741" s="48" t="s">
        <v>99</v>
      </c>
      <c r="J741" s="44">
        <f>YEAR(A741)</f>
        <v>2023</v>
      </c>
    </row>
    <row r="742" spans="1:10" ht="12" customHeight="1" x14ac:dyDescent="0.25">
      <c r="A742" s="43">
        <v>45007</v>
      </c>
      <c r="B742" s="47">
        <v>15379</v>
      </c>
      <c r="C742" s="44" t="s">
        <v>560</v>
      </c>
      <c r="D742" s="45">
        <v>80.95</v>
      </c>
      <c r="E742" s="48" t="s">
        <v>110</v>
      </c>
      <c r="F742" s="48" t="s">
        <v>90</v>
      </c>
      <c r="G742" s="48" t="s">
        <v>91</v>
      </c>
      <c r="J742" s="44">
        <f>YEAR(A742)</f>
        <v>2023</v>
      </c>
    </row>
    <row r="743" spans="1:10" ht="12" customHeight="1" x14ac:dyDescent="0.25">
      <c r="A743" s="43">
        <v>45007</v>
      </c>
      <c r="B743" s="47">
        <v>15379</v>
      </c>
      <c r="C743" s="44" t="s">
        <v>560</v>
      </c>
      <c r="D743" s="45">
        <v>433.52</v>
      </c>
      <c r="E743" s="48" t="s">
        <v>299</v>
      </c>
      <c r="F743" s="48" t="s">
        <v>90</v>
      </c>
      <c r="G743" s="48" t="s">
        <v>91</v>
      </c>
      <c r="H743" s="44" t="s">
        <v>398</v>
      </c>
      <c r="I743" s="44" t="s">
        <v>682</v>
      </c>
      <c r="J743" s="44">
        <f>YEAR(A743)</f>
        <v>2023</v>
      </c>
    </row>
    <row r="744" spans="1:10" ht="12" customHeight="1" x14ac:dyDescent="0.25">
      <c r="A744" s="43">
        <v>45022</v>
      </c>
      <c r="B744" s="47">
        <v>15380</v>
      </c>
      <c r="C744" s="44" t="s">
        <v>563</v>
      </c>
      <c r="D744" s="45">
        <v>-1128.0899999999999</v>
      </c>
      <c r="E744" s="48" t="s">
        <v>214</v>
      </c>
      <c r="F744" s="48" t="s">
        <v>90</v>
      </c>
      <c r="G744" s="48" t="s">
        <v>99</v>
      </c>
      <c r="J744" s="44">
        <f>YEAR(A744)</f>
        <v>2023</v>
      </c>
    </row>
    <row r="745" spans="1:10" ht="12" customHeight="1" x14ac:dyDescent="0.25">
      <c r="A745" s="43">
        <v>45022</v>
      </c>
      <c r="B745" s="47">
        <v>15380</v>
      </c>
      <c r="C745" s="44" t="s">
        <v>564</v>
      </c>
      <c r="D745" s="45">
        <v>171.43</v>
      </c>
      <c r="E745" s="48" t="s">
        <v>110</v>
      </c>
      <c r="F745" s="48" t="s">
        <v>90</v>
      </c>
      <c r="G745" s="48" t="s">
        <v>91</v>
      </c>
      <c r="J745" s="44">
        <f>YEAR(A745)</f>
        <v>2023</v>
      </c>
    </row>
    <row r="746" spans="1:10" ht="12" customHeight="1" x14ac:dyDescent="0.25">
      <c r="A746" s="43">
        <v>45022</v>
      </c>
      <c r="B746" s="47">
        <v>15380</v>
      </c>
      <c r="C746" s="44" t="s">
        <v>563</v>
      </c>
      <c r="D746" s="45">
        <v>956.66</v>
      </c>
      <c r="E746" s="48" t="s">
        <v>299</v>
      </c>
      <c r="F746" s="48" t="s">
        <v>90</v>
      </c>
      <c r="G746" s="48" t="s">
        <v>91</v>
      </c>
      <c r="H746" s="44" t="s">
        <v>398</v>
      </c>
      <c r="I746" s="44" t="s">
        <v>682</v>
      </c>
      <c r="J746" s="44">
        <f>YEAR(A746)</f>
        <v>2023</v>
      </c>
    </row>
    <row r="747" spans="1:10" ht="12" customHeight="1" x14ac:dyDescent="0.25">
      <c r="A747" s="43">
        <v>45031</v>
      </c>
      <c r="B747" s="47">
        <v>15381</v>
      </c>
      <c r="C747" s="44" t="s">
        <v>553</v>
      </c>
      <c r="D747" s="45">
        <v>80</v>
      </c>
      <c r="E747" s="48" t="s">
        <v>299</v>
      </c>
      <c r="F747" s="48" t="s">
        <v>101</v>
      </c>
      <c r="G747" s="48" t="s">
        <v>91</v>
      </c>
      <c r="J747" s="44">
        <f>YEAR(A747)</f>
        <v>2023</v>
      </c>
    </row>
    <row r="748" spans="1:10" ht="12" customHeight="1" x14ac:dyDescent="0.25">
      <c r="A748" s="43">
        <v>45031</v>
      </c>
      <c r="B748" s="47">
        <v>15381</v>
      </c>
      <c r="C748" s="44" t="s">
        <v>553</v>
      </c>
      <c r="D748" s="45">
        <v>-80</v>
      </c>
      <c r="E748" s="48" t="s">
        <v>299</v>
      </c>
      <c r="F748" s="48" t="s">
        <v>90</v>
      </c>
      <c r="G748" s="48" t="s">
        <v>91</v>
      </c>
      <c r="H748" s="44" t="s">
        <v>442</v>
      </c>
      <c r="I748" s="44" t="s">
        <v>710</v>
      </c>
      <c r="J748" s="44">
        <f>YEAR(A748)</f>
        <v>2023</v>
      </c>
    </row>
    <row r="749" spans="1:10" ht="12" customHeight="1" x14ac:dyDescent="0.25">
      <c r="A749" s="43">
        <v>45030</v>
      </c>
      <c r="B749" s="47">
        <v>15382</v>
      </c>
      <c r="C749" s="44" t="s">
        <v>505</v>
      </c>
      <c r="D749" s="45">
        <v>62.09</v>
      </c>
      <c r="E749" s="48" t="s">
        <v>89</v>
      </c>
      <c r="F749" s="48" t="s">
        <v>90</v>
      </c>
      <c r="G749" s="48" t="s">
        <v>91</v>
      </c>
      <c r="J749" s="44">
        <f>YEAR(A749)</f>
        <v>2023</v>
      </c>
    </row>
    <row r="750" spans="1:10" ht="12" customHeight="1" x14ac:dyDescent="0.25">
      <c r="A750" s="43">
        <v>45030</v>
      </c>
      <c r="B750" s="47">
        <v>15382</v>
      </c>
      <c r="C750" s="44" t="s">
        <v>505</v>
      </c>
      <c r="D750" s="45">
        <v>-62.09</v>
      </c>
      <c r="E750" s="48" t="s">
        <v>299</v>
      </c>
      <c r="F750" s="48" t="s">
        <v>90</v>
      </c>
      <c r="G750" s="48" t="s">
        <v>305</v>
      </c>
      <c r="I750" s="44" t="s">
        <v>709</v>
      </c>
      <c r="J750" s="44">
        <f>YEAR(A750)</f>
        <v>2023</v>
      </c>
    </row>
    <row r="751" spans="1:10" ht="12" customHeight="1" x14ac:dyDescent="0.25">
      <c r="A751" s="43">
        <v>45030</v>
      </c>
      <c r="B751" s="47">
        <v>15383</v>
      </c>
      <c r="C751" s="44" t="s">
        <v>455</v>
      </c>
      <c r="D751" s="45">
        <v>5.99</v>
      </c>
      <c r="E751" s="48" t="s">
        <v>145</v>
      </c>
      <c r="F751" s="48" t="s">
        <v>116</v>
      </c>
      <c r="G751" s="48" t="s">
        <v>93</v>
      </c>
      <c r="J751" s="44">
        <f>YEAR(A751)</f>
        <v>2023</v>
      </c>
    </row>
    <row r="752" spans="1:10" ht="12" customHeight="1" x14ac:dyDescent="0.25">
      <c r="A752" s="43">
        <v>45030</v>
      </c>
      <c r="B752" s="47">
        <v>15383</v>
      </c>
      <c r="C752" s="44" t="s">
        <v>455</v>
      </c>
      <c r="D752" s="45">
        <v>-21.11</v>
      </c>
      <c r="E752" s="48" t="s">
        <v>299</v>
      </c>
      <c r="F752" s="48" t="s">
        <v>90</v>
      </c>
      <c r="G752" s="48" t="s">
        <v>305</v>
      </c>
      <c r="I752" s="44" t="s">
        <v>709</v>
      </c>
      <c r="J752" s="44">
        <f>YEAR(A752)</f>
        <v>2023</v>
      </c>
    </row>
    <row r="753" spans="1:10" ht="12" customHeight="1" x14ac:dyDescent="0.25">
      <c r="A753" s="43">
        <v>45030</v>
      </c>
      <c r="B753" s="47">
        <v>15383</v>
      </c>
      <c r="C753" s="44" t="s">
        <v>455</v>
      </c>
      <c r="D753" s="45">
        <v>15.12</v>
      </c>
      <c r="E753" s="48" t="s">
        <v>197</v>
      </c>
      <c r="F753" s="48" t="s">
        <v>96</v>
      </c>
      <c r="G753" s="48" t="s">
        <v>91</v>
      </c>
      <c r="J753" s="44">
        <f>YEAR(A753)</f>
        <v>2023</v>
      </c>
    </row>
    <row r="754" spans="1:10" ht="12" customHeight="1" x14ac:dyDescent="0.25">
      <c r="A754" s="43">
        <v>45030</v>
      </c>
      <c r="B754" s="47">
        <v>15384</v>
      </c>
      <c r="C754" s="44" t="s">
        <v>740</v>
      </c>
      <c r="D754" s="45">
        <v>0</v>
      </c>
      <c r="E754" s="48" t="s">
        <v>180</v>
      </c>
      <c r="F754" s="48" t="s">
        <v>96</v>
      </c>
      <c r="G754" s="48" t="s">
        <v>592</v>
      </c>
      <c r="J754" s="44">
        <f>YEAR(A754)</f>
        <v>2023</v>
      </c>
    </row>
    <row r="755" spans="1:10" ht="12" customHeight="1" x14ac:dyDescent="0.25">
      <c r="A755" s="43">
        <v>45030</v>
      </c>
      <c r="B755" s="47">
        <v>15385</v>
      </c>
      <c r="C755" s="44" t="s">
        <v>483</v>
      </c>
      <c r="D755" s="45">
        <v>256.62</v>
      </c>
      <c r="E755" s="48" t="s">
        <v>105</v>
      </c>
      <c r="F755" s="48" t="s">
        <v>90</v>
      </c>
      <c r="G755" s="48" t="s">
        <v>91</v>
      </c>
      <c r="J755" s="44">
        <f>YEAR(A755)</f>
        <v>2023</v>
      </c>
    </row>
    <row r="756" spans="1:10" ht="12" customHeight="1" x14ac:dyDescent="0.25">
      <c r="A756" s="43">
        <v>45030</v>
      </c>
      <c r="B756" s="47">
        <v>15385</v>
      </c>
      <c r="C756" s="44" t="s">
        <v>483</v>
      </c>
      <c r="D756" s="45">
        <v>-256.62</v>
      </c>
      <c r="E756" s="48" t="s">
        <v>299</v>
      </c>
      <c r="F756" s="48" t="s">
        <v>90</v>
      </c>
      <c r="G756" s="48" t="s">
        <v>305</v>
      </c>
      <c r="I756" s="44" t="s">
        <v>709</v>
      </c>
      <c r="J756" s="44">
        <f>YEAR(A756)</f>
        <v>2023</v>
      </c>
    </row>
    <row r="757" spans="1:10" ht="12" customHeight="1" x14ac:dyDescent="0.25">
      <c r="A757" s="43">
        <v>45030</v>
      </c>
      <c r="B757" s="47">
        <v>15386</v>
      </c>
      <c r="C757" s="44" t="s">
        <v>677</v>
      </c>
      <c r="D757" s="45">
        <v>34.42</v>
      </c>
      <c r="E757" s="48" t="s">
        <v>157</v>
      </c>
      <c r="F757" s="48" t="s">
        <v>96</v>
      </c>
      <c r="G757" s="48" t="s">
        <v>91</v>
      </c>
      <c r="J757" s="44">
        <f>YEAR(A757)</f>
        <v>2023</v>
      </c>
    </row>
    <row r="758" spans="1:10" ht="12" customHeight="1" x14ac:dyDescent="0.25">
      <c r="A758" s="43">
        <v>45030</v>
      </c>
      <c r="B758" s="47">
        <v>15386</v>
      </c>
      <c r="C758" s="44" t="s">
        <v>677</v>
      </c>
      <c r="D758" s="45">
        <v>-34.42</v>
      </c>
      <c r="E758" s="48" t="s">
        <v>299</v>
      </c>
      <c r="F758" s="48" t="s">
        <v>90</v>
      </c>
      <c r="G758" s="48" t="s">
        <v>305</v>
      </c>
      <c r="I758" s="44" t="s">
        <v>709</v>
      </c>
      <c r="J758" s="44">
        <f>YEAR(A758)</f>
        <v>2023</v>
      </c>
    </row>
    <row r="759" spans="1:10" ht="12" customHeight="1" x14ac:dyDescent="0.25">
      <c r="A759" s="43">
        <v>45031</v>
      </c>
      <c r="B759" s="47">
        <v>15387</v>
      </c>
      <c r="C759" s="44" t="s">
        <v>476</v>
      </c>
      <c r="D759" s="45">
        <v>5.2</v>
      </c>
      <c r="E759" s="48" t="s">
        <v>157</v>
      </c>
      <c r="F759" s="48" t="s">
        <v>90</v>
      </c>
      <c r="G759" s="48" t="s">
        <v>115</v>
      </c>
      <c r="J759" s="44">
        <f>YEAR(A759)</f>
        <v>2023</v>
      </c>
    </row>
    <row r="760" spans="1:10" ht="12" customHeight="1" x14ac:dyDescent="0.25">
      <c r="A760" s="43">
        <v>45031</v>
      </c>
      <c r="B760" s="47">
        <v>15387</v>
      </c>
      <c r="C760" s="44" t="s">
        <v>476</v>
      </c>
      <c r="D760" s="45">
        <v>-5.2</v>
      </c>
      <c r="E760" s="48" t="s">
        <v>299</v>
      </c>
      <c r="F760" s="48" t="s">
        <v>90</v>
      </c>
      <c r="G760" s="48" t="s">
        <v>305</v>
      </c>
      <c r="I760" s="44" t="s">
        <v>709</v>
      </c>
      <c r="J760" s="44">
        <f>YEAR(A760)</f>
        <v>2023</v>
      </c>
    </row>
    <row r="761" spans="1:10" ht="12" customHeight="1" x14ac:dyDescent="0.25">
      <c r="A761" s="43">
        <v>45031</v>
      </c>
      <c r="B761" s="47">
        <v>15388</v>
      </c>
      <c r="C761" s="44" t="s">
        <v>477</v>
      </c>
      <c r="D761" s="45">
        <v>12.8</v>
      </c>
      <c r="E761" s="48" t="s">
        <v>197</v>
      </c>
      <c r="F761" s="48" t="s">
        <v>96</v>
      </c>
      <c r="G761" s="48" t="s">
        <v>91</v>
      </c>
      <c r="J761" s="44">
        <f>YEAR(A761)</f>
        <v>2023</v>
      </c>
    </row>
    <row r="762" spans="1:10" ht="12" customHeight="1" x14ac:dyDescent="0.25">
      <c r="A762" s="43">
        <v>45031</v>
      </c>
      <c r="B762" s="47">
        <v>15388</v>
      </c>
      <c r="C762" s="44" t="s">
        <v>477</v>
      </c>
      <c r="D762" s="45">
        <v>-19.3</v>
      </c>
      <c r="E762" s="48" t="s">
        <v>299</v>
      </c>
      <c r="F762" s="48" t="s">
        <v>90</v>
      </c>
      <c r="G762" s="48" t="s">
        <v>305</v>
      </c>
      <c r="I762" s="44" t="s">
        <v>709</v>
      </c>
      <c r="J762" s="44">
        <f>YEAR(A762)</f>
        <v>2023</v>
      </c>
    </row>
    <row r="763" spans="1:10" ht="12" customHeight="1" x14ac:dyDescent="0.25">
      <c r="A763" s="43">
        <v>45031</v>
      </c>
      <c r="B763" s="47">
        <v>15388</v>
      </c>
      <c r="C763" s="44" t="s">
        <v>477</v>
      </c>
      <c r="D763" s="45">
        <v>6.5</v>
      </c>
      <c r="E763" s="48" t="s">
        <v>197</v>
      </c>
      <c r="F763" s="48" t="s">
        <v>90</v>
      </c>
      <c r="G763" s="48" t="s">
        <v>91</v>
      </c>
      <c r="J763" s="44">
        <f>YEAR(A763)</f>
        <v>2023</v>
      </c>
    </row>
    <row r="764" spans="1:10" ht="12" customHeight="1" x14ac:dyDescent="0.25">
      <c r="A764" s="43">
        <v>45031</v>
      </c>
      <c r="B764" s="47">
        <v>15389</v>
      </c>
      <c r="C764" s="44" t="s">
        <v>453</v>
      </c>
      <c r="D764" s="45">
        <v>2.8</v>
      </c>
      <c r="E764" s="48" t="s">
        <v>89</v>
      </c>
      <c r="F764" s="48" t="s">
        <v>90</v>
      </c>
      <c r="G764" s="48" t="s">
        <v>91</v>
      </c>
      <c r="J764" s="44">
        <f>YEAR(A764)</f>
        <v>2023</v>
      </c>
    </row>
    <row r="765" spans="1:10" ht="12" customHeight="1" x14ac:dyDescent="0.25">
      <c r="A765" s="43">
        <v>45031</v>
      </c>
      <c r="B765" s="47">
        <v>15389</v>
      </c>
      <c r="C765" s="44" t="s">
        <v>453</v>
      </c>
      <c r="D765" s="45">
        <v>-2.8</v>
      </c>
      <c r="E765" s="48" t="s">
        <v>299</v>
      </c>
      <c r="F765" s="48" t="s">
        <v>90</v>
      </c>
      <c r="G765" s="48" t="s">
        <v>305</v>
      </c>
      <c r="I765" s="44" t="s">
        <v>709</v>
      </c>
      <c r="J765" s="44">
        <f>YEAR(A765)</f>
        <v>2023</v>
      </c>
    </row>
    <row r="766" spans="1:10" ht="12" customHeight="1" x14ac:dyDescent="0.25">
      <c r="A766" s="43">
        <v>45031</v>
      </c>
      <c r="B766" s="47">
        <v>15390</v>
      </c>
      <c r="C766" s="44" t="s">
        <v>446</v>
      </c>
      <c r="D766" s="45">
        <v>79.010000000000005</v>
      </c>
      <c r="E766" s="48" t="s">
        <v>89</v>
      </c>
      <c r="F766" s="48" t="s">
        <v>90</v>
      </c>
      <c r="G766" s="48" t="s">
        <v>91</v>
      </c>
      <c r="J766" s="44">
        <f>YEAR(A766)</f>
        <v>2023</v>
      </c>
    </row>
    <row r="767" spans="1:10" ht="12" customHeight="1" x14ac:dyDescent="0.25">
      <c r="A767" s="43">
        <v>45031</v>
      </c>
      <c r="B767" s="47">
        <v>15390</v>
      </c>
      <c r="C767" s="44" t="s">
        <v>446</v>
      </c>
      <c r="D767" s="45">
        <v>-79.010000000000005</v>
      </c>
      <c r="E767" s="48" t="s">
        <v>299</v>
      </c>
      <c r="F767" s="48" t="s">
        <v>90</v>
      </c>
      <c r="G767" s="48" t="s">
        <v>305</v>
      </c>
      <c r="I767" s="44" t="s">
        <v>709</v>
      </c>
      <c r="J767" s="44">
        <f>YEAR(A767)</f>
        <v>2023</v>
      </c>
    </row>
    <row r="768" spans="1:10" ht="12" customHeight="1" x14ac:dyDescent="0.25">
      <c r="A768" s="43">
        <v>45031</v>
      </c>
      <c r="B768" s="47">
        <v>15391</v>
      </c>
      <c r="C768" s="44" t="s">
        <v>684</v>
      </c>
      <c r="D768" s="45">
        <v>-257.74</v>
      </c>
      <c r="E768" s="48" t="s">
        <v>299</v>
      </c>
      <c r="F768" s="48" t="s">
        <v>321</v>
      </c>
      <c r="G768" s="48" t="s">
        <v>93</v>
      </c>
      <c r="J768" s="44">
        <f>YEAR(A768)</f>
        <v>2023</v>
      </c>
    </row>
    <row r="769" spans="1:11" ht="12" customHeight="1" x14ac:dyDescent="0.25">
      <c r="A769" s="43">
        <v>45031</v>
      </c>
      <c r="B769" s="47">
        <v>15391</v>
      </c>
      <c r="C769" s="44" t="s">
        <v>684</v>
      </c>
      <c r="D769" s="45">
        <v>257.74</v>
      </c>
      <c r="E769" s="48" t="s">
        <v>290</v>
      </c>
      <c r="F769" s="48" t="s">
        <v>90</v>
      </c>
      <c r="G769" s="48" t="s">
        <v>91</v>
      </c>
      <c r="J769" s="44">
        <f>YEAR(A769)</f>
        <v>2023</v>
      </c>
    </row>
    <row r="770" spans="1:11" ht="12" customHeight="1" x14ac:dyDescent="0.25">
      <c r="A770" s="43">
        <v>45031</v>
      </c>
      <c r="B770" s="47">
        <v>15391</v>
      </c>
      <c r="C770" s="44" t="s">
        <v>684</v>
      </c>
      <c r="D770" s="45">
        <v>100</v>
      </c>
      <c r="E770" s="48" t="s">
        <v>299</v>
      </c>
      <c r="F770" s="48" t="s">
        <v>101</v>
      </c>
      <c r="G770" s="48" t="s">
        <v>91</v>
      </c>
      <c r="J770" s="44">
        <f>YEAR(A770)</f>
        <v>2023</v>
      </c>
      <c r="K770" s="49" t="s">
        <v>747</v>
      </c>
    </row>
    <row r="771" spans="1:11" ht="12" customHeight="1" x14ac:dyDescent="0.25">
      <c r="A771" s="43">
        <v>45031</v>
      </c>
      <c r="B771" s="47">
        <v>15391</v>
      </c>
      <c r="C771" s="44" t="s">
        <v>684</v>
      </c>
      <c r="D771" s="45">
        <v>-100</v>
      </c>
      <c r="E771" s="48" t="s">
        <v>290</v>
      </c>
      <c r="F771" s="48" t="s">
        <v>90</v>
      </c>
      <c r="G771" s="48" t="s">
        <v>91</v>
      </c>
      <c r="J771" s="44">
        <f>YEAR(A771)</f>
        <v>2023</v>
      </c>
    </row>
    <row r="772" spans="1:11" ht="12" customHeight="1" x14ac:dyDescent="0.25">
      <c r="A772" s="43">
        <v>45032</v>
      </c>
      <c r="B772" s="47">
        <v>15392</v>
      </c>
      <c r="C772" s="44" t="s">
        <v>464</v>
      </c>
      <c r="D772" s="45">
        <v>53.31</v>
      </c>
      <c r="E772" s="48" t="s">
        <v>89</v>
      </c>
      <c r="F772" s="48" t="s">
        <v>90</v>
      </c>
      <c r="G772" s="48" t="s">
        <v>91</v>
      </c>
      <c r="J772" s="44">
        <f>YEAR(A772)</f>
        <v>2023</v>
      </c>
    </row>
    <row r="773" spans="1:11" ht="12" customHeight="1" x14ac:dyDescent="0.25">
      <c r="A773" s="43">
        <v>45032</v>
      </c>
      <c r="B773" s="47">
        <v>15392</v>
      </c>
      <c r="C773" s="44" t="s">
        <v>464</v>
      </c>
      <c r="D773" s="45">
        <v>-53.31</v>
      </c>
      <c r="E773" s="48" t="s">
        <v>299</v>
      </c>
      <c r="F773" s="48" t="s">
        <v>90</v>
      </c>
      <c r="G773" s="48" t="s">
        <v>305</v>
      </c>
      <c r="I773" s="44" t="s">
        <v>709</v>
      </c>
      <c r="J773" s="44">
        <f>YEAR(A773)</f>
        <v>2023</v>
      </c>
    </row>
    <row r="774" spans="1:11" ht="12" customHeight="1" x14ac:dyDescent="0.25">
      <c r="A774" s="43">
        <v>45035</v>
      </c>
      <c r="B774" s="47">
        <v>15393</v>
      </c>
      <c r="C774" s="44" t="s">
        <v>501</v>
      </c>
      <c r="D774" s="45">
        <v>3.8</v>
      </c>
      <c r="E774" s="48" t="s">
        <v>89</v>
      </c>
      <c r="F774" s="48" t="s">
        <v>90</v>
      </c>
      <c r="G774" s="48" t="s">
        <v>91</v>
      </c>
      <c r="J774" s="44">
        <f>YEAR(A774)</f>
        <v>2023</v>
      </c>
    </row>
    <row r="775" spans="1:11" ht="12" customHeight="1" x14ac:dyDescent="0.25">
      <c r="A775" s="43">
        <v>45035</v>
      </c>
      <c r="B775" s="47">
        <v>15393</v>
      </c>
      <c r="C775" s="44" t="s">
        <v>501</v>
      </c>
      <c r="D775" s="45">
        <v>-3.8</v>
      </c>
      <c r="E775" s="48" t="s">
        <v>299</v>
      </c>
      <c r="F775" s="48" t="s">
        <v>90</v>
      </c>
      <c r="G775" s="48" t="s">
        <v>305</v>
      </c>
      <c r="I775" s="44" t="s">
        <v>709</v>
      </c>
      <c r="J775" s="44">
        <f>YEAR(A775)</f>
        <v>2023</v>
      </c>
    </row>
    <row r="776" spans="1:11" ht="12" customHeight="1" x14ac:dyDescent="0.25">
      <c r="A776" s="43">
        <v>45036</v>
      </c>
      <c r="B776" s="47">
        <v>15394</v>
      </c>
      <c r="C776" s="44" t="s">
        <v>444</v>
      </c>
      <c r="D776" s="45">
        <v>-41.41</v>
      </c>
      <c r="E776" s="48" t="s">
        <v>299</v>
      </c>
      <c r="F776" s="48" t="s">
        <v>90</v>
      </c>
      <c r="G776" s="48" t="s">
        <v>91</v>
      </c>
      <c r="H776" s="44" t="s">
        <v>459</v>
      </c>
      <c r="I776" s="44" t="s">
        <v>710</v>
      </c>
      <c r="J776" s="44">
        <f>YEAR(A776)</f>
        <v>2023</v>
      </c>
    </row>
    <row r="777" spans="1:11" ht="12" customHeight="1" x14ac:dyDescent="0.25">
      <c r="A777" s="43">
        <v>45036</v>
      </c>
      <c r="B777" s="47">
        <v>15394</v>
      </c>
      <c r="C777" s="44" t="s">
        <v>444</v>
      </c>
      <c r="D777" s="45">
        <v>9.1</v>
      </c>
      <c r="E777" s="48" t="s">
        <v>197</v>
      </c>
      <c r="F777" s="48" t="s">
        <v>96</v>
      </c>
      <c r="G777" s="48" t="s">
        <v>91</v>
      </c>
      <c r="J777" s="44">
        <f>YEAR(A777)</f>
        <v>2023</v>
      </c>
    </row>
    <row r="778" spans="1:11" ht="12" customHeight="1" x14ac:dyDescent="0.25">
      <c r="A778" s="43">
        <v>45036</v>
      </c>
      <c r="B778" s="47">
        <v>15394</v>
      </c>
      <c r="C778" s="44" t="s">
        <v>444</v>
      </c>
      <c r="D778" s="45">
        <v>32.31</v>
      </c>
      <c r="E778" s="48" t="s">
        <v>89</v>
      </c>
      <c r="F778" s="48" t="s">
        <v>90</v>
      </c>
      <c r="G778" s="48" t="s">
        <v>91</v>
      </c>
      <c r="J778" s="44">
        <f>YEAR(A778)</f>
        <v>2023</v>
      </c>
    </row>
    <row r="779" spans="1:11" ht="12" customHeight="1" x14ac:dyDescent="0.25">
      <c r="A779" s="43">
        <v>45032</v>
      </c>
      <c r="B779" s="47">
        <v>15395</v>
      </c>
      <c r="C779" s="44" t="s">
        <v>474</v>
      </c>
      <c r="D779" s="45">
        <v>3.5</v>
      </c>
      <c r="E779" s="48" t="s">
        <v>89</v>
      </c>
      <c r="F779" s="48" t="s">
        <v>90</v>
      </c>
      <c r="G779" s="48" t="s">
        <v>91</v>
      </c>
      <c r="J779" s="44">
        <f>YEAR(A779)</f>
        <v>2023</v>
      </c>
    </row>
    <row r="780" spans="1:11" ht="12" customHeight="1" x14ac:dyDescent="0.25">
      <c r="A780" s="43">
        <v>45032</v>
      </c>
      <c r="B780" s="47">
        <v>15395</v>
      </c>
      <c r="C780" s="44" t="s">
        <v>441</v>
      </c>
      <c r="D780" s="45">
        <v>-3.5</v>
      </c>
      <c r="E780" s="48" t="s">
        <v>299</v>
      </c>
      <c r="F780" s="48" t="s">
        <v>101</v>
      </c>
      <c r="G780" s="48" t="s">
        <v>91</v>
      </c>
      <c r="J780" s="44">
        <f>YEAR(A780)</f>
        <v>2023</v>
      </c>
    </row>
    <row r="781" spans="1:11" ht="12" customHeight="1" x14ac:dyDescent="0.25">
      <c r="A781" s="43">
        <v>45036</v>
      </c>
      <c r="B781" s="47">
        <v>15396</v>
      </c>
      <c r="C781" s="44" t="s">
        <v>461</v>
      </c>
      <c r="D781" s="45">
        <v>87.94</v>
      </c>
      <c r="E781" s="48" t="s">
        <v>145</v>
      </c>
      <c r="F781" s="48" t="s">
        <v>135</v>
      </c>
      <c r="G781" s="48" t="s">
        <v>91</v>
      </c>
      <c r="J781" s="44">
        <f>YEAR(A781)</f>
        <v>2023</v>
      </c>
      <c r="K781" s="49" t="s">
        <v>685</v>
      </c>
    </row>
    <row r="782" spans="1:11" ht="12" customHeight="1" x14ac:dyDescent="0.25">
      <c r="A782" s="43">
        <v>45036</v>
      </c>
      <c r="B782" s="47">
        <v>15396</v>
      </c>
      <c r="C782" s="44" t="s">
        <v>461</v>
      </c>
      <c r="D782" s="45">
        <v>-87.94</v>
      </c>
      <c r="E782" s="48" t="s">
        <v>299</v>
      </c>
      <c r="F782" s="48" t="s">
        <v>90</v>
      </c>
      <c r="G782" s="48" t="s">
        <v>305</v>
      </c>
      <c r="I782" s="44" t="s">
        <v>709</v>
      </c>
      <c r="J782" s="44">
        <f>YEAR(A782)</f>
        <v>2023</v>
      </c>
    </row>
    <row r="783" spans="1:11" ht="12" customHeight="1" x14ac:dyDescent="0.25">
      <c r="A783" s="43">
        <v>45033</v>
      </c>
      <c r="B783" s="47">
        <v>15397</v>
      </c>
      <c r="C783" s="44" t="s">
        <v>448</v>
      </c>
      <c r="D783" s="45">
        <v>68.95</v>
      </c>
      <c r="E783" s="48" t="s">
        <v>180</v>
      </c>
      <c r="F783" s="48" t="s">
        <v>90</v>
      </c>
      <c r="G783" s="48" t="s">
        <v>91</v>
      </c>
      <c r="H783" s="44" t="s">
        <v>442</v>
      </c>
      <c r="J783" s="44">
        <f>YEAR(A783)</f>
        <v>2023</v>
      </c>
    </row>
    <row r="784" spans="1:11" ht="12" customHeight="1" x14ac:dyDescent="0.25">
      <c r="A784" s="43">
        <v>45033</v>
      </c>
      <c r="B784" s="47">
        <v>15397</v>
      </c>
      <c r="C784" s="44" t="s">
        <v>448</v>
      </c>
      <c r="D784" s="45">
        <v>-68.95</v>
      </c>
      <c r="E784" s="48" t="s">
        <v>299</v>
      </c>
      <c r="F784" s="48" t="s">
        <v>90</v>
      </c>
      <c r="G784" s="48" t="s">
        <v>91</v>
      </c>
      <c r="H784" s="44" t="s">
        <v>391</v>
      </c>
      <c r="I784" s="44" t="s">
        <v>710</v>
      </c>
      <c r="J784" s="44">
        <f>YEAR(A784)</f>
        <v>2023</v>
      </c>
    </row>
    <row r="785" spans="1:11" ht="12" customHeight="1" x14ac:dyDescent="0.25">
      <c r="A785" s="43">
        <v>45028</v>
      </c>
      <c r="B785" s="47">
        <v>15398</v>
      </c>
      <c r="C785" s="44" t="s">
        <v>585</v>
      </c>
      <c r="D785" s="45">
        <v>-20.5</v>
      </c>
      <c r="E785" s="48" t="s">
        <v>197</v>
      </c>
      <c r="F785" s="48" t="s">
        <v>90</v>
      </c>
      <c r="G785" s="48" t="s">
        <v>99</v>
      </c>
      <c r="J785" s="44">
        <f>YEAR(A785)</f>
        <v>2023</v>
      </c>
    </row>
    <row r="786" spans="1:11" ht="12" customHeight="1" x14ac:dyDescent="0.25">
      <c r="A786" s="43">
        <v>45028</v>
      </c>
      <c r="B786" s="47">
        <v>15398</v>
      </c>
      <c r="C786" s="44" t="s">
        <v>585</v>
      </c>
      <c r="D786" s="45">
        <v>20.5</v>
      </c>
      <c r="E786" s="48" t="s">
        <v>299</v>
      </c>
      <c r="F786" s="48" t="s">
        <v>90</v>
      </c>
      <c r="G786" s="48" t="s">
        <v>91</v>
      </c>
      <c r="H786" s="44" t="s">
        <v>398</v>
      </c>
      <c r="I786" s="44" t="s">
        <v>712</v>
      </c>
      <c r="J786" s="44">
        <f>YEAR(A786)</f>
        <v>2023</v>
      </c>
    </row>
    <row r="787" spans="1:11" ht="12" customHeight="1" x14ac:dyDescent="0.25">
      <c r="A787" s="43">
        <v>45035</v>
      </c>
      <c r="B787" s="47">
        <v>15399</v>
      </c>
      <c r="C787" s="44" t="s">
        <v>585</v>
      </c>
      <c r="D787" s="45">
        <v>-68</v>
      </c>
      <c r="E787" s="48" t="s">
        <v>197</v>
      </c>
      <c r="F787" s="48" t="s">
        <v>90</v>
      </c>
      <c r="G787" s="48" t="s">
        <v>99</v>
      </c>
      <c r="J787" s="44">
        <f>YEAR(A787)</f>
        <v>2023</v>
      </c>
    </row>
    <row r="788" spans="1:11" ht="12" customHeight="1" x14ac:dyDescent="0.25">
      <c r="A788" s="43">
        <v>45035</v>
      </c>
      <c r="B788" s="47">
        <v>15399</v>
      </c>
      <c r="C788" s="44" t="s">
        <v>585</v>
      </c>
      <c r="D788" s="45">
        <v>68</v>
      </c>
      <c r="E788" s="48" t="s">
        <v>299</v>
      </c>
      <c r="F788" s="48" t="s">
        <v>90</v>
      </c>
      <c r="G788" s="48" t="s">
        <v>91</v>
      </c>
      <c r="H788" s="44" t="s">
        <v>398</v>
      </c>
      <c r="I788" s="44" t="s">
        <v>712</v>
      </c>
      <c r="J788" s="44">
        <f>YEAR(A788)</f>
        <v>2023</v>
      </c>
    </row>
    <row r="789" spans="1:11" ht="12" customHeight="1" x14ac:dyDescent="0.25">
      <c r="A789" s="43">
        <v>45037</v>
      </c>
      <c r="B789" s="47">
        <v>15400</v>
      </c>
      <c r="C789" s="44" t="s">
        <v>450</v>
      </c>
      <c r="D789" s="45">
        <v>-203.66</v>
      </c>
      <c r="E789" s="48" t="s">
        <v>299</v>
      </c>
      <c r="F789" s="48" t="s">
        <v>90</v>
      </c>
      <c r="G789" s="48" t="s">
        <v>91</v>
      </c>
      <c r="H789" s="44" t="s">
        <v>402</v>
      </c>
      <c r="I789" s="44" t="s">
        <v>710</v>
      </c>
      <c r="J789" s="44">
        <f>YEAR(A789)</f>
        <v>2023</v>
      </c>
    </row>
    <row r="790" spans="1:11" ht="12" customHeight="1" x14ac:dyDescent="0.25">
      <c r="A790" s="43">
        <v>45023</v>
      </c>
      <c r="B790" s="47">
        <v>15400</v>
      </c>
      <c r="C790" s="44" t="s">
        <v>469</v>
      </c>
      <c r="D790" s="45">
        <v>2.2999999999999998</v>
      </c>
      <c r="E790" s="48" t="s">
        <v>89</v>
      </c>
      <c r="F790" s="48" t="s">
        <v>90</v>
      </c>
      <c r="G790" s="48" t="s">
        <v>91</v>
      </c>
      <c r="J790" s="44">
        <f>YEAR(A790)</f>
        <v>2023</v>
      </c>
    </row>
    <row r="791" spans="1:11" ht="12" customHeight="1" x14ac:dyDescent="0.25">
      <c r="A791" s="43">
        <v>45024</v>
      </c>
      <c r="B791" s="47">
        <v>15400</v>
      </c>
      <c r="C791" s="44" t="s">
        <v>469</v>
      </c>
      <c r="D791" s="45">
        <v>10.3</v>
      </c>
      <c r="E791" s="48" t="s">
        <v>89</v>
      </c>
      <c r="F791" s="48" t="s">
        <v>90</v>
      </c>
      <c r="G791" s="48" t="s">
        <v>91</v>
      </c>
      <c r="J791" s="44">
        <f>YEAR(A791)</f>
        <v>2023</v>
      </c>
    </row>
    <row r="792" spans="1:11" ht="12" customHeight="1" x14ac:dyDescent="0.25">
      <c r="A792" s="43">
        <v>45024</v>
      </c>
      <c r="B792" s="47">
        <v>15400</v>
      </c>
      <c r="C792" s="44" t="s">
        <v>576</v>
      </c>
      <c r="D792" s="45">
        <v>79.36</v>
      </c>
      <c r="E792" s="48" t="s">
        <v>89</v>
      </c>
      <c r="F792" s="48" t="s">
        <v>90</v>
      </c>
      <c r="G792" s="48" t="s">
        <v>91</v>
      </c>
      <c r="J792" s="44">
        <f>YEAR(A792)</f>
        <v>2023</v>
      </c>
    </row>
    <row r="793" spans="1:11" ht="12" customHeight="1" x14ac:dyDescent="0.25">
      <c r="A793" s="43">
        <v>45024</v>
      </c>
      <c r="B793" s="47">
        <v>15400</v>
      </c>
      <c r="C793" s="44" t="s">
        <v>686</v>
      </c>
      <c r="D793" s="45">
        <v>4.8899999999999997</v>
      </c>
      <c r="E793" s="48" t="s">
        <v>89</v>
      </c>
      <c r="F793" s="48" t="s">
        <v>90</v>
      </c>
      <c r="G793" s="48" t="s">
        <v>91</v>
      </c>
      <c r="J793" s="44">
        <f>YEAR(A793)</f>
        <v>2023</v>
      </c>
    </row>
    <row r="794" spans="1:11" ht="12" customHeight="1" x14ac:dyDescent="0.25">
      <c r="A794" s="43">
        <v>45031</v>
      </c>
      <c r="B794" s="47">
        <v>15400</v>
      </c>
      <c r="C794" s="44" t="s">
        <v>469</v>
      </c>
      <c r="D794" s="45">
        <v>10.4</v>
      </c>
      <c r="E794" s="48" t="s">
        <v>89</v>
      </c>
      <c r="F794" s="48" t="s">
        <v>90</v>
      </c>
      <c r="G794" s="48" t="s">
        <v>91</v>
      </c>
      <c r="J794" s="44">
        <f>YEAR(A794)</f>
        <v>2023</v>
      </c>
    </row>
    <row r="795" spans="1:11" ht="12" customHeight="1" x14ac:dyDescent="0.25">
      <c r="A795" s="43">
        <v>45037</v>
      </c>
      <c r="B795" s="47">
        <v>15400</v>
      </c>
      <c r="C795" s="44" t="s">
        <v>510</v>
      </c>
      <c r="D795" s="45">
        <v>96.41</v>
      </c>
      <c r="E795" s="48" t="s">
        <v>89</v>
      </c>
      <c r="F795" s="48" t="s">
        <v>90</v>
      </c>
      <c r="G795" s="48" t="s">
        <v>91</v>
      </c>
      <c r="J795" s="44">
        <f>YEAR(A795)</f>
        <v>2023</v>
      </c>
    </row>
    <row r="796" spans="1:11" ht="12" customHeight="1" x14ac:dyDescent="0.25">
      <c r="A796" s="43">
        <v>45038</v>
      </c>
      <c r="B796" s="47">
        <v>15401</v>
      </c>
      <c r="C796" s="44" t="s">
        <v>504</v>
      </c>
      <c r="D796" s="45">
        <f>11.5*3+10+3.99+19</f>
        <v>67.489999999999995</v>
      </c>
      <c r="E796" s="48" t="s">
        <v>145</v>
      </c>
      <c r="F796" s="48" t="s">
        <v>135</v>
      </c>
      <c r="G796" s="48" t="s">
        <v>91</v>
      </c>
      <c r="J796" s="44">
        <f>YEAR(A796)</f>
        <v>2023</v>
      </c>
      <c r="K796" s="49" t="s">
        <v>685</v>
      </c>
    </row>
    <row r="797" spans="1:11" ht="12" customHeight="1" x14ac:dyDescent="0.25">
      <c r="A797" s="43">
        <v>45038</v>
      </c>
      <c r="B797" s="47">
        <v>15401</v>
      </c>
      <c r="C797" s="44" t="s">
        <v>504</v>
      </c>
      <c r="D797" s="45">
        <v>-129.1</v>
      </c>
      <c r="E797" s="48" t="s">
        <v>299</v>
      </c>
      <c r="F797" s="48" t="s">
        <v>90</v>
      </c>
      <c r="G797" s="48" t="s">
        <v>305</v>
      </c>
      <c r="I797" s="44" t="s">
        <v>709</v>
      </c>
      <c r="J797" s="44">
        <f>YEAR(A797)</f>
        <v>2023</v>
      </c>
    </row>
    <row r="798" spans="1:11" ht="12" customHeight="1" x14ac:dyDescent="0.25">
      <c r="A798" s="43">
        <v>45038</v>
      </c>
      <c r="B798" s="47">
        <v>15401</v>
      </c>
      <c r="C798" s="44" t="s">
        <v>504</v>
      </c>
      <c r="D798" s="45">
        <v>61.61</v>
      </c>
      <c r="E798" s="48" t="s">
        <v>139</v>
      </c>
      <c r="F798" s="48" t="s">
        <v>90</v>
      </c>
      <c r="G798" s="48" t="s">
        <v>98</v>
      </c>
      <c r="J798" s="44">
        <f>YEAR(A798)</f>
        <v>2023</v>
      </c>
    </row>
    <row r="799" spans="1:11" ht="12" customHeight="1" x14ac:dyDescent="0.25">
      <c r="A799" s="43">
        <v>45038</v>
      </c>
      <c r="B799" s="47">
        <v>15402</v>
      </c>
      <c r="C799" s="44" t="s">
        <v>601</v>
      </c>
      <c r="D799" s="45">
        <v>47.58</v>
      </c>
      <c r="E799" s="48" t="s">
        <v>105</v>
      </c>
      <c r="F799" s="48" t="s">
        <v>90</v>
      </c>
      <c r="G799" s="48" t="s">
        <v>98</v>
      </c>
      <c r="J799" s="44">
        <f>YEAR(A799)</f>
        <v>2023</v>
      </c>
    </row>
    <row r="800" spans="1:11" ht="12" customHeight="1" x14ac:dyDescent="0.25">
      <c r="A800" s="43">
        <v>45038</v>
      </c>
      <c r="B800" s="47">
        <v>15402</v>
      </c>
      <c r="C800" s="44" t="s">
        <v>601</v>
      </c>
      <c r="D800" s="45">
        <v>-47.58</v>
      </c>
      <c r="E800" s="48" t="s">
        <v>299</v>
      </c>
      <c r="F800" s="48" t="s">
        <v>90</v>
      </c>
      <c r="G800" s="48" t="s">
        <v>305</v>
      </c>
      <c r="I800" s="44" t="s">
        <v>709</v>
      </c>
      <c r="J800" s="44">
        <f>YEAR(A800)</f>
        <v>2023</v>
      </c>
    </row>
    <row r="801" spans="1:11" ht="12" customHeight="1" x14ac:dyDescent="0.25">
      <c r="A801" s="43">
        <v>45038</v>
      </c>
      <c r="B801" s="47">
        <v>15403</v>
      </c>
      <c r="C801" s="44" t="s">
        <v>596</v>
      </c>
      <c r="D801" s="45">
        <v>59.99</v>
      </c>
      <c r="E801" s="48" t="s">
        <v>105</v>
      </c>
      <c r="F801" s="48" t="s">
        <v>90</v>
      </c>
      <c r="G801" s="48" t="s">
        <v>98</v>
      </c>
      <c r="J801" s="44">
        <f>YEAR(A801)</f>
        <v>2023</v>
      </c>
    </row>
    <row r="802" spans="1:11" ht="12" customHeight="1" x14ac:dyDescent="0.25">
      <c r="A802" s="43">
        <v>45038</v>
      </c>
      <c r="B802" s="47">
        <v>15403</v>
      </c>
      <c r="C802" s="44" t="s">
        <v>596</v>
      </c>
      <c r="D802" s="45">
        <v>-155.94999999999999</v>
      </c>
      <c r="E802" s="48" t="s">
        <v>299</v>
      </c>
      <c r="F802" s="48" t="s">
        <v>90</v>
      </c>
      <c r="G802" s="48" t="s">
        <v>305</v>
      </c>
      <c r="I802" s="44" t="s">
        <v>709</v>
      </c>
      <c r="J802" s="44">
        <f>YEAR(A802)</f>
        <v>2023</v>
      </c>
    </row>
    <row r="803" spans="1:11" ht="12" customHeight="1" x14ac:dyDescent="0.25">
      <c r="A803" s="43">
        <v>45038</v>
      </c>
      <c r="B803" s="47">
        <v>15403</v>
      </c>
      <c r="C803" s="44" t="s">
        <v>596</v>
      </c>
      <c r="D803" s="45">
        <f>29.99*2</f>
        <v>59.98</v>
      </c>
      <c r="E803" s="48" t="s">
        <v>105</v>
      </c>
      <c r="F803" s="48" t="s">
        <v>90</v>
      </c>
      <c r="G803" s="48" t="s">
        <v>99</v>
      </c>
      <c r="J803" s="44">
        <f>YEAR(A803)</f>
        <v>2023</v>
      </c>
    </row>
    <row r="804" spans="1:11" ht="12" customHeight="1" x14ac:dyDescent="0.25">
      <c r="A804" s="43">
        <v>45038</v>
      </c>
      <c r="B804" s="47">
        <v>15403</v>
      </c>
      <c r="C804" s="44" t="s">
        <v>596</v>
      </c>
      <c r="D804" s="45">
        <v>35.979999999999997</v>
      </c>
      <c r="E804" s="48" t="s">
        <v>105</v>
      </c>
      <c r="F804" s="48" t="s">
        <v>90</v>
      </c>
      <c r="G804" s="48" t="s">
        <v>93</v>
      </c>
      <c r="J804" s="44">
        <f>YEAR(A804)</f>
        <v>2023</v>
      </c>
    </row>
    <row r="805" spans="1:11" ht="12" customHeight="1" x14ac:dyDescent="0.25">
      <c r="A805" s="43">
        <v>45038</v>
      </c>
      <c r="B805" s="47">
        <v>15404</v>
      </c>
      <c r="C805" s="44" t="s">
        <v>556</v>
      </c>
      <c r="D805" s="45">
        <v>18.489999999999998</v>
      </c>
      <c r="E805" s="48" t="s">
        <v>145</v>
      </c>
      <c r="F805" s="48" t="s">
        <v>116</v>
      </c>
      <c r="G805" s="48" t="s">
        <v>93</v>
      </c>
      <c r="J805" s="44">
        <f>YEAR(A805)</f>
        <v>2023</v>
      </c>
    </row>
    <row r="806" spans="1:11" ht="12" customHeight="1" x14ac:dyDescent="0.25">
      <c r="A806" s="43">
        <v>45038</v>
      </c>
      <c r="B806" s="47">
        <v>15404</v>
      </c>
      <c r="C806" s="44" t="s">
        <v>556</v>
      </c>
      <c r="D806" s="45">
        <v>-70.430000000000007</v>
      </c>
      <c r="E806" s="48" t="s">
        <v>299</v>
      </c>
      <c r="F806" s="48" t="s">
        <v>90</v>
      </c>
      <c r="G806" s="48" t="s">
        <v>305</v>
      </c>
      <c r="I806" s="44" t="s">
        <v>709</v>
      </c>
      <c r="J806" s="44">
        <f>YEAR(A806)</f>
        <v>2023</v>
      </c>
    </row>
    <row r="807" spans="1:11" ht="12" customHeight="1" x14ac:dyDescent="0.25">
      <c r="A807" s="43">
        <v>45038</v>
      </c>
      <c r="B807" s="47">
        <v>15404</v>
      </c>
      <c r="C807" s="44" t="s">
        <v>556</v>
      </c>
      <c r="D807" s="45">
        <v>37.99</v>
      </c>
      <c r="E807" s="48" t="s">
        <v>145</v>
      </c>
      <c r="F807" s="48" t="s">
        <v>135</v>
      </c>
      <c r="G807" s="48" t="s">
        <v>91</v>
      </c>
      <c r="J807" s="44">
        <f>YEAR(A807)</f>
        <v>2023</v>
      </c>
      <c r="K807" s="49" t="s">
        <v>685</v>
      </c>
    </row>
    <row r="808" spans="1:11" ht="12" customHeight="1" x14ac:dyDescent="0.25">
      <c r="A808" s="43">
        <v>45038</v>
      </c>
      <c r="B808" s="47">
        <v>15404</v>
      </c>
      <c r="C808" s="44" t="s">
        <v>556</v>
      </c>
      <c r="D808" s="45">
        <v>13.95</v>
      </c>
      <c r="E808" s="48" t="s">
        <v>145</v>
      </c>
      <c r="F808" s="48" t="s">
        <v>135</v>
      </c>
      <c r="G808" s="48" t="s">
        <v>91</v>
      </c>
      <c r="J808" s="44">
        <f>YEAR(A808)</f>
        <v>2023</v>
      </c>
      <c r="K808" s="49" t="s">
        <v>687</v>
      </c>
    </row>
    <row r="809" spans="1:11" ht="12" customHeight="1" x14ac:dyDescent="0.25">
      <c r="A809" s="43">
        <v>45040</v>
      </c>
      <c r="B809" s="47">
        <v>15405</v>
      </c>
      <c r="C809" s="44" t="s">
        <v>453</v>
      </c>
      <c r="D809" s="45">
        <v>10.83</v>
      </c>
      <c r="E809" s="48" t="s">
        <v>89</v>
      </c>
      <c r="F809" s="48" t="s">
        <v>90</v>
      </c>
      <c r="G809" s="48" t="s">
        <v>91</v>
      </c>
      <c r="J809" s="44">
        <f>YEAR(A809)</f>
        <v>2023</v>
      </c>
    </row>
    <row r="810" spans="1:11" ht="12" customHeight="1" x14ac:dyDescent="0.25">
      <c r="A810" s="43">
        <v>45040</v>
      </c>
      <c r="B810" s="47">
        <v>15405</v>
      </c>
      <c r="C810" s="44" t="s">
        <v>453</v>
      </c>
      <c r="D810" s="45">
        <v>-10.83</v>
      </c>
      <c r="E810" s="48" t="s">
        <v>299</v>
      </c>
      <c r="F810" s="48" t="s">
        <v>90</v>
      </c>
      <c r="G810" s="48" t="s">
        <v>305</v>
      </c>
      <c r="I810" s="44" t="s">
        <v>709</v>
      </c>
      <c r="J810" s="44">
        <f>YEAR(A810)</f>
        <v>2023</v>
      </c>
    </row>
    <row r="811" spans="1:11" ht="12" customHeight="1" x14ac:dyDescent="0.25">
      <c r="A811" s="43">
        <v>45043</v>
      </c>
      <c r="B811" s="47">
        <v>15406</v>
      </c>
      <c r="C811" s="44" t="s">
        <v>458</v>
      </c>
      <c r="D811" s="45">
        <v>-71.25</v>
      </c>
      <c r="E811" s="48" t="s">
        <v>299</v>
      </c>
      <c r="F811" s="48" t="s">
        <v>90</v>
      </c>
      <c r="G811" s="48" t="s">
        <v>305</v>
      </c>
      <c r="I811" s="44" t="s">
        <v>731</v>
      </c>
      <c r="J811" s="44">
        <f>YEAR(A811)</f>
        <v>2023</v>
      </c>
    </row>
    <row r="812" spans="1:11" ht="12" customHeight="1" x14ac:dyDescent="0.25">
      <c r="A812" s="43">
        <v>45043</v>
      </c>
      <c r="B812" s="47">
        <v>15406</v>
      </c>
      <c r="C812" s="44" t="s">
        <v>458</v>
      </c>
      <c r="D812" s="45">
        <v>15</v>
      </c>
      <c r="E812" s="48" t="s">
        <v>89</v>
      </c>
      <c r="F812" s="48" t="s">
        <v>96</v>
      </c>
      <c r="G812" s="48" t="s">
        <v>91</v>
      </c>
      <c r="J812" s="44">
        <f>YEAR(A812)</f>
        <v>2023</v>
      </c>
    </row>
    <row r="813" spans="1:11" ht="12" customHeight="1" x14ac:dyDescent="0.25">
      <c r="A813" s="43">
        <v>45043</v>
      </c>
      <c r="B813" s="47">
        <v>15406</v>
      </c>
      <c r="C813" s="44" t="s">
        <v>458</v>
      </c>
      <c r="D813" s="45">
        <v>56.25</v>
      </c>
      <c r="E813" s="48" t="s">
        <v>89</v>
      </c>
      <c r="F813" s="48" t="s">
        <v>90</v>
      </c>
      <c r="G813" s="48" t="s">
        <v>91</v>
      </c>
      <c r="J813" s="44">
        <f>YEAR(A813)</f>
        <v>2023</v>
      </c>
    </row>
    <row r="814" spans="1:11" ht="12" customHeight="1" x14ac:dyDescent="0.25">
      <c r="A814" s="43">
        <v>45043</v>
      </c>
      <c r="B814" s="47">
        <v>15407</v>
      </c>
      <c r="C814" s="44" t="s">
        <v>454</v>
      </c>
      <c r="D814" s="45">
        <v>22.34</v>
      </c>
      <c r="E814" s="48" t="s">
        <v>89</v>
      </c>
      <c r="F814" s="48" t="s">
        <v>90</v>
      </c>
      <c r="G814" s="48" t="s">
        <v>91</v>
      </c>
      <c r="J814" s="44">
        <f>YEAR(A814)</f>
        <v>2023</v>
      </c>
    </row>
    <row r="815" spans="1:11" ht="12" customHeight="1" x14ac:dyDescent="0.25">
      <c r="A815" s="43">
        <v>45043</v>
      </c>
      <c r="B815" s="47">
        <v>15407</v>
      </c>
      <c r="C815" s="44" t="s">
        <v>454</v>
      </c>
      <c r="D815" s="45">
        <v>-22.34</v>
      </c>
      <c r="E815" s="48" t="s">
        <v>299</v>
      </c>
      <c r="F815" s="48" t="s">
        <v>90</v>
      </c>
      <c r="G815" s="48" t="s">
        <v>305</v>
      </c>
      <c r="I815" s="44" t="s">
        <v>731</v>
      </c>
      <c r="J815" s="44">
        <f>YEAR(A815)</f>
        <v>2023</v>
      </c>
    </row>
    <row r="816" spans="1:11" ht="12" customHeight="1" x14ac:dyDescent="0.25">
      <c r="A816" s="43">
        <v>45043</v>
      </c>
      <c r="B816" s="47">
        <v>15408</v>
      </c>
      <c r="C816" s="44" t="s">
        <v>446</v>
      </c>
      <c r="D816" s="45">
        <v>-58.26</v>
      </c>
      <c r="E816" s="48" t="s">
        <v>299</v>
      </c>
      <c r="F816" s="48" t="s">
        <v>90</v>
      </c>
      <c r="G816" s="48" t="s">
        <v>305</v>
      </c>
      <c r="I816" s="44" t="s">
        <v>731</v>
      </c>
      <c r="J816" s="44">
        <f>YEAR(A816)</f>
        <v>2023</v>
      </c>
    </row>
    <row r="817" spans="1:10" ht="12" customHeight="1" x14ac:dyDescent="0.25">
      <c r="A817" s="43">
        <v>45043</v>
      </c>
      <c r="B817" s="47">
        <v>15408</v>
      </c>
      <c r="C817" s="44" t="s">
        <v>446</v>
      </c>
      <c r="D817" s="45">
        <v>58.26</v>
      </c>
      <c r="E817" s="48" t="s">
        <v>89</v>
      </c>
      <c r="F817" s="48" t="s">
        <v>90</v>
      </c>
      <c r="G817" s="48" t="s">
        <v>91</v>
      </c>
      <c r="J817" s="44">
        <f>YEAR(A817)</f>
        <v>2023</v>
      </c>
    </row>
    <row r="818" spans="1:10" ht="12" customHeight="1" x14ac:dyDescent="0.25">
      <c r="A818" s="43">
        <v>45044</v>
      </c>
      <c r="B818" s="47">
        <v>15409</v>
      </c>
      <c r="C818" s="44" t="s">
        <v>688</v>
      </c>
      <c r="D818" s="45">
        <v>-2365</v>
      </c>
      <c r="E818" s="48" t="s">
        <v>299</v>
      </c>
      <c r="F818" s="48" t="s">
        <v>90</v>
      </c>
      <c r="G818" s="48" t="s">
        <v>91</v>
      </c>
      <c r="H818" s="44" t="s">
        <v>402</v>
      </c>
      <c r="I818" s="44" t="s">
        <v>710</v>
      </c>
      <c r="J818" s="44">
        <f>YEAR(A818)</f>
        <v>2023</v>
      </c>
    </row>
    <row r="819" spans="1:10" ht="12" customHeight="1" x14ac:dyDescent="0.25">
      <c r="A819" s="43">
        <v>45044</v>
      </c>
      <c r="B819" s="47">
        <v>15409</v>
      </c>
      <c r="C819" s="44" t="s">
        <v>688</v>
      </c>
      <c r="D819" s="45">
        <v>2365</v>
      </c>
      <c r="E819" s="48" t="s">
        <v>157</v>
      </c>
      <c r="F819" s="48" t="s">
        <v>90</v>
      </c>
      <c r="G819" s="48" t="s">
        <v>500</v>
      </c>
      <c r="J819" s="44">
        <f>YEAR(A819)</f>
        <v>2023</v>
      </c>
    </row>
    <row r="820" spans="1:10" ht="12" customHeight="1" x14ac:dyDescent="0.25">
      <c r="A820" s="43">
        <v>45044</v>
      </c>
      <c r="B820" s="47">
        <v>15410</v>
      </c>
      <c r="C820" s="44" t="s">
        <v>689</v>
      </c>
      <c r="D820" s="45">
        <v>-2635</v>
      </c>
      <c r="E820" s="48" t="s">
        <v>299</v>
      </c>
      <c r="F820" s="48" t="s">
        <v>90</v>
      </c>
      <c r="G820" s="48" t="s">
        <v>91</v>
      </c>
      <c r="H820" s="44" t="s">
        <v>402</v>
      </c>
      <c r="I820" s="44" t="s">
        <v>710</v>
      </c>
      <c r="J820" s="44">
        <f>YEAR(A820)</f>
        <v>2023</v>
      </c>
    </row>
    <row r="821" spans="1:10" ht="12" customHeight="1" x14ac:dyDescent="0.25">
      <c r="A821" s="43">
        <v>45044</v>
      </c>
      <c r="B821" s="47">
        <v>15410</v>
      </c>
      <c r="C821" s="44" t="s">
        <v>689</v>
      </c>
      <c r="D821" s="45">
        <v>2635</v>
      </c>
      <c r="E821" s="48" t="s">
        <v>157</v>
      </c>
      <c r="F821" s="48" t="s">
        <v>90</v>
      </c>
      <c r="G821" s="48" t="s">
        <v>500</v>
      </c>
      <c r="J821" s="44">
        <f>YEAR(A821)</f>
        <v>2023</v>
      </c>
    </row>
    <row r="822" spans="1:10" ht="12" customHeight="1" x14ac:dyDescent="0.25">
      <c r="A822" s="43">
        <v>45046</v>
      </c>
      <c r="B822" s="47">
        <v>15411</v>
      </c>
      <c r="C822" s="44" t="s">
        <v>690</v>
      </c>
      <c r="D822" s="45">
        <v>30</v>
      </c>
      <c r="E822" s="48" t="s">
        <v>89</v>
      </c>
      <c r="F822" s="48" t="s">
        <v>101</v>
      </c>
      <c r="G822" s="48" t="s">
        <v>91</v>
      </c>
      <c r="J822" s="44">
        <f>YEAR(A822)</f>
        <v>2023</v>
      </c>
    </row>
    <row r="823" spans="1:10" ht="12" customHeight="1" x14ac:dyDescent="0.25">
      <c r="A823" s="43">
        <v>45046</v>
      </c>
      <c r="B823" s="47">
        <v>15411</v>
      </c>
      <c r="C823" s="44" t="s">
        <v>441</v>
      </c>
      <c r="D823" s="45">
        <v>-128.9</v>
      </c>
      <c r="E823" s="48" t="s">
        <v>299</v>
      </c>
      <c r="F823" s="48" t="s">
        <v>101</v>
      </c>
      <c r="G823" s="48" t="s">
        <v>91</v>
      </c>
      <c r="J823" s="44">
        <f>YEAR(A823)</f>
        <v>2023</v>
      </c>
    </row>
    <row r="824" spans="1:10" ht="12" customHeight="1" x14ac:dyDescent="0.25">
      <c r="A824" s="43">
        <v>45046</v>
      </c>
      <c r="B824" s="47">
        <v>15411</v>
      </c>
      <c r="C824" s="44" t="s">
        <v>693</v>
      </c>
      <c r="D824" s="45">
        <v>78</v>
      </c>
      <c r="E824" s="48" t="s">
        <v>89</v>
      </c>
      <c r="F824" s="48" t="s">
        <v>101</v>
      </c>
      <c r="G824" s="48" t="s">
        <v>91</v>
      </c>
      <c r="J824" s="44">
        <f>YEAR(A824)</f>
        <v>2023</v>
      </c>
    </row>
    <row r="825" spans="1:10" ht="12" customHeight="1" x14ac:dyDescent="0.25">
      <c r="A825" s="43">
        <v>45046</v>
      </c>
      <c r="B825" s="47">
        <v>15411</v>
      </c>
      <c r="C825" s="44" t="s">
        <v>691</v>
      </c>
      <c r="D825" s="45">
        <v>14.9</v>
      </c>
      <c r="E825" s="48" t="s">
        <v>89</v>
      </c>
      <c r="F825" s="48" t="s">
        <v>101</v>
      </c>
      <c r="G825" s="48" t="s">
        <v>91</v>
      </c>
      <c r="J825" s="44">
        <f>YEAR(A825)</f>
        <v>2023</v>
      </c>
    </row>
    <row r="826" spans="1:10" ht="12" customHeight="1" x14ac:dyDescent="0.25">
      <c r="A826" s="43">
        <v>45046</v>
      </c>
      <c r="B826" s="47">
        <v>15411</v>
      </c>
      <c r="C826" s="44" t="s">
        <v>692</v>
      </c>
      <c r="D826" s="45">
        <v>6</v>
      </c>
      <c r="E826" s="48" t="s">
        <v>89</v>
      </c>
      <c r="F826" s="48" t="s">
        <v>101</v>
      </c>
      <c r="G826" s="48" t="s">
        <v>91</v>
      </c>
      <c r="J826" s="44">
        <f>YEAR(A826)</f>
        <v>2023</v>
      </c>
    </row>
    <row r="827" spans="1:10" ht="12" customHeight="1" x14ac:dyDescent="0.25">
      <c r="A827" s="43">
        <v>45043</v>
      </c>
      <c r="B827" s="47">
        <v>15412</v>
      </c>
      <c r="C827" s="44" t="s">
        <v>460</v>
      </c>
      <c r="D827" s="45">
        <v>-44.52</v>
      </c>
      <c r="E827" s="48" t="s">
        <v>299</v>
      </c>
      <c r="F827" s="48" t="s">
        <v>90</v>
      </c>
      <c r="G827" s="48" t="s">
        <v>305</v>
      </c>
      <c r="I827" s="44" t="s">
        <v>731</v>
      </c>
      <c r="J827" s="44">
        <f>YEAR(A827)</f>
        <v>2023</v>
      </c>
    </row>
    <row r="828" spans="1:10" ht="12" customHeight="1" x14ac:dyDescent="0.25">
      <c r="A828" s="43">
        <v>45043</v>
      </c>
      <c r="B828" s="47">
        <v>15412</v>
      </c>
      <c r="C828" s="44" t="s">
        <v>460</v>
      </c>
      <c r="D828" s="45">
        <v>24.52</v>
      </c>
      <c r="E828" s="48" t="s">
        <v>89</v>
      </c>
      <c r="F828" s="48" t="s">
        <v>90</v>
      </c>
      <c r="G828" s="48" t="s">
        <v>91</v>
      </c>
      <c r="J828" s="44">
        <f>YEAR(A828)</f>
        <v>2023</v>
      </c>
    </row>
    <row r="829" spans="1:10" ht="12" customHeight="1" x14ac:dyDescent="0.25">
      <c r="A829" s="43">
        <v>45043</v>
      </c>
      <c r="B829" s="47">
        <v>15412</v>
      </c>
      <c r="C829" s="44" t="s">
        <v>460</v>
      </c>
      <c r="D829" s="45">
        <v>20</v>
      </c>
      <c r="E829" s="48" t="s">
        <v>145</v>
      </c>
      <c r="F829" s="48" t="s">
        <v>135</v>
      </c>
      <c r="G829" s="48" t="s">
        <v>91</v>
      </c>
      <c r="J829" s="44">
        <f>YEAR(A829)</f>
        <v>2023</v>
      </c>
    </row>
    <row r="830" spans="1:10" ht="12" customHeight="1" x14ac:dyDescent="0.25">
      <c r="A830" s="43">
        <v>45045</v>
      </c>
      <c r="B830" s="47">
        <v>15413</v>
      </c>
      <c r="C830" s="44" t="s">
        <v>443</v>
      </c>
      <c r="D830" s="45">
        <v>7.2</v>
      </c>
      <c r="E830" s="48" t="s">
        <v>89</v>
      </c>
      <c r="F830" s="48" t="s">
        <v>96</v>
      </c>
      <c r="G830" s="48" t="s">
        <v>91</v>
      </c>
      <c r="J830" s="44">
        <f>YEAR(A830)</f>
        <v>2023</v>
      </c>
    </row>
    <row r="831" spans="1:10" ht="12" customHeight="1" x14ac:dyDescent="0.25">
      <c r="A831" s="43">
        <v>45045</v>
      </c>
      <c r="B831" s="47">
        <v>15413</v>
      </c>
      <c r="C831" s="44" t="s">
        <v>443</v>
      </c>
      <c r="D831" s="45">
        <v>-7.2</v>
      </c>
      <c r="E831" s="48" t="s">
        <v>299</v>
      </c>
      <c r="F831" s="48" t="s">
        <v>90</v>
      </c>
      <c r="G831" s="48" t="s">
        <v>305</v>
      </c>
      <c r="I831" s="44" t="s">
        <v>731</v>
      </c>
      <c r="J831" s="44">
        <f>YEAR(A831)</f>
        <v>2023</v>
      </c>
    </row>
    <row r="832" spans="1:10" ht="12" customHeight="1" x14ac:dyDescent="0.25">
      <c r="A832" s="43">
        <v>45045</v>
      </c>
      <c r="B832" s="47">
        <v>15414</v>
      </c>
      <c r="C832" s="44" t="s">
        <v>455</v>
      </c>
      <c r="D832" s="45">
        <v>-82.72</v>
      </c>
      <c r="E832" s="48" t="s">
        <v>299</v>
      </c>
      <c r="F832" s="48" t="s">
        <v>90</v>
      </c>
      <c r="G832" s="48" t="s">
        <v>305</v>
      </c>
      <c r="I832" s="44" t="s">
        <v>731</v>
      </c>
      <c r="J832" s="44">
        <f>YEAR(A832)</f>
        <v>2023</v>
      </c>
    </row>
    <row r="833" spans="1:10" ht="12" customHeight="1" x14ac:dyDescent="0.25">
      <c r="A833" s="43">
        <v>45045</v>
      </c>
      <c r="B833" s="47">
        <v>15414</v>
      </c>
      <c r="C833" s="44" t="s">
        <v>455</v>
      </c>
      <c r="D833" s="45">
        <v>82.72</v>
      </c>
      <c r="E833" s="48" t="s">
        <v>180</v>
      </c>
      <c r="F833" s="48" t="s">
        <v>96</v>
      </c>
      <c r="G833" s="48" t="s">
        <v>592</v>
      </c>
      <c r="J833" s="44">
        <f>YEAR(A833)</f>
        <v>2023</v>
      </c>
    </row>
    <row r="834" spans="1:10" ht="12" customHeight="1" x14ac:dyDescent="0.25">
      <c r="A834" s="43">
        <v>45045</v>
      </c>
      <c r="B834" s="47">
        <v>15415</v>
      </c>
      <c r="C834" s="44" t="s">
        <v>446</v>
      </c>
      <c r="D834" s="45">
        <v>-32.299999999999997</v>
      </c>
      <c r="E834" s="48" t="s">
        <v>299</v>
      </c>
      <c r="F834" s="48" t="s">
        <v>90</v>
      </c>
      <c r="G834" s="48" t="s">
        <v>305</v>
      </c>
      <c r="I834" s="44" t="s">
        <v>731</v>
      </c>
      <c r="J834" s="44">
        <f>YEAR(A834)</f>
        <v>2023</v>
      </c>
    </row>
    <row r="835" spans="1:10" ht="12" customHeight="1" x14ac:dyDescent="0.25">
      <c r="A835" s="43">
        <v>45045</v>
      </c>
      <c r="B835" s="47">
        <v>15415</v>
      </c>
      <c r="C835" s="44" t="s">
        <v>446</v>
      </c>
      <c r="D835" s="45">
        <v>32.299999999999997</v>
      </c>
      <c r="E835" s="48" t="s">
        <v>89</v>
      </c>
      <c r="F835" s="48" t="s">
        <v>90</v>
      </c>
      <c r="G835" s="48" t="s">
        <v>91</v>
      </c>
      <c r="J835" s="44">
        <f>YEAR(A835)</f>
        <v>2023</v>
      </c>
    </row>
    <row r="836" spans="1:10" ht="12" customHeight="1" x14ac:dyDescent="0.25">
      <c r="A836" s="43">
        <v>45046</v>
      </c>
      <c r="B836" s="47">
        <v>15416</v>
      </c>
      <c r="C836" s="44" t="s">
        <v>471</v>
      </c>
      <c r="D836" s="45">
        <v>16.2</v>
      </c>
      <c r="E836" s="48" t="s">
        <v>89</v>
      </c>
      <c r="F836" s="48" t="s">
        <v>90</v>
      </c>
      <c r="G836" s="48" t="s">
        <v>91</v>
      </c>
      <c r="J836" s="44">
        <f>YEAR(A836)</f>
        <v>2023</v>
      </c>
    </row>
    <row r="837" spans="1:10" ht="12" customHeight="1" x14ac:dyDescent="0.25">
      <c r="A837" s="43">
        <v>45046</v>
      </c>
      <c r="B837" s="47">
        <v>15416</v>
      </c>
      <c r="C837" s="44" t="s">
        <v>471</v>
      </c>
      <c r="D837" s="45">
        <v>-16.2</v>
      </c>
      <c r="E837" s="48" t="s">
        <v>299</v>
      </c>
      <c r="F837" s="48" t="s">
        <v>90</v>
      </c>
      <c r="G837" s="48" t="s">
        <v>305</v>
      </c>
      <c r="I837" s="44" t="s">
        <v>731</v>
      </c>
      <c r="J837" s="44">
        <f>YEAR(A837)</f>
        <v>2023</v>
      </c>
    </row>
    <row r="838" spans="1:10" ht="12" customHeight="1" x14ac:dyDescent="0.25">
      <c r="A838" s="43">
        <v>45046</v>
      </c>
      <c r="B838" s="47">
        <v>15417</v>
      </c>
      <c r="C838" s="44" t="s">
        <v>450</v>
      </c>
      <c r="D838" s="45">
        <v>-393.77</v>
      </c>
      <c r="E838" s="48" t="s">
        <v>299</v>
      </c>
      <c r="F838" s="48" t="s">
        <v>90</v>
      </c>
      <c r="G838" s="48" t="s">
        <v>91</v>
      </c>
      <c r="H838" s="44" t="s">
        <v>402</v>
      </c>
      <c r="I838" s="44" t="s">
        <v>710</v>
      </c>
      <c r="J838" s="44">
        <f>YEAR(A838)</f>
        <v>2023</v>
      </c>
    </row>
    <row r="839" spans="1:10" ht="12" customHeight="1" x14ac:dyDescent="0.25">
      <c r="A839" s="43">
        <v>45037</v>
      </c>
      <c r="B839" s="47">
        <v>15417</v>
      </c>
      <c r="C839" s="44" t="s">
        <v>583</v>
      </c>
      <c r="D839" s="45">
        <v>45</v>
      </c>
      <c r="E839" s="48" t="s">
        <v>89</v>
      </c>
      <c r="F839" s="48" t="s">
        <v>90</v>
      </c>
      <c r="G839" s="48" t="s">
        <v>91</v>
      </c>
      <c r="J839" s="44">
        <f>YEAR(A839)</f>
        <v>2023</v>
      </c>
    </row>
    <row r="840" spans="1:10" ht="12" customHeight="1" x14ac:dyDescent="0.25">
      <c r="A840" s="43">
        <v>45037</v>
      </c>
      <c r="B840" s="47">
        <v>15417</v>
      </c>
      <c r="C840" s="44" t="s">
        <v>694</v>
      </c>
      <c r="D840" s="45">
        <v>34.200000000000003</v>
      </c>
      <c r="E840" s="48" t="s">
        <v>89</v>
      </c>
      <c r="F840" s="48" t="s">
        <v>90</v>
      </c>
      <c r="G840" s="48" t="s">
        <v>91</v>
      </c>
      <c r="J840" s="44">
        <f>YEAR(A840)</f>
        <v>2023</v>
      </c>
    </row>
    <row r="841" spans="1:10" ht="12" customHeight="1" x14ac:dyDescent="0.25">
      <c r="A841" s="43">
        <v>45038</v>
      </c>
      <c r="B841" s="47">
        <v>15417</v>
      </c>
      <c r="C841" s="44" t="s">
        <v>695</v>
      </c>
      <c r="D841" s="45">
        <v>30</v>
      </c>
      <c r="E841" s="48" t="s">
        <v>197</v>
      </c>
      <c r="F841" s="48" t="s">
        <v>96</v>
      </c>
      <c r="G841" s="48" t="s">
        <v>93</v>
      </c>
      <c r="J841" s="44">
        <f>YEAR(A841)</f>
        <v>2023</v>
      </c>
    </row>
    <row r="842" spans="1:10" ht="12" customHeight="1" x14ac:dyDescent="0.25">
      <c r="A842" s="43">
        <v>45038</v>
      </c>
      <c r="B842" s="47">
        <v>15417</v>
      </c>
      <c r="C842" s="44" t="s">
        <v>696</v>
      </c>
      <c r="D842" s="45">
        <v>69.3</v>
      </c>
      <c r="E842" s="48" t="s">
        <v>89</v>
      </c>
      <c r="F842" s="48" t="s">
        <v>90</v>
      </c>
      <c r="G842" s="48" t="s">
        <v>91</v>
      </c>
      <c r="J842" s="44">
        <f>YEAR(A842)</f>
        <v>2023</v>
      </c>
    </row>
    <row r="843" spans="1:10" ht="12" customHeight="1" x14ac:dyDescent="0.25">
      <c r="A843" s="43">
        <v>45044</v>
      </c>
      <c r="B843" s="47">
        <v>15417</v>
      </c>
      <c r="C843" s="44" t="s">
        <v>697</v>
      </c>
      <c r="D843" s="45">
        <v>144</v>
      </c>
      <c r="E843" s="48" t="s">
        <v>89</v>
      </c>
      <c r="F843" s="48" t="s">
        <v>96</v>
      </c>
      <c r="G843" s="48" t="s">
        <v>91</v>
      </c>
      <c r="J843" s="44">
        <f>YEAR(A843)</f>
        <v>2023</v>
      </c>
    </row>
    <row r="844" spans="1:10" ht="12" customHeight="1" x14ac:dyDescent="0.25">
      <c r="A844" s="43">
        <v>45045</v>
      </c>
      <c r="B844" s="47">
        <v>15417</v>
      </c>
      <c r="C844" s="44" t="s">
        <v>572</v>
      </c>
      <c r="D844" s="45">
        <v>67.87</v>
      </c>
      <c r="E844" s="48" t="s">
        <v>180</v>
      </c>
      <c r="F844" s="48" t="s">
        <v>96</v>
      </c>
      <c r="G844" s="48" t="s">
        <v>555</v>
      </c>
      <c r="J844" s="44">
        <f>YEAR(A844)</f>
        <v>2023</v>
      </c>
    </row>
    <row r="845" spans="1:10" ht="12" customHeight="1" x14ac:dyDescent="0.25">
      <c r="A845" s="43">
        <v>45046</v>
      </c>
      <c r="B845" s="47">
        <v>15417</v>
      </c>
      <c r="C845" s="44" t="s">
        <v>698</v>
      </c>
      <c r="D845" s="45">
        <v>3.4</v>
      </c>
      <c r="E845" s="48" t="s">
        <v>89</v>
      </c>
      <c r="F845" s="48" t="s">
        <v>101</v>
      </c>
      <c r="G845" s="48" t="s">
        <v>91</v>
      </c>
      <c r="J845" s="44">
        <f>YEAR(A845)</f>
        <v>2023</v>
      </c>
    </row>
    <row r="846" spans="1:10" ht="12" customHeight="1" x14ac:dyDescent="0.25">
      <c r="A846" s="43">
        <v>45048</v>
      </c>
      <c r="B846" s="47">
        <v>15418</v>
      </c>
      <c r="C846" s="44" t="s">
        <v>485</v>
      </c>
      <c r="D846" s="45">
        <v>23</v>
      </c>
      <c r="E846" s="48" t="s">
        <v>89</v>
      </c>
      <c r="F846" s="48" t="s">
        <v>101</v>
      </c>
      <c r="G846" s="48" t="s">
        <v>91</v>
      </c>
      <c r="J846" s="44">
        <f>YEAR(A846)</f>
        <v>2023</v>
      </c>
    </row>
    <row r="847" spans="1:10" ht="12" customHeight="1" x14ac:dyDescent="0.25">
      <c r="A847" s="43">
        <v>45048</v>
      </c>
      <c r="B847" s="47">
        <v>15418</v>
      </c>
      <c r="C847" s="44" t="s">
        <v>441</v>
      </c>
      <c r="D847" s="45">
        <v>-23</v>
      </c>
      <c r="E847" s="48" t="s">
        <v>299</v>
      </c>
      <c r="F847" s="48" t="s">
        <v>101</v>
      </c>
      <c r="G847" s="48" t="s">
        <v>91</v>
      </c>
      <c r="J847" s="44">
        <f>YEAR(A847)</f>
        <v>2023</v>
      </c>
    </row>
    <row r="848" spans="1:10" ht="12" customHeight="1" x14ac:dyDescent="0.25">
      <c r="A848" s="43">
        <v>45048</v>
      </c>
      <c r="B848" s="47">
        <v>15419</v>
      </c>
      <c r="C848" s="44" t="s">
        <v>453</v>
      </c>
      <c r="D848" s="45">
        <v>10.3</v>
      </c>
      <c r="E848" s="48" t="s">
        <v>89</v>
      </c>
      <c r="F848" s="48" t="s">
        <v>90</v>
      </c>
      <c r="G848" s="48" t="s">
        <v>91</v>
      </c>
      <c r="J848" s="44">
        <f>YEAR(A848)</f>
        <v>2023</v>
      </c>
    </row>
    <row r="849" spans="1:10" ht="12" customHeight="1" x14ac:dyDescent="0.25">
      <c r="A849" s="43">
        <v>45048</v>
      </c>
      <c r="B849" s="47">
        <v>15419</v>
      </c>
      <c r="C849" s="44" t="s">
        <v>453</v>
      </c>
      <c r="D849" s="45">
        <v>-10.3</v>
      </c>
      <c r="E849" s="48" t="s">
        <v>299</v>
      </c>
      <c r="F849" s="48" t="s">
        <v>90</v>
      </c>
      <c r="G849" s="48" t="s">
        <v>305</v>
      </c>
      <c r="I849" s="44" t="s">
        <v>731</v>
      </c>
      <c r="J849" s="44">
        <f>YEAR(A849)</f>
        <v>2023</v>
      </c>
    </row>
    <row r="850" spans="1:10" ht="12" customHeight="1" x14ac:dyDescent="0.25">
      <c r="A850" s="43">
        <v>45048</v>
      </c>
      <c r="B850" s="47">
        <v>15420</v>
      </c>
      <c r="C850" s="44" t="s">
        <v>475</v>
      </c>
      <c r="D850" s="45">
        <v>3.5</v>
      </c>
      <c r="E850" s="48" t="s">
        <v>89</v>
      </c>
      <c r="F850" s="48" t="s">
        <v>90</v>
      </c>
      <c r="G850" s="48" t="s">
        <v>91</v>
      </c>
      <c r="J850" s="44">
        <f>YEAR(A850)</f>
        <v>2023</v>
      </c>
    </row>
    <row r="851" spans="1:10" ht="12" customHeight="1" x14ac:dyDescent="0.25">
      <c r="A851" s="43">
        <v>45048</v>
      </c>
      <c r="B851" s="47">
        <v>15420</v>
      </c>
      <c r="C851" s="44" t="s">
        <v>475</v>
      </c>
      <c r="D851" s="45">
        <v>-3.5</v>
      </c>
      <c r="E851" s="48" t="s">
        <v>299</v>
      </c>
      <c r="F851" s="48" t="s">
        <v>90</v>
      </c>
      <c r="G851" s="48" t="s">
        <v>305</v>
      </c>
      <c r="I851" s="44" t="s">
        <v>731</v>
      </c>
      <c r="J851" s="44">
        <f>YEAR(A851)</f>
        <v>2023</v>
      </c>
    </row>
    <row r="852" spans="1:10" ht="12" customHeight="1" x14ac:dyDescent="0.25">
      <c r="A852" s="43">
        <v>45048</v>
      </c>
      <c r="B852" s="47">
        <v>15421</v>
      </c>
      <c r="C852" s="44" t="s">
        <v>568</v>
      </c>
      <c r="D852" s="45">
        <v>6.52</v>
      </c>
      <c r="E852" s="48" t="s">
        <v>89</v>
      </c>
      <c r="F852" s="48" t="s">
        <v>90</v>
      </c>
      <c r="G852" s="48" t="s">
        <v>91</v>
      </c>
      <c r="J852" s="44">
        <f>YEAR(A852)</f>
        <v>2023</v>
      </c>
    </row>
    <row r="853" spans="1:10" ht="12" customHeight="1" x14ac:dyDescent="0.25">
      <c r="A853" s="43">
        <v>45048</v>
      </c>
      <c r="B853" s="47">
        <v>15421</v>
      </c>
      <c r="C853" s="44" t="s">
        <v>568</v>
      </c>
      <c r="D853" s="45">
        <v>-6.52</v>
      </c>
      <c r="E853" s="48" t="s">
        <v>299</v>
      </c>
      <c r="F853" s="48" t="s">
        <v>90</v>
      </c>
      <c r="G853" s="48" t="s">
        <v>305</v>
      </c>
      <c r="I853" s="44" t="s">
        <v>731</v>
      </c>
      <c r="J853" s="44">
        <f>YEAR(A853)</f>
        <v>2023</v>
      </c>
    </row>
    <row r="854" spans="1:10" ht="12" customHeight="1" x14ac:dyDescent="0.25">
      <c r="A854" s="43">
        <v>45049</v>
      </c>
      <c r="B854" s="47">
        <v>15422</v>
      </c>
      <c r="C854" s="44" t="s">
        <v>410</v>
      </c>
      <c r="D854" s="45">
        <v>-715.89</v>
      </c>
      <c r="E854" s="48" t="s">
        <v>214</v>
      </c>
      <c r="F854" s="48" t="s">
        <v>128</v>
      </c>
      <c r="G854" s="48" t="s">
        <v>99</v>
      </c>
      <c r="J854" s="44">
        <f>YEAR(A854)</f>
        <v>2023</v>
      </c>
    </row>
    <row r="855" spans="1:10" ht="12" customHeight="1" x14ac:dyDescent="0.25">
      <c r="A855" s="43">
        <v>45052</v>
      </c>
      <c r="B855" s="47">
        <v>15422</v>
      </c>
      <c r="C855" s="44" t="s">
        <v>411</v>
      </c>
      <c r="D855" s="45">
        <v>112.65</v>
      </c>
      <c r="E855" s="48" t="s">
        <v>110</v>
      </c>
      <c r="F855" s="48" t="s">
        <v>90</v>
      </c>
      <c r="G855" s="48" t="s">
        <v>91</v>
      </c>
      <c r="J855" s="44">
        <f>YEAR(A855)</f>
        <v>2023</v>
      </c>
    </row>
    <row r="856" spans="1:10" ht="12" customHeight="1" x14ac:dyDescent="0.25">
      <c r="A856" s="43">
        <v>45052</v>
      </c>
      <c r="B856" s="47">
        <v>15422</v>
      </c>
      <c r="C856" s="44" t="s">
        <v>410</v>
      </c>
      <c r="D856" s="45">
        <v>603.24</v>
      </c>
      <c r="E856" s="48" t="s">
        <v>299</v>
      </c>
      <c r="F856" s="48" t="s">
        <v>90</v>
      </c>
      <c r="G856" s="48" t="s">
        <v>91</v>
      </c>
      <c r="H856" s="44" t="s">
        <v>398</v>
      </c>
      <c r="I856" s="44" t="s">
        <v>712</v>
      </c>
      <c r="J856" s="44">
        <f>YEAR(A856)</f>
        <v>2023</v>
      </c>
    </row>
    <row r="857" spans="1:10" ht="12" customHeight="1" x14ac:dyDescent="0.25">
      <c r="A857" s="43">
        <v>45053</v>
      </c>
      <c r="B857" s="47">
        <v>15423</v>
      </c>
      <c r="C857" s="44" t="s">
        <v>702</v>
      </c>
      <c r="D857" s="45">
        <v>4</v>
      </c>
      <c r="E857" s="48" t="s">
        <v>145</v>
      </c>
      <c r="F857" s="48" t="s">
        <v>128</v>
      </c>
      <c r="G857" s="48" t="s">
        <v>115</v>
      </c>
      <c r="J857" s="44">
        <f>YEAR(A857)</f>
        <v>2023</v>
      </c>
    </row>
    <row r="858" spans="1:10" ht="12" customHeight="1" x14ac:dyDescent="0.25">
      <c r="A858" s="43">
        <v>45053</v>
      </c>
      <c r="B858" s="47">
        <v>15423</v>
      </c>
      <c r="C858" s="44" t="s">
        <v>441</v>
      </c>
      <c r="D858" s="45">
        <v>-4</v>
      </c>
      <c r="E858" s="48" t="s">
        <v>299</v>
      </c>
      <c r="F858" s="48" t="s">
        <v>101</v>
      </c>
      <c r="G858" s="48" t="s">
        <v>91</v>
      </c>
      <c r="J858" s="44">
        <f>YEAR(A858)</f>
        <v>2023</v>
      </c>
    </row>
    <row r="859" spans="1:10" ht="12" customHeight="1" x14ac:dyDescent="0.25">
      <c r="A859" s="43">
        <v>45050</v>
      </c>
      <c r="B859" s="47">
        <v>15424</v>
      </c>
      <c r="C859" s="44" t="s">
        <v>703</v>
      </c>
      <c r="D859" s="45">
        <v>-150</v>
      </c>
      <c r="E859" s="48" t="s">
        <v>299</v>
      </c>
      <c r="F859" s="48" t="s">
        <v>90</v>
      </c>
      <c r="G859" s="48" t="s">
        <v>91</v>
      </c>
      <c r="H859" s="44">
        <v>4004</v>
      </c>
      <c r="I859" s="44" t="s">
        <v>710</v>
      </c>
      <c r="J859" s="44">
        <f>YEAR(A859)</f>
        <v>2023</v>
      </c>
    </row>
    <row r="860" spans="1:10" ht="12" customHeight="1" x14ac:dyDescent="0.25">
      <c r="A860" s="43">
        <v>45050</v>
      </c>
      <c r="B860" s="47">
        <v>15424</v>
      </c>
      <c r="C860" s="44" t="s">
        <v>703</v>
      </c>
      <c r="D860" s="45">
        <v>150</v>
      </c>
      <c r="E860" s="48" t="s">
        <v>704</v>
      </c>
      <c r="F860" s="48" t="s">
        <v>90</v>
      </c>
      <c r="G860" s="48" t="s">
        <v>99</v>
      </c>
      <c r="J860" s="44">
        <f>YEAR(A860)</f>
        <v>2023</v>
      </c>
    </row>
    <row r="861" spans="1:10" ht="12" customHeight="1" x14ac:dyDescent="0.25">
      <c r="A861" s="43">
        <v>45050</v>
      </c>
      <c r="B861" s="47">
        <v>15425</v>
      </c>
      <c r="C861" s="44" t="s">
        <v>705</v>
      </c>
      <c r="D861" s="45">
        <v>-25</v>
      </c>
      <c r="E861" s="48" t="s">
        <v>299</v>
      </c>
      <c r="F861" s="48" t="s">
        <v>90</v>
      </c>
      <c r="G861" s="48" t="s">
        <v>305</v>
      </c>
      <c r="I861" s="44" t="s">
        <v>731</v>
      </c>
      <c r="J861" s="44">
        <f>YEAR(A861)</f>
        <v>2023</v>
      </c>
    </row>
    <row r="862" spans="1:10" ht="12" customHeight="1" x14ac:dyDescent="0.25">
      <c r="A862" s="43">
        <v>45050</v>
      </c>
      <c r="B862" s="47">
        <v>15425</v>
      </c>
      <c r="C862" s="44" t="s">
        <v>705</v>
      </c>
      <c r="D862" s="45">
        <v>25</v>
      </c>
      <c r="E862" s="48" t="s">
        <v>704</v>
      </c>
      <c r="F862" s="48" t="s">
        <v>90</v>
      </c>
      <c r="G862" s="48" t="s">
        <v>99</v>
      </c>
      <c r="J862" s="44">
        <f>YEAR(A862)</f>
        <v>2023</v>
      </c>
    </row>
    <row r="863" spans="1:10" ht="12" customHeight="1" x14ac:dyDescent="0.25">
      <c r="A863" s="43">
        <v>45051</v>
      </c>
      <c r="B863" s="47">
        <v>15426</v>
      </c>
      <c r="C863" s="44" t="s">
        <v>501</v>
      </c>
      <c r="D863" s="45">
        <v>4.3</v>
      </c>
      <c r="E863" s="48" t="s">
        <v>89</v>
      </c>
      <c r="F863" s="48" t="s">
        <v>90</v>
      </c>
      <c r="G863" s="48" t="s">
        <v>91</v>
      </c>
      <c r="J863" s="44">
        <f>YEAR(A863)</f>
        <v>2023</v>
      </c>
    </row>
    <row r="864" spans="1:10" ht="12" customHeight="1" x14ac:dyDescent="0.25">
      <c r="A864" s="43">
        <v>45051</v>
      </c>
      <c r="B864" s="47">
        <v>15426</v>
      </c>
      <c r="C864" s="44" t="s">
        <v>501</v>
      </c>
      <c r="D864" s="45">
        <v>-4.3</v>
      </c>
      <c r="E864" s="48" t="s">
        <v>299</v>
      </c>
      <c r="F864" s="48" t="s">
        <v>90</v>
      </c>
      <c r="G864" s="48" t="s">
        <v>305</v>
      </c>
      <c r="I864" s="44" t="s">
        <v>731</v>
      </c>
      <c r="J864" s="44">
        <f>YEAR(A864)</f>
        <v>2023</v>
      </c>
    </row>
    <row r="865" spans="1:10" ht="12" customHeight="1" x14ac:dyDescent="0.25">
      <c r="A865" s="43">
        <v>45055</v>
      </c>
      <c r="B865" s="47">
        <v>15427</v>
      </c>
      <c r="C865" s="44" t="s">
        <v>480</v>
      </c>
      <c r="D865" s="45">
        <v>-20.32</v>
      </c>
      <c r="E865" s="48" t="s">
        <v>299</v>
      </c>
      <c r="F865" s="48" t="s">
        <v>90</v>
      </c>
      <c r="G865" s="48" t="s">
        <v>305</v>
      </c>
      <c r="I865" s="44" t="s">
        <v>731</v>
      </c>
      <c r="J865" s="44">
        <f>YEAR(A865)</f>
        <v>2023</v>
      </c>
    </row>
    <row r="866" spans="1:10" ht="12" customHeight="1" x14ac:dyDescent="0.25">
      <c r="A866" s="43">
        <v>45055</v>
      </c>
      <c r="B866" s="47">
        <v>15427</v>
      </c>
      <c r="C866" s="44" t="s">
        <v>480</v>
      </c>
      <c r="D866" s="45">
        <v>20.32</v>
      </c>
      <c r="E866" s="48" t="s">
        <v>145</v>
      </c>
      <c r="F866" s="48" t="s">
        <v>128</v>
      </c>
      <c r="G866" s="48" t="s">
        <v>115</v>
      </c>
      <c r="J866" s="44">
        <f>YEAR(A866)</f>
        <v>2023</v>
      </c>
    </row>
    <row r="867" spans="1:10" ht="12" customHeight="1" x14ac:dyDescent="0.25">
      <c r="A867" s="43">
        <v>45055</v>
      </c>
      <c r="B867" s="47">
        <v>15428</v>
      </c>
      <c r="C867" s="44" t="s">
        <v>475</v>
      </c>
      <c r="D867" s="45">
        <v>-19.420000000000002</v>
      </c>
      <c r="E867" s="48" t="s">
        <v>299</v>
      </c>
      <c r="F867" s="48" t="s">
        <v>90</v>
      </c>
      <c r="G867" s="48" t="s">
        <v>305</v>
      </c>
      <c r="I867" s="44" t="s">
        <v>731</v>
      </c>
      <c r="J867" s="44">
        <f>YEAR(A867)</f>
        <v>2023</v>
      </c>
    </row>
    <row r="868" spans="1:10" ht="12" customHeight="1" x14ac:dyDescent="0.25">
      <c r="A868" s="43">
        <v>45055</v>
      </c>
      <c r="B868" s="47">
        <v>15428</v>
      </c>
      <c r="C868" s="44" t="s">
        <v>475</v>
      </c>
      <c r="D868" s="45">
        <v>19.420000000000002</v>
      </c>
      <c r="E868" s="48" t="s">
        <v>89</v>
      </c>
      <c r="F868" s="48" t="s">
        <v>90</v>
      </c>
      <c r="G868" s="48" t="s">
        <v>91</v>
      </c>
      <c r="J868" s="44">
        <f>YEAR(A868)</f>
        <v>2023</v>
      </c>
    </row>
    <row r="869" spans="1:10" ht="12" customHeight="1" x14ac:dyDescent="0.25">
      <c r="A869" s="43">
        <v>45055</v>
      </c>
      <c r="B869" s="47">
        <v>15429</v>
      </c>
      <c r="C869" s="44" t="s">
        <v>554</v>
      </c>
      <c r="D869" s="45">
        <v>-14.91</v>
      </c>
      <c r="E869" s="48" t="s">
        <v>299</v>
      </c>
      <c r="F869" s="48" t="s">
        <v>90</v>
      </c>
      <c r="G869" s="48" t="s">
        <v>305</v>
      </c>
      <c r="I869" s="44" t="s">
        <v>731</v>
      </c>
      <c r="J869" s="44">
        <f>YEAR(A869)</f>
        <v>2023</v>
      </c>
    </row>
    <row r="870" spans="1:10" ht="12" customHeight="1" x14ac:dyDescent="0.25">
      <c r="A870" s="43">
        <v>45055</v>
      </c>
      <c r="B870" s="47">
        <v>15429</v>
      </c>
      <c r="C870" s="44" t="s">
        <v>554</v>
      </c>
      <c r="D870" s="45">
        <v>14.91</v>
      </c>
      <c r="E870" s="48" t="s">
        <v>89</v>
      </c>
      <c r="F870" s="48" t="s">
        <v>90</v>
      </c>
      <c r="G870" s="48" t="s">
        <v>91</v>
      </c>
      <c r="J870" s="44">
        <f>YEAR(A870)</f>
        <v>2023</v>
      </c>
    </row>
    <row r="871" spans="1:10" ht="12" customHeight="1" x14ac:dyDescent="0.25">
      <c r="A871" s="43">
        <v>45055</v>
      </c>
      <c r="B871" s="47">
        <v>15430</v>
      </c>
      <c r="C871" s="44" t="s">
        <v>476</v>
      </c>
      <c r="D871" s="45">
        <v>-16.2</v>
      </c>
      <c r="E871" s="48" t="s">
        <v>299</v>
      </c>
      <c r="F871" s="48" t="s">
        <v>90</v>
      </c>
      <c r="G871" s="48" t="s">
        <v>305</v>
      </c>
      <c r="I871" s="44" t="s">
        <v>731</v>
      </c>
      <c r="J871" s="44">
        <f>YEAR(A871)</f>
        <v>2023</v>
      </c>
    </row>
    <row r="872" spans="1:10" ht="12" customHeight="1" x14ac:dyDescent="0.25">
      <c r="A872" s="43">
        <v>45055</v>
      </c>
      <c r="B872" s="47">
        <v>15430</v>
      </c>
      <c r="C872" s="44" t="s">
        <v>476</v>
      </c>
      <c r="D872" s="45">
        <v>16.2</v>
      </c>
      <c r="E872" s="48" t="s">
        <v>145</v>
      </c>
      <c r="F872" s="48" t="s">
        <v>128</v>
      </c>
      <c r="G872" s="48" t="s">
        <v>115</v>
      </c>
      <c r="J872" s="44">
        <f>YEAR(A872)</f>
        <v>2023</v>
      </c>
    </row>
    <row r="873" spans="1:10" ht="12" customHeight="1" x14ac:dyDescent="0.25">
      <c r="A873" s="43">
        <v>45055</v>
      </c>
      <c r="B873" s="47">
        <v>15431</v>
      </c>
      <c r="C873" s="44" t="s">
        <v>568</v>
      </c>
      <c r="D873" s="45">
        <v>-34.979999999999997</v>
      </c>
      <c r="E873" s="48" t="s">
        <v>299</v>
      </c>
      <c r="F873" s="48" t="s">
        <v>90</v>
      </c>
      <c r="G873" s="48" t="s">
        <v>305</v>
      </c>
      <c r="I873" s="44" t="s">
        <v>731</v>
      </c>
      <c r="J873" s="44">
        <f>YEAR(A873)</f>
        <v>2023</v>
      </c>
    </row>
    <row r="874" spans="1:10" ht="12" customHeight="1" x14ac:dyDescent="0.25">
      <c r="A874" s="43">
        <v>45055</v>
      </c>
      <c r="B874" s="47">
        <v>15431</v>
      </c>
      <c r="C874" s="44" t="s">
        <v>568</v>
      </c>
      <c r="D874" s="45">
        <v>34.979999999999997</v>
      </c>
      <c r="E874" s="48" t="s">
        <v>89</v>
      </c>
      <c r="F874" s="48" t="s">
        <v>90</v>
      </c>
      <c r="G874" s="48" t="s">
        <v>91</v>
      </c>
      <c r="J874" s="44">
        <f>YEAR(A874)</f>
        <v>2023</v>
      </c>
    </row>
    <row r="875" spans="1:10" ht="12" customHeight="1" x14ac:dyDescent="0.25">
      <c r="A875" s="43">
        <v>45055</v>
      </c>
      <c r="B875" s="47">
        <v>15432</v>
      </c>
      <c r="C875" s="44" t="s">
        <v>446</v>
      </c>
      <c r="D875" s="45">
        <v>-44.92</v>
      </c>
      <c r="E875" s="48" t="s">
        <v>299</v>
      </c>
      <c r="F875" s="48" t="s">
        <v>90</v>
      </c>
      <c r="G875" s="48" t="s">
        <v>305</v>
      </c>
      <c r="I875" s="44" t="s">
        <v>731</v>
      </c>
      <c r="J875" s="44">
        <f>YEAR(A875)</f>
        <v>2023</v>
      </c>
    </row>
    <row r="876" spans="1:10" ht="12" customHeight="1" x14ac:dyDescent="0.25">
      <c r="A876" s="43">
        <v>45055</v>
      </c>
      <c r="B876" s="47">
        <v>15432</v>
      </c>
      <c r="C876" s="44" t="s">
        <v>446</v>
      </c>
      <c r="D876" s="45">
        <v>44.92</v>
      </c>
      <c r="E876" s="48" t="s">
        <v>89</v>
      </c>
      <c r="F876" s="48" t="s">
        <v>90</v>
      </c>
      <c r="G876" s="48" t="s">
        <v>91</v>
      </c>
      <c r="J876" s="44">
        <f>YEAR(A876)</f>
        <v>2023</v>
      </c>
    </row>
    <row r="877" spans="1:10" ht="12" customHeight="1" x14ac:dyDescent="0.25">
      <c r="A877" s="43">
        <v>45055</v>
      </c>
      <c r="B877" s="47">
        <v>15433</v>
      </c>
      <c r="C877" s="44" t="s">
        <v>446</v>
      </c>
      <c r="D877" s="45">
        <v>2.29</v>
      </c>
      <c r="E877" s="48" t="s">
        <v>89</v>
      </c>
      <c r="F877" s="48" t="s">
        <v>90</v>
      </c>
      <c r="G877" s="48" t="s">
        <v>91</v>
      </c>
      <c r="J877" s="44">
        <f>YEAR(A877)</f>
        <v>2023</v>
      </c>
    </row>
    <row r="878" spans="1:10" ht="12" customHeight="1" x14ac:dyDescent="0.25">
      <c r="A878" s="43">
        <v>45055</v>
      </c>
      <c r="B878" s="47">
        <v>15433</v>
      </c>
      <c r="C878" s="44" t="s">
        <v>446</v>
      </c>
      <c r="D878" s="45">
        <v>-2.29</v>
      </c>
      <c r="E878" s="48" t="s">
        <v>299</v>
      </c>
      <c r="F878" s="48" t="s">
        <v>90</v>
      </c>
      <c r="G878" s="48" t="s">
        <v>305</v>
      </c>
      <c r="I878" s="44" t="s">
        <v>731</v>
      </c>
      <c r="J878" s="44">
        <f>YEAR(A878)</f>
        <v>2023</v>
      </c>
    </row>
    <row r="879" spans="1:10" ht="12" customHeight="1" x14ac:dyDescent="0.25">
      <c r="A879" s="43">
        <v>45062</v>
      </c>
      <c r="B879" s="47">
        <v>15434</v>
      </c>
      <c r="C879" s="44" t="s">
        <v>647</v>
      </c>
      <c r="D879" s="45">
        <v>75</v>
      </c>
      <c r="E879" s="48" t="s">
        <v>197</v>
      </c>
      <c r="F879" s="48" t="s">
        <v>90</v>
      </c>
      <c r="G879" s="48" t="s">
        <v>99</v>
      </c>
      <c r="J879" s="44">
        <f>YEAR(A879)</f>
        <v>2023</v>
      </c>
    </row>
    <row r="880" spans="1:10" ht="12" customHeight="1" x14ac:dyDescent="0.25">
      <c r="A880" s="43">
        <v>45062</v>
      </c>
      <c r="B880" s="47">
        <v>15434</v>
      </c>
      <c r="C880" s="44" t="s">
        <v>647</v>
      </c>
      <c r="D880" s="45">
        <v>-75</v>
      </c>
      <c r="E880" s="48" t="s">
        <v>299</v>
      </c>
      <c r="F880" s="48" t="s">
        <v>90</v>
      </c>
      <c r="G880" s="48" t="s">
        <v>91</v>
      </c>
      <c r="H880" s="44" t="s">
        <v>402</v>
      </c>
      <c r="I880" s="44" t="s">
        <v>987</v>
      </c>
      <c r="J880" s="44">
        <f>YEAR(A880)</f>
        <v>2023</v>
      </c>
    </row>
    <row r="881" spans="1:10" ht="12" customHeight="1" x14ac:dyDescent="0.25">
      <c r="A881" s="43">
        <v>45061</v>
      </c>
      <c r="B881" s="47">
        <v>15435</v>
      </c>
      <c r="C881" s="44" t="s">
        <v>448</v>
      </c>
      <c r="D881" s="45">
        <v>109.7</v>
      </c>
      <c r="E881" s="48" t="s">
        <v>180</v>
      </c>
      <c r="F881" s="48" t="s">
        <v>90</v>
      </c>
      <c r="G881" s="48" t="s">
        <v>91</v>
      </c>
      <c r="J881" s="44">
        <f>YEAR(A881)</f>
        <v>2023</v>
      </c>
    </row>
    <row r="882" spans="1:10" ht="12" customHeight="1" x14ac:dyDescent="0.25">
      <c r="A882" s="43">
        <v>45058</v>
      </c>
      <c r="B882" s="47">
        <v>15435</v>
      </c>
      <c r="C882" s="44" t="s">
        <v>480</v>
      </c>
      <c r="D882" s="45">
        <v>26.53</v>
      </c>
      <c r="E882" s="48" t="s">
        <v>145</v>
      </c>
      <c r="F882" s="48" t="s">
        <v>128</v>
      </c>
      <c r="G882" s="48" t="s">
        <v>115</v>
      </c>
      <c r="J882" s="44">
        <f>YEAR(A882)</f>
        <v>2023</v>
      </c>
    </row>
    <row r="883" spans="1:10" ht="12" customHeight="1" x14ac:dyDescent="0.25">
      <c r="A883" s="43">
        <v>45058</v>
      </c>
      <c r="B883" s="47">
        <v>15435</v>
      </c>
      <c r="C883" s="44" t="s">
        <v>480</v>
      </c>
      <c r="D883" s="45">
        <v>1.8</v>
      </c>
      <c r="E883" s="48" t="s">
        <v>89</v>
      </c>
      <c r="F883" s="48" t="s">
        <v>90</v>
      </c>
      <c r="G883" s="48" t="s">
        <v>91</v>
      </c>
      <c r="J883" s="44">
        <f>YEAR(A883)</f>
        <v>2023</v>
      </c>
    </row>
    <row r="884" spans="1:10" ht="12" customHeight="1" x14ac:dyDescent="0.25">
      <c r="A884" s="43">
        <v>45058</v>
      </c>
      <c r="B884" s="47">
        <v>15435</v>
      </c>
      <c r="C884" s="44" t="s">
        <v>480</v>
      </c>
      <c r="D884" s="45">
        <v>17.899999999999999</v>
      </c>
      <c r="E884" s="48" t="s">
        <v>197</v>
      </c>
      <c r="F884" s="48" t="s">
        <v>96</v>
      </c>
      <c r="G884" s="48" t="s">
        <v>91</v>
      </c>
      <c r="J884" s="44">
        <f>YEAR(A884)</f>
        <v>2023</v>
      </c>
    </row>
    <row r="885" spans="1:10" ht="12" customHeight="1" x14ac:dyDescent="0.25">
      <c r="A885" s="43">
        <v>45058</v>
      </c>
      <c r="B885" s="47">
        <v>15435</v>
      </c>
      <c r="C885" s="44" t="s">
        <v>480</v>
      </c>
      <c r="D885" s="45">
        <v>28.77</v>
      </c>
      <c r="E885" s="48" t="s">
        <v>89</v>
      </c>
      <c r="F885" s="48" t="s">
        <v>101</v>
      </c>
      <c r="G885" s="48" t="s">
        <v>91</v>
      </c>
      <c r="J885" s="44">
        <f>YEAR(A885)</f>
        <v>2023</v>
      </c>
    </row>
    <row r="886" spans="1:10" ht="12" customHeight="1" x14ac:dyDescent="0.25">
      <c r="A886" s="43">
        <v>45058</v>
      </c>
      <c r="B886" s="47">
        <v>15435</v>
      </c>
      <c r="C886" s="44" t="s">
        <v>480</v>
      </c>
      <c r="D886" s="45">
        <v>15</v>
      </c>
      <c r="E886" s="48" t="s">
        <v>105</v>
      </c>
      <c r="F886" s="48" t="s">
        <v>90</v>
      </c>
      <c r="G886" s="48" t="s">
        <v>95</v>
      </c>
      <c r="J886" s="44">
        <f>YEAR(A886)</f>
        <v>2023</v>
      </c>
    </row>
    <row r="887" spans="1:10" ht="12" customHeight="1" x14ac:dyDescent="0.25">
      <c r="A887" s="43">
        <v>45058</v>
      </c>
      <c r="B887" s="47">
        <v>15435</v>
      </c>
      <c r="C887" s="44" t="s">
        <v>480</v>
      </c>
      <c r="D887" s="45">
        <v>-90</v>
      </c>
      <c r="E887" s="48" t="s">
        <v>299</v>
      </c>
      <c r="F887" s="48" t="s">
        <v>90</v>
      </c>
      <c r="G887" s="48" t="s">
        <v>305</v>
      </c>
      <c r="I887" s="44" t="s">
        <v>731</v>
      </c>
      <c r="J887" s="44">
        <f>YEAR(A887)</f>
        <v>2023</v>
      </c>
    </row>
    <row r="888" spans="1:10" ht="12" customHeight="1" x14ac:dyDescent="0.25">
      <c r="A888" s="43">
        <v>45061</v>
      </c>
      <c r="B888" s="47">
        <v>15435</v>
      </c>
      <c r="C888" s="44" t="s">
        <v>448</v>
      </c>
      <c r="D888" s="45">
        <v>-109.7</v>
      </c>
      <c r="E888" s="48" t="s">
        <v>299</v>
      </c>
      <c r="F888" s="48" t="s">
        <v>90</v>
      </c>
      <c r="G888" s="48" t="s">
        <v>91</v>
      </c>
      <c r="H888" s="44" t="s">
        <v>391</v>
      </c>
      <c r="I888" s="44" t="s">
        <v>733</v>
      </c>
      <c r="J888" s="44">
        <f>YEAR(A888)</f>
        <v>2023</v>
      </c>
    </row>
    <row r="889" spans="1:10" ht="12" customHeight="1" x14ac:dyDescent="0.25">
      <c r="A889" s="43">
        <v>45064</v>
      </c>
      <c r="B889" s="47">
        <v>15436</v>
      </c>
      <c r="C889" s="44" t="s">
        <v>706</v>
      </c>
      <c r="D889" s="45">
        <v>-251</v>
      </c>
      <c r="E889" s="48" t="s">
        <v>299</v>
      </c>
      <c r="F889" s="48" t="s">
        <v>90</v>
      </c>
      <c r="G889" s="48" t="s">
        <v>91</v>
      </c>
      <c r="H889" s="44" t="s">
        <v>402</v>
      </c>
      <c r="I889" s="44" t="s">
        <v>785</v>
      </c>
      <c r="J889" s="44">
        <f>YEAR(A889)</f>
        <v>2023</v>
      </c>
    </row>
    <row r="890" spans="1:10" ht="12" customHeight="1" x14ac:dyDescent="0.25">
      <c r="A890" s="43">
        <v>45064</v>
      </c>
      <c r="B890" s="47">
        <v>15436</v>
      </c>
      <c r="C890" s="44" t="s">
        <v>706</v>
      </c>
      <c r="D890" s="45">
        <v>251</v>
      </c>
      <c r="E890" s="48" t="s">
        <v>110</v>
      </c>
      <c r="F890" s="48" t="s">
        <v>96</v>
      </c>
      <c r="G890" s="48" t="s">
        <v>115</v>
      </c>
      <c r="J890" s="44">
        <f>YEAR(A890)</f>
        <v>2023</v>
      </c>
    </row>
    <row r="891" spans="1:10" ht="12" customHeight="1" x14ac:dyDescent="0.25">
      <c r="A891" s="43">
        <v>45064</v>
      </c>
      <c r="B891" s="47">
        <v>15436</v>
      </c>
      <c r="C891" s="44" t="s">
        <v>707</v>
      </c>
      <c r="D891" s="45">
        <v>46</v>
      </c>
      <c r="E891" s="48" t="s">
        <v>110</v>
      </c>
      <c r="F891" s="48" t="s">
        <v>96</v>
      </c>
      <c r="G891" s="48" t="s">
        <v>115</v>
      </c>
      <c r="J891" s="44">
        <f>YEAR(A891)</f>
        <v>2023</v>
      </c>
    </row>
    <row r="892" spans="1:10" ht="12" customHeight="1" x14ac:dyDescent="0.25">
      <c r="A892" s="43">
        <v>45064</v>
      </c>
      <c r="B892" s="47">
        <v>15436</v>
      </c>
      <c r="C892" s="44" t="s">
        <v>708</v>
      </c>
      <c r="D892" s="45">
        <v>50</v>
      </c>
      <c r="E892" s="48" t="s">
        <v>110</v>
      </c>
      <c r="F892" s="48" t="s">
        <v>96</v>
      </c>
      <c r="G892" s="48" t="s">
        <v>115</v>
      </c>
      <c r="J892" s="44">
        <f>YEAR(A892)</f>
        <v>2023</v>
      </c>
    </row>
    <row r="893" spans="1:10" ht="12" customHeight="1" x14ac:dyDescent="0.25">
      <c r="A893" s="43">
        <v>45059</v>
      </c>
      <c r="B893" s="47">
        <v>15436</v>
      </c>
      <c r="C893" s="44" t="s">
        <v>480</v>
      </c>
      <c r="D893" s="45">
        <v>7.35</v>
      </c>
      <c r="E893" s="48" t="s">
        <v>145</v>
      </c>
      <c r="F893" s="48" t="s">
        <v>128</v>
      </c>
      <c r="G893" s="48" t="s">
        <v>115</v>
      </c>
      <c r="J893" s="44">
        <f>YEAR(A893)</f>
        <v>2023</v>
      </c>
    </row>
    <row r="894" spans="1:10" ht="12" customHeight="1" x14ac:dyDescent="0.25">
      <c r="A894" s="43">
        <v>45059</v>
      </c>
      <c r="B894" s="47">
        <v>15436</v>
      </c>
      <c r="C894" s="44" t="s">
        <v>480</v>
      </c>
      <c r="D894" s="45">
        <v>-7.35</v>
      </c>
      <c r="E894" s="48" t="s">
        <v>299</v>
      </c>
      <c r="F894" s="48" t="s">
        <v>90</v>
      </c>
      <c r="G894" s="48" t="s">
        <v>305</v>
      </c>
      <c r="I894" s="44" t="s">
        <v>731</v>
      </c>
      <c r="J894" s="44">
        <f>YEAR(A894)</f>
        <v>2023</v>
      </c>
    </row>
    <row r="895" spans="1:10" ht="12" customHeight="1" x14ac:dyDescent="0.25">
      <c r="A895" s="43">
        <v>45064</v>
      </c>
      <c r="B895" s="47">
        <v>15436</v>
      </c>
      <c r="C895" s="44" t="s">
        <v>708</v>
      </c>
      <c r="D895" s="45">
        <v>-50</v>
      </c>
      <c r="E895" s="48" t="s">
        <v>299</v>
      </c>
      <c r="F895" s="48" t="s">
        <v>90</v>
      </c>
      <c r="G895" s="48" t="s">
        <v>91</v>
      </c>
      <c r="H895" s="44" t="s">
        <v>402</v>
      </c>
      <c r="I895" s="44" t="s">
        <v>785</v>
      </c>
      <c r="J895" s="44">
        <f>YEAR(A895)</f>
        <v>2023</v>
      </c>
    </row>
    <row r="896" spans="1:10" ht="12" customHeight="1" x14ac:dyDescent="0.25">
      <c r="A896" s="43">
        <v>45064</v>
      </c>
      <c r="B896" s="47">
        <v>15436</v>
      </c>
      <c r="C896" s="44" t="s">
        <v>707</v>
      </c>
      <c r="D896" s="45">
        <v>-46</v>
      </c>
      <c r="E896" s="48" t="s">
        <v>299</v>
      </c>
      <c r="F896" s="48" t="s">
        <v>90</v>
      </c>
      <c r="G896" s="48" t="s">
        <v>91</v>
      </c>
      <c r="H896" s="44" t="s">
        <v>402</v>
      </c>
      <c r="I896" s="44" t="s">
        <v>785</v>
      </c>
      <c r="J896" s="44">
        <f>YEAR(A896)</f>
        <v>2023</v>
      </c>
    </row>
    <row r="897" spans="1:10" ht="12" customHeight="1" x14ac:dyDescent="0.25">
      <c r="A897" s="43">
        <v>45073</v>
      </c>
      <c r="B897" s="47">
        <v>15437</v>
      </c>
      <c r="C897" s="44" t="s">
        <v>511</v>
      </c>
      <c r="D897" s="45">
        <v>-93.38</v>
      </c>
      <c r="E897" s="48" t="s">
        <v>299</v>
      </c>
      <c r="F897" s="48" t="s">
        <v>90</v>
      </c>
      <c r="G897" s="48" t="s">
        <v>91</v>
      </c>
      <c r="H897" s="44">
        <v>4005</v>
      </c>
      <c r="I897" s="44" t="s">
        <v>733</v>
      </c>
      <c r="J897" s="44">
        <f>YEAR(A897)</f>
        <v>2023</v>
      </c>
    </row>
    <row r="898" spans="1:10" ht="12" customHeight="1" x14ac:dyDescent="0.25">
      <c r="A898" s="43">
        <v>45073</v>
      </c>
      <c r="B898" s="47">
        <v>15437</v>
      </c>
      <c r="C898" s="44" t="s">
        <v>511</v>
      </c>
      <c r="D898" s="45">
        <v>93.38</v>
      </c>
      <c r="E898" s="48" t="s">
        <v>197</v>
      </c>
      <c r="F898" s="48" t="s">
        <v>90</v>
      </c>
      <c r="G898" s="48" t="s">
        <v>107</v>
      </c>
      <c r="J898" s="44">
        <f>YEAR(A898)</f>
        <v>2023</v>
      </c>
    </row>
    <row r="899" spans="1:10" ht="12" customHeight="1" x14ac:dyDescent="0.25">
      <c r="A899" s="43">
        <v>45059</v>
      </c>
      <c r="B899" s="47">
        <v>15437</v>
      </c>
      <c r="C899" s="44" t="s">
        <v>477</v>
      </c>
      <c r="D899" s="45">
        <v>14.86</v>
      </c>
      <c r="E899" s="48" t="s">
        <v>197</v>
      </c>
      <c r="F899" s="48" t="s">
        <v>96</v>
      </c>
      <c r="G899" s="48" t="s">
        <v>91</v>
      </c>
      <c r="J899" s="44">
        <f>YEAR(A899)</f>
        <v>2023</v>
      </c>
    </row>
    <row r="900" spans="1:10" ht="12" customHeight="1" x14ac:dyDescent="0.25">
      <c r="A900" s="43">
        <v>45059</v>
      </c>
      <c r="B900" s="47">
        <v>15437</v>
      </c>
      <c r="C900" s="44" t="s">
        <v>477</v>
      </c>
      <c r="D900" s="45">
        <v>-14.86</v>
      </c>
      <c r="E900" s="48" t="s">
        <v>299</v>
      </c>
      <c r="F900" s="48" t="s">
        <v>90</v>
      </c>
      <c r="G900" s="48" t="s">
        <v>305</v>
      </c>
      <c r="I900" s="44" t="s">
        <v>731</v>
      </c>
      <c r="J900" s="44">
        <f>YEAR(A900)</f>
        <v>2023</v>
      </c>
    </row>
    <row r="901" spans="1:10" ht="12" customHeight="1" x14ac:dyDescent="0.25">
      <c r="A901" s="43">
        <v>45051</v>
      </c>
      <c r="B901" s="47">
        <v>15438</v>
      </c>
      <c r="C901" s="44" t="s">
        <v>417</v>
      </c>
      <c r="D901" s="45">
        <v>2082.5300000000002</v>
      </c>
      <c r="E901" s="48" t="s">
        <v>299</v>
      </c>
      <c r="F901" s="48" t="s">
        <v>90</v>
      </c>
      <c r="G901" s="48" t="s">
        <v>305</v>
      </c>
      <c r="I901" s="44" t="s">
        <v>711</v>
      </c>
      <c r="J901" s="44">
        <f>YEAR(A901)</f>
        <v>2023</v>
      </c>
    </row>
    <row r="902" spans="1:10" ht="12" customHeight="1" x14ac:dyDescent="0.25">
      <c r="A902" s="43">
        <v>45051</v>
      </c>
      <c r="B902" s="47">
        <v>15438</v>
      </c>
      <c r="C902" s="44" t="s">
        <v>417</v>
      </c>
      <c r="D902" s="45">
        <v>-2082.5300000000002</v>
      </c>
      <c r="E902" s="48" t="s">
        <v>299</v>
      </c>
      <c r="F902" s="48" t="s">
        <v>90</v>
      </c>
      <c r="G902" s="48" t="s">
        <v>91</v>
      </c>
      <c r="I902" s="44" t="s">
        <v>710</v>
      </c>
      <c r="J902" s="44">
        <f>YEAR(A902)</f>
        <v>2023</v>
      </c>
    </row>
    <row r="903" spans="1:10" ht="12" customHeight="1" x14ac:dyDescent="0.25">
      <c r="A903" s="43">
        <v>45059</v>
      </c>
      <c r="B903" s="47">
        <v>15438</v>
      </c>
      <c r="C903" s="44" t="s">
        <v>446</v>
      </c>
      <c r="D903" s="45">
        <v>25.41</v>
      </c>
      <c r="E903" s="48" t="s">
        <v>89</v>
      </c>
      <c r="F903" s="48" t="s">
        <v>90</v>
      </c>
      <c r="G903" s="48" t="s">
        <v>91</v>
      </c>
      <c r="J903" s="44">
        <f>YEAR(A903)</f>
        <v>2023</v>
      </c>
    </row>
    <row r="904" spans="1:10" ht="12" customHeight="1" x14ac:dyDescent="0.25">
      <c r="A904" s="43">
        <v>45059</v>
      </c>
      <c r="B904" s="47">
        <v>15438</v>
      </c>
      <c r="C904" s="44" t="s">
        <v>446</v>
      </c>
      <c r="D904" s="45">
        <v>-25.41</v>
      </c>
      <c r="E904" s="48" t="s">
        <v>299</v>
      </c>
      <c r="F904" s="48" t="s">
        <v>90</v>
      </c>
      <c r="G904" s="48" t="s">
        <v>305</v>
      </c>
      <c r="I904" s="44" t="s">
        <v>731</v>
      </c>
      <c r="J904" s="44">
        <f>YEAR(A904)</f>
        <v>2023</v>
      </c>
    </row>
    <row r="905" spans="1:10" ht="12" customHeight="1" x14ac:dyDescent="0.25">
      <c r="A905" s="43">
        <v>45048</v>
      </c>
      <c r="B905" s="47">
        <v>15439</v>
      </c>
      <c r="C905" s="44" t="s">
        <v>409</v>
      </c>
      <c r="D905" s="45">
        <v>-3300</v>
      </c>
      <c r="E905" s="48" t="s">
        <v>214</v>
      </c>
      <c r="F905" s="48" t="s">
        <v>90</v>
      </c>
      <c r="G905" s="48" t="s">
        <v>107</v>
      </c>
      <c r="J905" s="44">
        <f>YEAR(A905)</f>
        <v>2023</v>
      </c>
    </row>
    <row r="906" spans="1:10" ht="12" customHeight="1" x14ac:dyDescent="0.25">
      <c r="A906" s="43">
        <v>45048</v>
      </c>
      <c r="B906" s="47">
        <v>15439</v>
      </c>
      <c r="C906" s="44" t="s">
        <v>409</v>
      </c>
      <c r="D906" s="45">
        <v>3300</v>
      </c>
      <c r="E906" s="48" t="s">
        <v>299</v>
      </c>
      <c r="F906" s="48" t="s">
        <v>90</v>
      </c>
      <c r="G906" s="48" t="s">
        <v>91</v>
      </c>
      <c r="H906" s="44" t="s">
        <v>398</v>
      </c>
      <c r="I906" s="44" t="s">
        <v>712</v>
      </c>
      <c r="J906" s="44">
        <f>YEAR(A906)</f>
        <v>2023</v>
      </c>
    </row>
    <row r="907" spans="1:10" ht="12" customHeight="1" x14ac:dyDescent="0.25">
      <c r="A907" s="43">
        <v>45060</v>
      </c>
      <c r="B907" s="47">
        <v>15439</v>
      </c>
      <c r="C907" s="44" t="s">
        <v>464</v>
      </c>
      <c r="D907" s="45">
        <v>19.59</v>
      </c>
      <c r="E907" s="48" t="s">
        <v>89</v>
      </c>
      <c r="F907" s="48" t="s">
        <v>90</v>
      </c>
      <c r="G907" s="48" t="s">
        <v>91</v>
      </c>
      <c r="J907" s="44">
        <f>YEAR(A907)</f>
        <v>2023</v>
      </c>
    </row>
    <row r="908" spans="1:10" ht="12" customHeight="1" x14ac:dyDescent="0.25">
      <c r="A908" s="43">
        <v>45060</v>
      </c>
      <c r="B908" s="47">
        <v>15439</v>
      </c>
      <c r="C908" s="44" t="s">
        <v>464</v>
      </c>
      <c r="D908" s="45">
        <v>-19.59</v>
      </c>
      <c r="E908" s="48" t="s">
        <v>299</v>
      </c>
      <c r="F908" s="48" t="s">
        <v>90</v>
      </c>
      <c r="G908" s="48" t="s">
        <v>305</v>
      </c>
      <c r="I908" s="44" t="s">
        <v>731</v>
      </c>
      <c r="J908" s="44">
        <f>YEAR(A908)</f>
        <v>2023</v>
      </c>
    </row>
    <row r="909" spans="1:10" ht="12" customHeight="1" x14ac:dyDescent="0.25">
      <c r="A909" s="43">
        <v>45034</v>
      </c>
      <c r="B909" s="47">
        <v>15440</v>
      </c>
      <c r="C909" s="44" t="s">
        <v>390</v>
      </c>
      <c r="D909" s="45">
        <v>6.3</v>
      </c>
      <c r="E909" s="48" t="s">
        <v>124</v>
      </c>
      <c r="F909" s="48" t="s">
        <v>128</v>
      </c>
      <c r="G909" s="48" t="s">
        <v>91</v>
      </c>
      <c r="J909" s="44">
        <f>YEAR(A909)</f>
        <v>2023</v>
      </c>
    </row>
    <row r="910" spans="1:10" ht="12" customHeight="1" x14ac:dyDescent="0.25">
      <c r="A910" s="43">
        <v>45034</v>
      </c>
      <c r="B910" s="47">
        <v>15440</v>
      </c>
      <c r="C910" s="44" t="s">
        <v>390</v>
      </c>
      <c r="D910" s="45">
        <v>-6.3</v>
      </c>
      <c r="E910" s="48" t="s">
        <v>299</v>
      </c>
      <c r="F910" s="48" t="s">
        <v>90</v>
      </c>
      <c r="G910" s="48" t="s">
        <v>91</v>
      </c>
      <c r="H910" s="44" t="s">
        <v>391</v>
      </c>
      <c r="I910" s="44" t="s">
        <v>710</v>
      </c>
      <c r="J910" s="44">
        <f>YEAR(A910)</f>
        <v>2023</v>
      </c>
    </row>
    <row r="911" spans="1:10" ht="12" customHeight="1" x14ac:dyDescent="0.25">
      <c r="A911" s="43">
        <v>45034</v>
      </c>
      <c r="B911" s="47">
        <v>15440</v>
      </c>
      <c r="C911" s="44" t="s">
        <v>393</v>
      </c>
      <c r="D911" s="45">
        <v>16.100000000000001</v>
      </c>
      <c r="E911" s="48" t="s">
        <v>124</v>
      </c>
      <c r="F911" s="48" t="s">
        <v>128</v>
      </c>
      <c r="G911" s="48" t="s">
        <v>91</v>
      </c>
      <c r="J911" s="44">
        <f>YEAR(A911)</f>
        <v>2023</v>
      </c>
    </row>
    <row r="912" spans="1:10" ht="12" customHeight="1" x14ac:dyDescent="0.25">
      <c r="A912" s="43">
        <v>45034</v>
      </c>
      <c r="B912" s="47">
        <v>15440</v>
      </c>
      <c r="C912" s="44" t="s">
        <v>393</v>
      </c>
      <c r="D912" s="45">
        <v>-16.100000000000001</v>
      </c>
      <c r="E912" s="48" t="s">
        <v>299</v>
      </c>
      <c r="F912" s="48" t="s">
        <v>90</v>
      </c>
      <c r="G912" s="48" t="s">
        <v>91</v>
      </c>
      <c r="H912" s="44" t="s">
        <v>391</v>
      </c>
      <c r="I912" s="44" t="s">
        <v>710</v>
      </c>
      <c r="J912" s="44">
        <f>YEAR(A912)</f>
        <v>2023</v>
      </c>
    </row>
    <row r="913" spans="1:11" ht="12" customHeight="1" x14ac:dyDescent="0.25">
      <c r="A913" s="43">
        <v>45034</v>
      </c>
      <c r="B913" s="47">
        <v>15440</v>
      </c>
      <c r="C913" s="44" t="s">
        <v>394</v>
      </c>
      <c r="D913" s="45">
        <v>0.49</v>
      </c>
      <c r="E913" s="48" t="s">
        <v>124</v>
      </c>
      <c r="F913" s="48" t="s">
        <v>128</v>
      </c>
      <c r="G913" s="48" t="s">
        <v>91</v>
      </c>
      <c r="J913" s="44">
        <f>YEAR(A913)</f>
        <v>2023</v>
      </c>
    </row>
    <row r="914" spans="1:11" ht="12" customHeight="1" x14ac:dyDescent="0.25">
      <c r="A914" s="43">
        <v>45034</v>
      </c>
      <c r="B914" s="47">
        <v>15440</v>
      </c>
      <c r="C914" s="44" t="s">
        <v>394</v>
      </c>
      <c r="D914" s="45">
        <v>-0.49</v>
      </c>
      <c r="E914" s="48" t="s">
        <v>299</v>
      </c>
      <c r="F914" s="48" t="s">
        <v>90</v>
      </c>
      <c r="G914" s="48" t="s">
        <v>91</v>
      </c>
      <c r="H914" s="44" t="s">
        <v>391</v>
      </c>
      <c r="I914" s="44" t="s">
        <v>710</v>
      </c>
      <c r="J914" s="44">
        <f>YEAR(A914)</f>
        <v>2023</v>
      </c>
    </row>
    <row r="915" spans="1:11" ht="12" customHeight="1" x14ac:dyDescent="0.25">
      <c r="A915" s="43">
        <v>45034</v>
      </c>
      <c r="B915" s="47">
        <v>15440</v>
      </c>
      <c r="C915" s="44" t="s">
        <v>395</v>
      </c>
      <c r="D915" s="45">
        <v>0.7</v>
      </c>
      <c r="E915" s="48" t="s">
        <v>124</v>
      </c>
      <c r="F915" s="48" t="s">
        <v>128</v>
      </c>
      <c r="G915" s="48" t="s">
        <v>91</v>
      </c>
      <c r="J915" s="44">
        <f>YEAR(A915)</f>
        <v>2023</v>
      </c>
    </row>
    <row r="916" spans="1:11" ht="12" customHeight="1" x14ac:dyDescent="0.25">
      <c r="A916" s="43">
        <v>45034</v>
      </c>
      <c r="B916" s="47">
        <v>15440</v>
      </c>
      <c r="C916" s="44" t="s">
        <v>395</v>
      </c>
      <c r="D916" s="45">
        <v>-0.7</v>
      </c>
      <c r="E916" s="48" t="s">
        <v>299</v>
      </c>
      <c r="F916" s="48" t="s">
        <v>90</v>
      </c>
      <c r="G916" s="48" t="s">
        <v>91</v>
      </c>
      <c r="H916" s="44" t="s">
        <v>391</v>
      </c>
      <c r="I916" s="44" t="s">
        <v>710</v>
      </c>
      <c r="J916" s="44">
        <f>YEAR(A916)</f>
        <v>2023</v>
      </c>
    </row>
    <row r="917" spans="1:11" ht="12" customHeight="1" x14ac:dyDescent="0.25">
      <c r="A917" s="43">
        <v>45060</v>
      </c>
      <c r="B917" s="47">
        <v>15440</v>
      </c>
      <c r="C917" s="44" t="s">
        <v>464</v>
      </c>
      <c r="D917" s="45">
        <v>7.43</v>
      </c>
      <c r="E917" s="48" t="s">
        <v>89</v>
      </c>
      <c r="F917" s="48" t="s">
        <v>90</v>
      </c>
      <c r="G917" s="48" t="s">
        <v>91</v>
      </c>
      <c r="J917" s="44">
        <f>YEAR(A917)</f>
        <v>2023</v>
      </c>
    </row>
    <row r="918" spans="1:11" ht="12" customHeight="1" x14ac:dyDescent="0.25">
      <c r="A918" s="43">
        <v>45060</v>
      </c>
      <c r="B918" s="47">
        <v>15440</v>
      </c>
      <c r="C918" s="44" t="s">
        <v>464</v>
      </c>
      <c r="D918" s="45">
        <v>-7.43</v>
      </c>
      <c r="E918" s="48" t="s">
        <v>299</v>
      </c>
      <c r="F918" s="48" t="s">
        <v>90</v>
      </c>
      <c r="G918" s="48" t="s">
        <v>305</v>
      </c>
      <c r="I918" s="44" t="s">
        <v>731</v>
      </c>
      <c r="J918" s="44">
        <f>YEAR(A918)</f>
        <v>2023</v>
      </c>
    </row>
    <row r="919" spans="1:11" ht="12" customHeight="1" x14ac:dyDescent="0.25">
      <c r="A919" s="43">
        <v>45041</v>
      </c>
      <c r="B919" s="47">
        <v>15441</v>
      </c>
      <c r="C919" s="44" t="s">
        <v>396</v>
      </c>
      <c r="D919" s="45">
        <v>45.79</v>
      </c>
      <c r="E919" s="48" t="s">
        <v>157</v>
      </c>
      <c r="F919" s="48" t="s">
        <v>155</v>
      </c>
      <c r="G919" s="48" t="s">
        <v>94</v>
      </c>
      <c r="J919" s="44">
        <f>YEAR(A919)</f>
        <v>2023</v>
      </c>
    </row>
    <row r="920" spans="1:11" ht="12" customHeight="1" x14ac:dyDescent="0.25">
      <c r="A920" s="43">
        <v>45041</v>
      </c>
      <c r="B920" s="47">
        <v>15441</v>
      </c>
      <c r="C920" s="44" t="s">
        <v>396</v>
      </c>
      <c r="D920" s="45">
        <v>-45.79</v>
      </c>
      <c r="E920" s="48" t="s">
        <v>299</v>
      </c>
      <c r="F920" s="48" t="s">
        <v>90</v>
      </c>
      <c r="G920" s="48" t="s">
        <v>91</v>
      </c>
      <c r="H920" s="44" t="s">
        <v>391</v>
      </c>
      <c r="I920" s="44" t="s">
        <v>710</v>
      </c>
      <c r="J920" s="44">
        <f>YEAR(A920)</f>
        <v>2023</v>
      </c>
    </row>
    <row r="921" spans="1:11" ht="12" customHeight="1" x14ac:dyDescent="0.25">
      <c r="A921" s="43">
        <v>45060</v>
      </c>
      <c r="B921" s="47">
        <v>15441</v>
      </c>
      <c r="C921" s="44" t="s">
        <v>717</v>
      </c>
      <c r="D921" s="45">
        <v>22</v>
      </c>
      <c r="E921" s="48" t="s">
        <v>299</v>
      </c>
      <c r="F921" s="48" t="s">
        <v>321</v>
      </c>
      <c r="G921" s="48" t="s">
        <v>99</v>
      </c>
      <c r="J921" s="44">
        <f>YEAR(A921)</f>
        <v>2023</v>
      </c>
      <c r="K921" s="49" t="s">
        <v>718</v>
      </c>
    </row>
    <row r="922" spans="1:11" ht="12" customHeight="1" x14ac:dyDescent="0.25">
      <c r="A922" s="43">
        <v>45060</v>
      </c>
      <c r="B922" s="47">
        <v>15441</v>
      </c>
      <c r="C922" s="44" t="s">
        <v>717</v>
      </c>
      <c r="D922" s="45">
        <v>-55.1</v>
      </c>
      <c r="E922" s="48" t="s">
        <v>299</v>
      </c>
      <c r="F922" s="48" t="s">
        <v>90</v>
      </c>
      <c r="G922" s="48" t="s">
        <v>305</v>
      </c>
      <c r="I922" s="44" t="s">
        <v>731</v>
      </c>
      <c r="J922" s="44">
        <f>YEAR(A922)</f>
        <v>2023</v>
      </c>
    </row>
    <row r="923" spans="1:11" ht="12" customHeight="1" x14ac:dyDescent="0.25">
      <c r="A923" s="43">
        <v>45060</v>
      </c>
      <c r="B923" s="47">
        <v>15441</v>
      </c>
      <c r="C923" s="44" t="s">
        <v>717</v>
      </c>
      <c r="D923" s="45">
        <v>33.1</v>
      </c>
      <c r="E923" s="48" t="s">
        <v>89</v>
      </c>
      <c r="F923" s="48" t="s">
        <v>90</v>
      </c>
      <c r="G923" s="48" t="s">
        <v>91</v>
      </c>
      <c r="J923" s="44">
        <f>YEAR(A923)</f>
        <v>2023</v>
      </c>
    </row>
    <row r="924" spans="1:11" ht="12" customHeight="1" x14ac:dyDescent="0.25">
      <c r="A924" s="43">
        <v>45033</v>
      </c>
      <c r="B924" s="47">
        <v>15442</v>
      </c>
      <c r="C924" s="44" t="s">
        <v>397</v>
      </c>
      <c r="D924" s="45">
        <v>-800</v>
      </c>
      <c r="E924" s="48" t="s">
        <v>244</v>
      </c>
      <c r="F924" s="48" t="s">
        <v>90</v>
      </c>
      <c r="G924" s="48" t="s">
        <v>114</v>
      </c>
      <c r="J924" s="44">
        <f>YEAR(A924)</f>
        <v>2023</v>
      </c>
    </row>
    <row r="925" spans="1:11" ht="12" customHeight="1" x14ac:dyDescent="0.25">
      <c r="A925" s="43">
        <v>45033</v>
      </c>
      <c r="B925" s="47">
        <v>15442</v>
      </c>
      <c r="C925" s="44" t="s">
        <v>397</v>
      </c>
      <c r="D925" s="45">
        <v>800</v>
      </c>
      <c r="E925" s="48" t="s">
        <v>299</v>
      </c>
      <c r="F925" s="48" t="s">
        <v>90</v>
      </c>
      <c r="G925" s="48" t="s">
        <v>91</v>
      </c>
      <c r="H925" s="44" t="s">
        <v>398</v>
      </c>
      <c r="I925" s="44" t="s">
        <v>712</v>
      </c>
      <c r="J925" s="44">
        <f>YEAR(A925)</f>
        <v>2023</v>
      </c>
    </row>
    <row r="926" spans="1:11" ht="12" customHeight="1" x14ac:dyDescent="0.25">
      <c r="A926" s="43">
        <v>45060</v>
      </c>
      <c r="B926" s="47">
        <v>15442</v>
      </c>
      <c r="C926" s="44" t="s">
        <v>602</v>
      </c>
      <c r="D926" s="45">
        <v>0.7</v>
      </c>
      <c r="E926" s="48" t="s">
        <v>180</v>
      </c>
      <c r="F926" s="48" t="s">
        <v>90</v>
      </c>
      <c r="G926" s="48" t="s">
        <v>91</v>
      </c>
      <c r="H926" s="44" t="s">
        <v>442</v>
      </c>
      <c r="J926" s="44">
        <f>YEAR(A926)</f>
        <v>2023</v>
      </c>
    </row>
    <row r="927" spans="1:11" ht="12" customHeight="1" x14ac:dyDescent="0.25">
      <c r="A927" s="43">
        <v>45060</v>
      </c>
      <c r="B927" s="47">
        <v>15442</v>
      </c>
      <c r="C927" s="44" t="s">
        <v>602</v>
      </c>
      <c r="D927" s="45">
        <v>-0.7</v>
      </c>
      <c r="E927" s="48" t="s">
        <v>299</v>
      </c>
      <c r="F927" s="48" t="s">
        <v>90</v>
      </c>
      <c r="G927" s="48" t="s">
        <v>305</v>
      </c>
      <c r="I927" s="44" t="s">
        <v>731</v>
      </c>
      <c r="J927" s="44">
        <f>YEAR(A927)</f>
        <v>2023</v>
      </c>
    </row>
    <row r="928" spans="1:11" ht="12" customHeight="1" x14ac:dyDescent="0.25">
      <c r="A928" s="43">
        <v>45050</v>
      </c>
      <c r="B928" s="47">
        <v>15443</v>
      </c>
      <c r="C928" s="44" t="s">
        <v>399</v>
      </c>
      <c r="D928" s="45">
        <v>19.989999999999998</v>
      </c>
      <c r="E928" s="48" t="s">
        <v>157</v>
      </c>
      <c r="F928" s="48" t="s">
        <v>155</v>
      </c>
      <c r="G928" s="48" t="s">
        <v>98</v>
      </c>
      <c r="J928" s="44">
        <f>YEAR(A928)</f>
        <v>2023</v>
      </c>
    </row>
    <row r="929" spans="1:10" ht="12" customHeight="1" x14ac:dyDescent="0.25">
      <c r="A929" s="43">
        <v>45050</v>
      </c>
      <c r="B929" s="47">
        <v>15443</v>
      </c>
      <c r="C929" s="44" t="s">
        <v>399</v>
      </c>
      <c r="D929" s="45">
        <v>-19.989999999999998</v>
      </c>
      <c r="E929" s="48" t="s">
        <v>299</v>
      </c>
      <c r="F929" s="48" t="s">
        <v>90</v>
      </c>
      <c r="G929" s="48" t="s">
        <v>91</v>
      </c>
      <c r="H929" s="44" t="s">
        <v>391</v>
      </c>
      <c r="I929" s="44" t="s">
        <v>710</v>
      </c>
      <c r="J929" s="44">
        <f>YEAR(A929)</f>
        <v>2023</v>
      </c>
    </row>
    <row r="930" spans="1:10" ht="12" customHeight="1" x14ac:dyDescent="0.25">
      <c r="A930" s="43">
        <v>45050</v>
      </c>
      <c r="B930" s="47">
        <v>15443</v>
      </c>
      <c r="C930" s="44" t="s">
        <v>400</v>
      </c>
      <c r="D930" s="45">
        <v>19.989999999999998</v>
      </c>
      <c r="E930" s="48" t="s">
        <v>157</v>
      </c>
      <c r="F930" s="48" t="s">
        <v>155</v>
      </c>
      <c r="G930" s="48" t="s">
        <v>95</v>
      </c>
      <c r="J930" s="44">
        <f>YEAR(A930)</f>
        <v>2023</v>
      </c>
    </row>
    <row r="931" spans="1:10" ht="12" customHeight="1" x14ac:dyDescent="0.25">
      <c r="A931" s="43">
        <v>45050</v>
      </c>
      <c r="B931" s="47">
        <v>15443</v>
      </c>
      <c r="C931" s="44" t="s">
        <v>400</v>
      </c>
      <c r="D931" s="45">
        <v>-19.989999999999998</v>
      </c>
      <c r="E931" s="48" t="s">
        <v>299</v>
      </c>
      <c r="F931" s="48" t="s">
        <v>90</v>
      </c>
      <c r="G931" s="48" t="s">
        <v>91</v>
      </c>
      <c r="H931" s="44" t="s">
        <v>391</v>
      </c>
      <c r="I931" s="44" t="s">
        <v>710</v>
      </c>
      <c r="J931" s="44">
        <f>YEAR(A931)</f>
        <v>2023</v>
      </c>
    </row>
    <row r="932" spans="1:10" ht="12" customHeight="1" x14ac:dyDescent="0.25">
      <c r="A932" s="43">
        <v>45062</v>
      </c>
      <c r="B932" s="47">
        <v>15443</v>
      </c>
      <c r="C932" s="44" t="s">
        <v>493</v>
      </c>
      <c r="D932" s="45">
        <v>16.59</v>
      </c>
      <c r="E932" s="48" t="s">
        <v>89</v>
      </c>
      <c r="F932" s="48" t="s">
        <v>90</v>
      </c>
      <c r="G932" s="48" t="s">
        <v>91</v>
      </c>
      <c r="J932" s="44">
        <f>YEAR(A932)</f>
        <v>2023</v>
      </c>
    </row>
    <row r="933" spans="1:10" ht="12" customHeight="1" x14ac:dyDescent="0.25">
      <c r="A933" s="43">
        <v>45062</v>
      </c>
      <c r="B933" s="47">
        <v>15443</v>
      </c>
      <c r="C933" s="44" t="s">
        <v>493</v>
      </c>
      <c r="D933" s="45">
        <v>-16.59</v>
      </c>
      <c r="E933" s="48" t="s">
        <v>299</v>
      </c>
      <c r="F933" s="48" t="s">
        <v>90</v>
      </c>
      <c r="G933" s="48" t="s">
        <v>305</v>
      </c>
      <c r="I933" s="44" t="s">
        <v>731</v>
      </c>
      <c r="J933" s="44">
        <f>YEAR(A933)</f>
        <v>2023</v>
      </c>
    </row>
    <row r="934" spans="1:10" ht="12" customHeight="1" x14ac:dyDescent="0.25">
      <c r="A934" s="43">
        <v>45062</v>
      </c>
      <c r="B934" s="47">
        <v>15444</v>
      </c>
      <c r="C934" s="44" t="s">
        <v>444</v>
      </c>
      <c r="D934" s="45">
        <v>-31</v>
      </c>
      <c r="E934" s="48" t="s">
        <v>299</v>
      </c>
      <c r="F934" s="48" t="s">
        <v>90</v>
      </c>
      <c r="G934" s="48" t="s">
        <v>91</v>
      </c>
      <c r="H934" s="44" t="s">
        <v>459</v>
      </c>
      <c r="I934" s="44" t="s">
        <v>733</v>
      </c>
      <c r="J934" s="44">
        <f>YEAR(A934)</f>
        <v>2023</v>
      </c>
    </row>
    <row r="935" spans="1:10" ht="12" customHeight="1" x14ac:dyDescent="0.25">
      <c r="A935" s="43">
        <v>45033</v>
      </c>
      <c r="B935" s="47">
        <v>15444</v>
      </c>
      <c r="C935" s="44" t="s">
        <v>401</v>
      </c>
      <c r="D935" s="45">
        <v>238</v>
      </c>
      <c r="E935" s="48" t="s">
        <v>110</v>
      </c>
      <c r="F935" s="48" t="s">
        <v>90</v>
      </c>
      <c r="G935" s="48" t="s">
        <v>91</v>
      </c>
      <c r="J935" s="44">
        <f>YEAR(A935)</f>
        <v>2023</v>
      </c>
    </row>
    <row r="936" spans="1:10" ht="12" customHeight="1" x14ac:dyDescent="0.25">
      <c r="A936" s="43">
        <v>45033</v>
      </c>
      <c r="B936" s="47">
        <v>15444</v>
      </c>
      <c r="C936" s="44" t="s">
        <v>401</v>
      </c>
      <c r="D936" s="45">
        <v>-238</v>
      </c>
      <c r="E936" s="48" t="s">
        <v>299</v>
      </c>
      <c r="F936" s="48" t="s">
        <v>90</v>
      </c>
      <c r="G936" s="48" t="s">
        <v>91</v>
      </c>
      <c r="H936" s="44" t="s">
        <v>402</v>
      </c>
      <c r="I936" s="44" t="s">
        <v>710</v>
      </c>
      <c r="J936" s="44">
        <f>YEAR(A936)</f>
        <v>2023</v>
      </c>
    </row>
    <row r="937" spans="1:10" ht="12" customHeight="1" x14ac:dyDescent="0.25">
      <c r="A937" s="43">
        <v>45062</v>
      </c>
      <c r="B937" s="47">
        <v>15444</v>
      </c>
      <c r="C937" s="44" t="s">
        <v>444</v>
      </c>
      <c r="D937" s="45">
        <v>17.5</v>
      </c>
      <c r="E937" s="48" t="s">
        <v>89</v>
      </c>
      <c r="F937" s="48" t="s">
        <v>90</v>
      </c>
      <c r="G937" s="48" t="s">
        <v>91</v>
      </c>
      <c r="J937" s="44">
        <f>YEAR(A937)</f>
        <v>2023</v>
      </c>
    </row>
    <row r="938" spans="1:10" ht="12" customHeight="1" x14ac:dyDescent="0.25">
      <c r="A938" s="43">
        <v>45062</v>
      </c>
      <c r="B938" s="47">
        <v>15444</v>
      </c>
      <c r="C938" s="44" t="s">
        <v>444</v>
      </c>
      <c r="D938" s="45">
        <v>13.5</v>
      </c>
      <c r="E938" s="48" t="s">
        <v>89</v>
      </c>
      <c r="F938" s="48" t="s">
        <v>90</v>
      </c>
      <c r="G938" s="48" t="s">
        <v>91</v>
      </c>
      <c r="J938" s="44">
        <f>YEAR(A938)</f>
        <v>2023</v>
      </c>
    </row>
    <row r="939" spans="1:10" ht="12" customHeight="1" x14ac:dyDescent="0.25">
      <c r="A939" s="43">
        <v>45055</v>
      </c>
      <c r="B939" s="47">
        <v>15445</v>
      </c>
      <c r="C939" s="44" t="s">
        <v>225</v>
      </c>
      <c r="D939" s="45">
        <v>-41.5</v>
      </c>
      <c r="E939" s="48" t="s">
        <v>222</v>
      </c>
      <c r="F939" s="48" t="s">
        <v>90</v>
      </c>
      <c r="G939" s="48" t="s">
        <v>225</v>
      </c>
      <c r="J939" s="44">
        <f>YEAR(A939)</f>
        <v>2023</v>
      </c>
    </row>
    <row r="940" spans="1:10" ht="12" customHeight="1" x14ac:dyDescent="0.25">
      <c r="A940" s="43">
        <v>45055</v>
      </c>
      <c r="B940" s="47">
        <v>15445</v>
      </c>
      <c r="C940" s="44" t="s">
        <v>225</v>
      </c>
      <c r="D940" s="45">
        <v>41.5</v>
      </c>
      <c r="E940" s="48" t="s">
        <v>299</v>
      </c>
      <c r="F940" s="48" t="s">
        <v>90</v>
      </c>
      <c r="G940" s="48" t="s">
        <v>91</v>
      </c>
      <c r="H940" s="44" t="s">
        <v>398</v>
      </c>
      <c r="I940" s="44" t="s">
        <v>712</v>
      </c>
      <c r="J940" s="44">
        <f>YEAR(A940)</f>
        <v>2023</v>
      </c>
    </row>
    <row r="941" spans="1:10" ht="12" customHeight="1" x14ac:dyDescent="0.25">
      <c r="A941" s="43">
        <v>45062</v>
      </c>
      <c r="B941" s="47">
        <v>15445</v>
      </c>
      <c r="C941" s="44" t="s">
        <v>502</v>
      </c>
      <c r="D941" s="45">
        <v>85.2</v>
      </c>
      <c r="E941" s="48" t="s">
        <v>145</v>
      </c>
      <c r="F941" s="48" t="s">
        <v>135</v>
      </c>
      <c r="G941" s="48" t="s">
        <v>91</v>
      </c>
      <c r="J941" s="44">
        <f>YEAR(A941)</f>
        <v>2023</v>
      </c>
    </row>
    <row r="942" spans="1:10" ht="12" customHeight="1" x14ac:dyDescent="0.25">
      <c r="A942" s="43">
        <v>45062</v>
      </c>
      <c r="B942" s="47">
        <v>15445</v>
      </c>
      <c r="C942" s="44" t="s">
        <v>502</v>
      </c>
      <c r="D942" s="45">
        <v>-85.2</v>
      </c>
      <c r="E942" s="48" t="s">
        <v>299</v>
      </c>
      <c r="F942" s="48" t="s">
        <v>90</v>
      </c>
      <c r="G942" s="48" t="s">
        <v>305</v>
      </c>
      <c r="I942" s="44" t="s">
        <v>731</v>
      </c>
      <c r="J942" s="44">
        <f>YEAR(A942)</f>
        <v>2023</v>
      </c>
    </row>
    <row r="943" spans="1:10" ht="12" customHeight="1" x14ac:dyDescent="0.25">
      <c r="A943" s="43">
        <v>45056</v>
      </c>
      <c r="B943" s="47">
        <v>15446</v>
      </c>
      <c r="C943" s="44" t="s">
        <v>225</v>
      </c>
      <c r="D943" s="45">
        <v>-24</v>
      </c>
      <c r="E943" s="48" t="s">
        <v>222</v>
      </c>
      <c r="F943" s="48" t="s">
        <v>90</v>
      </c>
      <c r="G943" s="48" t="s">
        <v>225</v>
      </c>
      <c r="J943" s="44">
        <f>YEAR(A943)</f>
        <v>2023</v>
      </c>
    </row>
    <row r="944" spans="1:10" ht="12" customHeight="1" x14ac:dyDescent="0.25">
      <c r="A944" s="43">
        <v>45056</v>
      </c>
      <c r="B944" s="47">
        <v>15446</v>
      </c>
      <c r="C944" s="44" t="s">
        <v>225</v>
      </c>
      <c r="D944" s="45">
        <v>24</v>
      </c>
      <c r="E944" s="48" t="s">
        <v>299</v>
      </c>
      <c r="F944" s="48" t="s">
        <v>90</v>
      </c>
      <c r="G944" s="48" t="s">
        <v>91</v>
      </c>
      <c r="H944" s="44" t="s">
        <v>398</v>
      </c>
      <c r="I944" s="44" t="s">
        <v>712</v>
      </c>
      <c r="J944" s="44">
        <f>YEAR(A944)</f>
        <v>2023</v>
      </c>
    </row>
    <row r="945" spans="1:10" ht="12" customHeight="1" x14ac:dyDescent="0.25">
      <c r="A945" s="43">
        <v>45062</v>
      </c>
      <c r="B945" s="47">
        <v>15446</v>
      </c>
      <c r="C945" s="44" t="s">
        <v>467</v>
      </c>
      <c r="D945" s="45">
        <v>6.4</v>
      </c>
      <c r="E945" s="48" t="s">
        <v>89</v>
      </c>
      <c r="F945" s="48" t="s">
        <v>101</v>
      </c>
      <c r="G945" s="48" t="s">
        <v>91</v>
      </c>
      <c r="J945" s="44">
        <f>YEAR(A945)</f>
        <v>2023</v>
      </c>
    </row>
    <row r="946" spans="1:10" ht="12" customHeight="1" x14ac:dyDescent="0.25">
      <c r="A946" s="43">
        <v>45062</v>
      </c>
      <c r="B946" s="47">
        <v>15446</v>
      </c>
      <c r="C946" s="44" t="s">
        <v>467</v>
      </c>
      <c r="D946" s="45">
        <v>-6.4</v>
      </c>
      <c r="E946" s="48" t="s">
        <v>299</v>
      </c>
      <c r="F946" s="48" t="s">
        <v>90</v>
      </c>
      <c r="G946" s="48" t="s">
        <v>305</v>
      </c>
      <c r="I946" s="44" t="s">
        <v>731</v>
      </c>
      <c r="J946" s="44">
        <f>YEAR(A946)</f>
        <v>2023</v>
      </c>
    </row>
    <row r="947" spans="1:10" ht="12" customHeight="1" x14ac:dyDescent="0.25">
      <c r="A947" s="43">
        <v>45035</v>
      </c>
      <c r="B947" s="47">
        <v>15447</v>
      </c>
      <c r="C947" s="44" t="s">
        <v>405</v>
      </c>
      <c r="D947" s="45">
        <v>-44.05</v>
      </c>
      <c r="E947" s="48" t="s">
        <v>299</v>
      </c>
      <c r="F947" s="48" t="s">
        <v>90</v>
      </c>
      <c r="G947" s="48" t="s">
        <v>91</v>
      </c>
      <c r="H947" s="44" t="s">
        <v>391</v>
      </c>
      <c r="I947" s="44" t="s">
        <v>710</v>
      </c>
      <c r="J947" s="44">
        <f>YEAR(A947)</f>
        <v>2023</v>
      </c>
    </row>
    <row r="948" spans="1:10" ht="12" customHeight="1" x14ac:dyDescent="0.25">
      <c r="A948" s="43">
        <v>45035</v>
      </c>
      <c r="B948" s="47">
        <v>15447</v>
      </c>
      <c r="C948" s="44" t="s">
        <v>405</v>
      </c>
      <c r="D948" s="45">
        <v>44.05</v>
      </c>
      <c r="E948" s="48" t="s">
        <v>157</v>
      </c>
      <c r="F948" s="48" t="s">
        <v>137</v>
      </c>
      <c r="G948" s="48" t="s">
        <v>115</v>
      </c>
      <c r="J948" s="44">
        <f>YEAR(A948)</f>
        <v>2023</v>
      </c>
    </row>
    <row r="949" spans="1:10" ht="12" customHeight="1" x14ac:dyDescent="0.25">
      <c r="A949" s="43">
        <v>45062</v>
      </c>
      <c r="B949" s="47">
        <v>15447</v>
      </c>
      <c r="C949" s="44" t="s">
        <v>472</v>
      </c>
      <c r="D949" s="45">
        <v>99</v>
      </c>
      <c r="E949" s="48" t="s">
        <v>197</v>
      </c>
      <c r="F949" s="48" t="s">
        <v>96</v>
      </c>
      <c r="G949" s="48" t="s">
        <v>91</v>
      </c>
      <c r="J949" s="44">
        <f>YEAR(A949)</f>
        <v>2023</v>
      </c>
    </row>
    <row r="950" spans="1:10" ht="12" customHeight="1" x14ac:dyDescent="0.25">
      <c r="A950" s="43">
        <v>45062</v>
      </c>
      <c r="B950" s="47">
        <v>15447</v>
      </c>
      <c r="C950" s="44" t="s">
        <v>472</v>
      </c>
      <c r="D950" s="45">
        <v>-99</v>
      </c>
      <c r="E950" s="48" t="s">
        <v>299</v>
      </c>
      <c r="F950" s="48" t="s">
        <v>90</v>
      </c>
      <c r="G950" s="48" t="s">
        <v>305</v>
      </c>
      <c r="I950" s="44" t="s">
        <v>731</v>
      </c>
      <c r="J950" s="44">
        <f>YEAR(A950)</f>
        <v>2023</v>
      </c>
    </row>
    <row r="951" spans="1:10" ht="12" customHeight="1" x14ac:dyDescent="0.25">
      <c r="A951" s="43">
        <v>45043</v>
      </c>
      <c r="B951" s="47">
        <v>15448</v>
      </c>
      <c r="C951" s="44" t="s">
        <v>403</v>
      </c>
      <c r="D951" s="45">
        <v>-90.78</v>
      </c>
      <c r="E951" s="48" t="s">
        <v>299</v>
      </c>
      <c r="F951" s="48" t="s">
        <v>90</v>
      </c>
      <c r="G951" s="48" t="s">
        <v>91</v>
      </c>
      <c r="H951" s="44" t="s">
        <v>391</v>
      </c>
      <c r="I951" s="44" t="s">
        <v>710</v>
      </c>
      <c r="J951" s="44">
        <f>YEAR(A951)</f>
        <v>2023</v>
      </c>
    </row>
    <row r="952" spans="1:10" ht="12" customHeight="1" x14ac:dyDescent="0.25">
      <c r="A952" s="43">
        <v>45043</v>
      </c>
      <c r="B952" s="47">
        <v>15448</v>
      </c>
      <c r="C952" s="44" t="s">
        <v>403</v>
      </c>
      <c r="D952" s="45">
        <v>90.78</v>
      </c>
      <c r="E952" s="48" t="s">
        <v>157</v>
      </c>
      <c r="F952" s="48" t="s">
        <v>137</v>
      </c>
      <c r="G952" s="48" t="s">
        <v>91</v>
      </c>
      <c r="J952" s="44">
        <f>YEAR(A952)</f>
        <v>2023</v>
      </c>
    </row>
    <row r="953" spans="1:10" ht="12" customHeight="1" x14ac:dyDescent="0.25">
      <c r="A953" s="43">
        <v>45063</v>
      </c>
      <c r="B953" s="47">
        <v>15448</v>
      </c>
      <c r="C953" s="44" t="s">
        <v>468</v>
      </c>
      <c r="D953" s="45">
        <v>25.85</v>
      </c>
      <c r="E953" s="48" t="s">
        <v>197</v>
      </c>
      <c r="F953" s="48" t="s">
        <v>96</v>
      </c>
      <c r="G953" s="48" t="s">
        <v>91</v>
      </c>
      <c r="J953" s="44">
        <f>YEAR(A953)</f>
        <v>2023</v>
      </c>
    </row>
    <row r="954" spans="1:10" ht="12" customHeight="1" x14ac:dyDescent="0.25">
      <c r="A954" s="43">
        <v>45063</v>
      </c>
      <c r="B954" s="47">
        <v>15448</v>
      </c>
      <c r="C954" s="44" t="s">
        <v>468</v>
      </c>
      <c r="D954" s="45">
        <v>-59.6</v>
      </c>
      <c r="E954" s="48" t="s">
        <v>299</v>
      </c>
      <c r="F954" s="48" t="s">
        <v>90</v>
      </c>
      <c r="G954" s="48" t="s">
        <v>305</v>
      </c>
      <c r="I954" s="44" t="s">
        <v>731</v>
      </c>
      <c r="J954" s="44">
        <f>YEAR(A954)</f>
        <v>2023</v>
      </c>
    </row>
    <row r="955" spans="1:10" ht="12" customHeight="1" x14ac:dyDescent="0.25">
      <c r="A955" s="43">
        <v>45063</v>
      </c>
      <c r="B955" s="47">
        <v>15448</v>
      </c>
      <c r="C955" s="44" t="s">
        <v>468</v>
      </c>
      <c r="D955" s="45">
        <v>33.75</v>
      </c>
      <c r="E955" s="48" t="s">
        <v>197</v>
      </c>
      <c r="F955" s="48" t="s">
        <v>96</v>
      </c>
      <c r="G955" s="48" t="s">
        <v>91</v>
      </c>
      <c r="J955" s="44">
        <f>YEAR(A955)</f>
        <v>2023</v>
      </c>
    </row>
    <row r="956" spans="1:10" ht="12" customHeight="1" x14ac:dyDescent="0.25">
      <c r="A956" s="43">
        <v>45043</v>
      </c>
      <c r="B956" s="47">
        <v>15449</v>
      </c>
      <c r="C956" s="44" t="s">
        <v>404</v>
      </c>
      <c r="D956" s="45">
        <v>-117.04</v>
      </c>
      <c r="E956" s="48" t="s">
        <v>299</v>
      </c>
      <c r="F956" s="48" t="s">
        <v>90</v>
      </c>
      <c r="G956" s="48" t="s">
        <v>91</v>
      </c>
      <c r="H956" s="44" t="s">
        <v>391</v>
      </c>
      <c r="I956" s="44" t="s">
        <v>710</v>
      </c>
      <c r="J956" s="44">
        <f>YEAR(A956)</f>
        <v>2023</v>
      </c>
    </row>
    <row r="957" spans="1:10" ht="12" customHeight="1" x14ac:dyDescent="0.25">
      <c r="A957" s="43">
        <v>45043</v>
      </c>
      <c r="B957" s="47">
        <v>15449</v>
      </c>
      <c r="C957" s="44" t="s">
        <v>404</v>
      </c>
      <c r="D957" s="45">
        <v>117.04</v>
      </c>
      <c r="E957" s="48" t="s">
        <v>157</v>
      </c>
      <c r="F957" s="48" t="s">
        <v>137</v>
      </c>
      <c r="G957" s="48" t="s">
        <v>91</v>
      </c>
      <c r="J957" s="44">
        <f>YEAR(A957)</f>
        <v>2023</v>
      </c>
    </row>
    <row r="958" spans="1:10" ht="12" customHeight="1" x14ac:dyDescent="0.25">
      <c r="A958" s="43">
        <v>45063</v>
      </c>
      <c r="B958" s="47">
        <v>15449</v>
      </c>
      <c r="C958" s="44" t="s">
        <v>468</v>
      </c>
      <c r="D958" s="45">
        <v>9.9</v>
      </c>
      <c r="E958" s="48" t="s">
        <v>197</v>
      </c>
      <c r="F958" s="48" t="s">
        <v>90</v>
      </c>
      <c r="G958" s="48" t="s">
        <v>91</v>
      </c>
      <c r="J958" s="44">
        <f>YEAR(A958)</f>
        <v>2023</v>
      </c>
    </row>
    <row r="959" spans="1:10" ht="12" customHeight="1" x14ac:dyDescent="0.25">
      <c r="A959" s="43">
        <v>45063</v>
      </c>
      <c r="B959" s="47">
        <v>15449</v>
      </c>
      <c r="C959" s="44" t="s">
        <v>468</v>
      </c>
      <c r="D959" s="45">
        <v>-9.9</v>
      </c>
      <c r="E959" s="48" t="s">
        <v>299</v>
      </c>
      <c r="F959" s="48" t="s">
        <v>90</v>
      </c>
      <c r="G959" s="48" t="s">
        <v>305</v>
      </c>
      <c r="I959" s="44" t="s">
        <v>731</v>
      </c>
      <c r="J959" s="44">
        <f>YEAR(A959)</f>
        <v>2023</v>
      </c>
    </row>
    <row r="960" spans="1:10" ht="12" customHeight="1" x14ac:dyDescent="0.25">
      <c r="A960" s="43">
        <v>45057</v>
      </c>
      <c r="B960" s="47">
        <v>15450</v>
      </c>
      <c r="C960" s="44" t="s">
        <v>713</v>
      </c>
      <c r="D960" s="45">
        <v>50.7</v>
      </c>
      <c r="E960" s="48" t="s">
        <v>299</v>
      </c>
      <c r="F960" s="48" t="s">
        <v>90</v>
      </c>
      <c r="G960" s="48" t="s">
        <v>91</v>
      </c>
      <c r="H960" s="44" t="s">
        <v>391</v>
      </c>
      <c r="I960" s="44" t="s">
        <v>712</v>
      </c>
      <c r="J960" s="44">
        <f>YEAR(A960)</f>
        <v>2023</v>
      </c>
    </row>
    <row r="961" spans="1:10" ht="12" customHeight="1" x14ac:dyDescent="0.25">
      <c r="A961" s="43">
        <v>45057</v>
      </c>
      <c r="B961" s="47">
        <v>15450</v>
      </c>
      <c r="C961" s="44" t="s">
        <v>713</v>
      </c>
      <c r="D961" s="45">
        <v>-50.7</v>
      </c>
      <c r="E961" s="48" t="s">
        <v>157</v>
      </c>
      <c r="F961" s="48" t="s">
        <v>137</v>
      </c>
      <c r="G961" s="48" t="s">
        <v>91</v>
      </c>
      <c r="J961" s="44">
        <f>YEAR(A961)</f>
        <v>2023</v>
      </c>
    </row>
    <row r="962" spans="1:10" ht="12" customHeight="1" x14ac:dyDescent="0.25">
      <c r="A962" s="43">
        <v>45063</v>
      </c>
      <c r="B962" s="47">
        <v>15450</v>
      </c>
      <c r="C962" s="44" t="s">
        <v>550</v>
      </c>
      <c r="D962" s="45">
        <v>18.2</v>
      </c>
      <c r="E962" s="48" t="s">
        <v>197</v>
      </c>
      <c r="F962" s="48" t="s">
        <v>96</v>
      </c>
      <c r="G962" s="48" t="s">
        <v>91</v>
      </c>
      <c r="J962" s="44">
        <f>YEAR(A962)</f>
        <v>2023</v>
      </c>
    </row>
    <row r="963" spans="1:10" ht="12" customHeight="1" x14ac:dyDescent="0.25">
      <c r="A963" s="43">
        <v>45063</v>
      </c>
      <c r="B963" s="47">
        <v>15450</v>
      </c>
      <c r="C963" s="44" t="s">
        <v>550</v>
      </c>
      <c r="D963" s="45">
        <v>-18.2</v>
      </c>
      <c r="E963" s="48" t="s">
        <v>299</v>
      </c>
      <c r="F963" s="48" t="s">
        <v>90</v>
      </c>
      <c r="G963" s="48" t="s">
        <v>305</v>
      </c>
      <c r="I963" s="44" t="s">
        <v>731</v>
      </c>
      <c r="J963" s="44">
        <f>YEAR(A963)</f>
        <v>2023</v>
      </c>
    </row>
    <row r="964" spans="1:10" ht="12" customHeight="1" x14ac:dyDescent="0.25">
      <c r="A964" s="43">
        <v>45040</v>
      </c>
      <c r="B964" s="47">
        <v>15451</v>
      </c>
      <c r="C964" s="44" t="s">
        <v>407</v>
      </c>
      <c r="D964" s="45">
        <v>14.99</v>
      </c>
      <c r="E964" s="48" t="s">
        <v>157</v>
      </c>
      <c r="F964" s="48" t="s">
        <v>116</v>
      </c>
      <c r="G964" s="48" t="s">
        <v>91</v>
      </c>
      <c r="J964" s="44">
        <f>YEAR(A964)</f>
        <v>2023</v>
      </c>
    </row>
    <row r="965" spans="1:10" ht="12" customHeight="1" x14ac:dyDescent="0.25">
      <c r="A965" s="43">
        <v>45040</v>
      </c>
      <c r="B965" s="47">
        <v>15451</v>
      </c>
      <c r="C965" s="44" t="s">
        <v>407</v>
      </c>
      <c r="D965" s="45">
        <v>-14.99</v>
      </c>
      <c r="E965" s="48" t="s">
        <v>299</v>
      </c>
      <c r="F965" s="48" t="s">
        <v>90</v>
      </c>
      <c r="G965" s="48" t="s">
        <v>91</v>
      </c>
      <c r="H965" s="44" t="s">
        <v>391</v>
      </c>
      <c r="I965" s="44" t="s">
        <v>710</v>
      </c>
      <c r="J965" s="44">
        <f>YEAR(A965)</f>
        <v>2023</v>
      </c>
    </row>
    <row r="966" spans="1:10" ht="12" customHeight="1" x14ac:dyDescent="0.25">
      <c r="A966" s="43">
        <v>45063</v>
      </c>
      <c r="B966" s="47">
        <v>15451</v>
      </c>
      <c r="C966" s="44" t="s">
        <v>503</v>
      </c>
      <c r="D966" s="45">
        <v>25.13</v>
      </c>
      <c r="E966" s="48" t="s">
        <v>89</v>
      </c>
      <c r="F966" s="48" t="s">
        <v>90</v>
      </c>
      <c r="G966" s="48" t="s">
        <v>91</v>
      </c>
      <c r="J966" s="44">
        <f>YEAR(A966)</f>
        <v>2023</v>
      </c>
    </row>
    <row r="967" spans="1:10" ht="12" customHeight="1" x14ac:dyDescent="0.25">
      <c r="A967" s="43">
        <v>45063</v>
      </c>
      <c r="B967" s="47">
        <v>15451</v>
      </c>
      <c r="C967" s="44" t="s">
        <v>503</v>
      </c>
      <c r="D967" s="45">
        <v>-25.13</v>
      </c>
      <c r="E967" s="48" t="s">
        <v>299</v>
      </c>
      <c r="F967" s="48" t="s">
        <v>90</v>
      </c>
      <c r="G967" s="48" t="s">
        <v>305</v>
      </c>
      <c r="I967" s="44" t="s">
        <v>731</v>
      </c>
      <c r="J967" s="44">
        <f>YEAR(A967)</f>
        <v>2023</v>
      </c>
    </row>
    <row r="968" spans="1:10" ht="12" customHeight="1" x14ac:dyDescent="0.25">
      <c r="A968" s="43">
        <v>45054</v>
      </c>
      <c r="B968" s="47">
        <v>15452</v>
      </c>
      <c r="C968" s="44" t="s">
        <v>560</v>
      </c>
      <c r="D968" s="45">
        <v>-407.3</v>
      </c>
      <c r="E968" s="48" t="s">
        <v>214</v>
      </c>
      <c r="F968" s="48" t="s">
        <v>128</v>
      </c>
      <c r="G968" s="48" t="s">
        <v>99</v>
      </c>
      <c r="J968" s="44">
        <f>YEAR(A968)</f>
        <v>2023</v>
      </c>
    </row>
    <row r="969" spans="1:10" ht="12" customHeight="1" x14ac:dyDescent="0.25">
      <c r="A969" s="43">
        <v>45054</v>
      </c>
      <c r="B969" s="47">
        <v>15452</v>
      </c>
      <c r="C969" s="44" t="s">
        <v>560</v>
      </c>
      <c r="D969" s="45">
        <v>64.09</v>
      </c>
      <c r="E969" s="48" t="s">
        <v>110</v>
      </c>
      <c r="F969" s="48" t="s">
        <v>90</v>
      </c>
      <c r="G969" s="48" t="s">
        <v>91</v>
      </c>
      <c r="J969" s="44">
        <f>YEAR(A969)</f>
        <v>2023</v>
      </c>
    </row>
    <row r="970" spans="1:10" ht="12" customHeight="1" x14ac:dyDescent="0.25">
      <c r="A970" s="43">
        <v>45054</v>
      </c>
      <c r="B970" s="47">
        <v>15452</v>
      </c>
      <c r="C970" s="44" t="s">
        <v>560</v>
      </c>
      <c r="D970" s="45">
        <v>343.21</v>
      </c>
      <c r="E970" s="48" t="s">
        <v>299</v>
      </c>
      <c r="F970" s="48" t="s">
        <v>90</v>
      </c>
      <c r="G970" s="48" t="s">
        <v>91</v>
      </c>
      <c r="H970" s="44" t="s">
        <v>398</v>
      </c>
      <c r="I970" s="44" t="s">
        <v>712</v>
      </c>
      <c r="J970" s="44">
        <f>YEAR(A970)</f>
        <v>2023</v>
      </c>
    </row>
    <row r="971" spans="1:10" ht="12" customHeight="1" x14ac:dyDescent="0.25">
      <c r="A971" s="43">
        <v>45063</v>
      </c>
      <c r="B971" s="47">
        <v>15452</v>
      </c>
      <c r="C971" s="44" t="s">
        <v>719</v>
      </c>
      <c r="D971" s="45">
        <v>8.93</v>
      </c>
      <c r="E971" s="48" t="s">
        <v>157</v>
      </c>
      <c r="F971" s="48" t="s">
        <v>96</v>
      </c>
      <c r="G971" s="48" t="s">
        <v>91</v>
      </c>
      <c r="J971" s="44">
        <f>YEAR(A971)</f>
        <v>2023</v>
      </c>
    </row>
    <row r="972" spans="1:10" ht="12" customHeight="1" x14ac:dyDescent="0.25">
      <c r="A972" s="43">
        <v>45063</v>
      </c>
      <c r="B972" s="47">
        <v>15452</v>
      </c>
      <c r="C972" s="44" t="s">
        <v>719</v>
      </c>
      <c r="D972" s="45">
        <v>-8.93</v>
      </c>
      <c r="E972" s="48" t="s">
        <v>299</v>
      </c>
      <c r="F972" s="48" t="s">
        <v>90</v>
      </c>
      <c r="G972" s="48" t="s">
        <v>305</v>
      </c>
      <c r="I972" s="44" t="s">
        <v>731</v>
      </c>
      <c r="J972" s="44">
        <f>YEAR(A972)</f>
        <v>2023</v>
      </c>
    </row>
    <row r="973" spans="1:10" ht="12" customHeight="1" x14ac:dyDescent="0.25">
      <c r="A973" s="43">
        <v>45061</v>
      </c>
      <c r="B973" s="47">
        <v>15453</v>
      </c>
      <c r="C973" s="44" t="s">
        <v>563</v>
      </c>
      <c r="D973" s="45">
        <v>-1112.4000000000001</v>
      </c>
      <c r="E973" s="48" t="s">
        <v>214</v>
      </c>
      <c r="F973" s="48" t="s">
        <v>90</v>
      </c>
      <c r="G973" s="48" t="s">
        <v>99</v>
      </c>
      <c r="J973" s="44">
        <f>YEAR(A973)</f>
        <v>2023</v>
      </c>
    </row>
    <row r="974" spans="1:10" ht="12" customHeight="1" x14ac:dyDescent="0.25">
      <c r="A974" s="43">
        <v>45061</v>
      </c>
      <c r="B974" s="47">
        <v>15453</v>
      </c>
      <c r="C974" s="44" t="s">
        <v>564</v>
      </c>
      <c r="D974" s="45">
        <v>169.2</v>
      </c>
      <c r="E974" s="48" t="s">
        <v>110</v>
      </c>
      <c r="F974" s="48" t="s">
        <v>90</v>
      </c>
      <c r="G974" s="48" t="s">
        <v>91</v>
      </c>
      <c r="J974" s="44">
        <f>YEAR(A974)</f>
        <v>2023</v>
      </c>
    </row>
    <row r="975" spans="1:10" ht="12" customHeight="1" x14ac:dyDescent="0.25">
      <c r="A975" s="43">
        <v>45064</v>
      </c>
      <c r="B975" s="47">
        <v>15453</v>
      </c>
      <c r="C975" s="44" t="s">
        <v>480</v>
      </c>
      <c r="D975" s="45">
        <v>5.99</v>
      </c>
      <c r="E975" s="48" t="s">
        <v>145</v>
      </c>
      <c r="F975" s="48" t="s">
        <v>128</v>
      </c>
      <c r="G975" s="48" t="s">
        <v>115</v>
      </c>
      <c r="J975" s="44">
        <f>YEAR(A975)</f>
        <v>2023</v>
      </c>
    </row>
    <row r="976" spans="1:10" ht="12" customHeight="1" x14ac:dyDescent="0.25">
      <c r="A976" s="43">
        <v>45064</v>
      </c>
      <c r="B976" s="47">
        <v>15453</v>
      </c>
      <c r="C976" s="44" t="s">
        <v>480</v>
      </c>
      <c r="D976" s="45">
        <v>-5.99</v>
      </c>
      <c r="E976" s="48" t="s">
        <v>299</v>
      </c>
      <c r="F976" s="48" t="s">
        <v>90</v>
      </c>
      <c r="G976" s="48" t="s">
        <v>305</v>
      </c>
      <c r="I976" s="44" t="s">
        <v>731</v>
      </c>
      <c r="J976" s="44">
        <f>YEAR(A976)</f>
        <v>2023</v>
      </c>
    </row>
    <row r="977" spans="1:10" ht="12" customHeight="1" x14ac:dyDescent="0.25">
      <c r="A977" s="43">
        <v>45061</v>
      </c>
      <c r="B977" s="47">
        <v>15453</v>
      </c>
      <c r="C977" s="44" t="s">
        <v>563</v>
      </c>
      <c r="D977" s="45">
        <v>943.2</v>
      </c>
      <c r="E977" s="48" t="s">
        <v>299</v>
      </c>
      <c r="F977" s="48" t="s">
        <v>90</v>
      </c>
      <c r="G977" s="48" t="s">
        <v>91</v>
      </c>
      <c r="H977" s="44" t="s">
        <v>398</v>
      </c>
      <c r="I977" s="44" t="s">
        <v>734</v>
      </c>
      <c r="J977" s="44">
        <f>YEAR(A977)</f>
        <v>2023</v>
      </c>
    </row>
    <row r="978" spans="1:10" ht="12" customHeight="1" x14ac:dyDescent="0.25">
      <c r="A978" s="43">
        <v>45073</v>
      </c>
      <c r="B978" s="47">
        <v>15454</v>
      </c>
      <c r="C978" s="44" t="s">
        <v>716</v>
      </c>
      <c r="D978" s="45">
        <v>-734.41</v>
      </c>
      <c r="E978" s="48" t="s">
        <v>299</v>
      </c>
      <c r="F978" s="48" t="s">
        <v>90</v>
      </c>
      <c r="G978" s="48" t="s">
        <v>91</v>
      </c>
      <c r="H978" s="44" t="s">
        <v>402</v>
      </c>
      <c r="I978" s="44" t="s">
        <v>733</v>
      </c>
      <c r="J978" s="44">
        <f>YEAR(A978)</f>
        <v>2023</v>
      </c>
    </row>
    <row r="979" spans="1:10" ht="12" customHeight="1" x14ac:dyDescent="0.25">
      <c r="A979" s="43">
        <v>45069</v>
      </c>
      <c r="B979" s="47">
        <v>15454</v>
      </c>
      <c r="C979" s="44" t="s">
        <v>444</v>
      </c>
      <c r="D979" s="45">
        <v>-120.8</v>
      </c>
      <c r="E979" s="48" t="s">
        <v>299</v>
      </c>
      <c r="F979" s="48" t="s">
        <v>90</v>
      </c>
      <c r="G979" s="48" t="s">
        <v>91</v>
      </c>
      <c r="H979" s="44" t="s">
        <v>459</v>
      </c>
      <c r="I979" s="44" t="s">
        <v>733</v>
      </c>
      <c r="J979" s="44">
        <f>YEAR(A979)</f>
        <v>2023</v>
      </c>
    </row>
    <row r="980" spans="1:10" ht="12" customHeight="1" x14ac:dyDescent="0.25">
      <c r="A980" s="43">
        <v>45051</v>
      </c>
      <c r="B980" s="47">
        <v>15454</v>
      </c>
      <c r="C980" s="44" t="s">
        <v>714</v>
      </c>
      <c r="D980" s="45">
        <v>50.95</v>
      </c>
      <c r="E980" s="48" t="s">
        <v>145</v>
      </c>
      <c r="F980" s="48" t="s">
        <v>128</v>
      </c>
      <c r="G980" s="48" t="s">
        <v>115</v>
      </c>
      <c r="J980" s="44">
        <f>YEAR(A980)</f>
        <v>2023</v>
      </c>
    </row>
    <row r="981" spans="1:10" ht="12" customHeight="1" x14ac:dyDescent="0.25">
      <c r="A981" s="43">
        <v>45052</v>
      </c>
      <c r="B981" s="47">
        <v>15454</v>
      </c>
      <c r="C981" s="44" t="s">
        <v>469</v>
      </c>
      <c r="D981" s="45">
        <v>8.85</v>
      </c>
      <c r="E981" s="48" t="s">
        <v>89</v>
      </c>
      <c r="F981" s="48" t="s">
        <v>90</v>
      </c>
      <c r="G981" s="48" t="s">
        <v>91</v>
      </c>
      <c r="J981" s="44">
        <f>YEAR(A981)</f>
        <v>2023</v>
      </c>
    </row>
    <row r="982" spans="1:10" ht="12" customHeight="1" x14ac:dyDescent="0.25">
      <c r="A982" s="43">
        <v>45052</v>
      </c>
      <c r="B982" s="47">
        <v>15454</v>
      </c>
      <c r="C982" s="44" t="s">
        <v>715</v>
      </c>
      <c r="D982" s="45">
        <v>11.74</v>
      </c>
      <c r="E982" s="48" t="s">
        <v>89</v>
      </c>
      <c r="F982" s="48" t="s">
        <v>90</v>
      </c>
      <c r="G982" s="48" t="s">
        <v>91</v>
      </c>
      <c r="J982" s="44">
        <f>YEAR(A982)</f>
        <v>2023</v>
      </c>
    </row>
    <row r="983" spans="1:10" ht="12" customHeight="1" x14ac:dyDescent="0.25">
      <c r="A983" s="43">
        <v>45068</v>
      </c>
      <c r="B983" s="47">
        <v>15454</v>
      </c>
      <c r="C983" s="44" t="s">
        <v>449</v>
      </c>
      <c r="D983" s="45">
        <v>28.46</v>
      </c>
      <c r="E983" s="48" t="s">
        <v>89</v>
      </c>
      <c r="F983" s="48" t="s">
        <v>90</v>
      </c>
      <c r="G983" s="48" t="s">
        <v>91</v>
      </c>
      <c r="J983" s="44">
        <f>YEAR(A983)</f>
        <v>2023</v>
      </c>
    </row>
    <row r="984" spans="1:10" ht="12" customHeight="1" x14ac:dyDescent="0.25">
      <c r="A984" s="43">
        <v>45070</v>
      </c>
      <c r="B984" s="47">
        <v>15454</v>
      </c>
      <c r="C984" s="44" t="s">
        <v>469</v>
      </c>
      <c r="D984" s="45">
        <v>5.9</v>
      </c>
      <c r="E984" s="48" t="s">
        <v>89</v>
      </c>
      <c r="F984" s="48" t="s">
        <v>90</v>
      </c>
      <c r="G984" s="48" t="s">
        <v>91</v>
      </c>
      <c r="J984" s="44">
        <f>YEAR(A984)</f>
        <v>2023</v>
      </c>
    </row>
    <row r="985" spans="1:10" ht="12" customHeight="1" x14ac:dyDescent="0.25">
      <c r="A985" s="43">
        <v>45072</v>
      </c>
      <c r="B985" s="47">
        <v>15454</v>
      </c>
      <c r="C985" s="44" t="s">
        <v>516</v>
      </c>
      <c r="D985" s="45">
        <v>600</v>
      </c>
      <c r="E985" s="48" t="s">
        <v>197</v>
      </c>
      <c r="F985" s="48" t="s">
        <v>90</v>
      </c>
      <c r="G985" s="48" t="s">
        <v>107</v>
      </c>
      <c r="J985" s="44">
        <f>YEAR(A985)</f>
        <v>2023</v>
      </c>
    </row>
    <row r="986" spans="1:10" ht="12" customHeight="1" x14ac:dyDescent="0.25">
      <c r="A986" s="43">
        <v>45072</v>
      </c>
      <c r="B986" s="47">
        <v>15454</v>
      </c>
      <c r="C986" s="44" t="s">
        <v>449</v>
      </c>
      <c r="D986" s="45">
        <v>21.38</v>
      </c>
      <c r="E986" s="48" t="s">
        <v>89</v>
      </c>
      <c r="F986" s="48" t="s">
        <v>90</v>
      </c>
      <c r="G986" s="48" t="s">
        <v>91</v>
      </c>
      <c r="J986" s="44">
        <f>YEAR(A986)</f>
        <v>2023</v>
      </c>
    </row>
    <row r="987" spans="1:10" ht="12" customHeight="1" x14ac:dyDescent="0.25">
      <c r="A987" s="43">
        <v>45072</v>
      </c>
      <c r="B987" s="47">
        <v>15454</v>
      </c>
      <c r="C987" s="44" t="s">
        <v>449</v>
      </c>
      <c r="D987" s="45">
        <v>7.13</v>
      </c>
      <c r="E987" s="48" t="s">
        <v>89</v>
      </c>
      <c r="F987" s="48" t="s">
        <v>90</v>
      </c>
      <c r="G987" s="48" t="s">
        <v>91</v>
      </c>
      <c r="J987" s="44">
        <f>YEAR(A987)</f>
        <v>2023</v>
      </c>
    </row>
    <row r="988" spans="1:10" ht="12" customHeight="1" x14ac:dyDescent="0.25">
      <c r="A988" s="43">
        <v>45069</v>
      </c>
      <c r="B988" s="47">
        <v>15454</v>
      </c>
      <c r="C988" s="44" t="s">
        <v>444</v>
      </c>
      <c r="D988" s="45">
        <v>45.72</v>
      </c>
      <c r="E988" s="48" t="s">
        <v>89</v>
      </c>
      <c r="F988" s="48" t="s">
        <v>90</v>
      </c>
      <c r="G988" s="48" t="s">
        <v>91</v>
      </c>
      <c r="J988" s="44">
        <f>YEAR(A988)</f>
        <v>2023</v>
      </c>
    </row>
    <row r="989" spans="1:10" ht="12" customHeight="1" x14ac:dyDescent="0.25">
      <c r="A989" s="43">
        <v>45069</v>
      </c>
      <c r="B989" s="47">
        <v>15454</v>
      </c>
      <c r="C989" s="44" t="s">
        <v>444</v>
      </c>
      <c r="D989" s="45">
        <v>5.64</v>
      </c>
      <c r="E989" s="48" t="s">
        <v>197</v>
      </c>
      <c r="F989" s="48" t="s">
        <v>96</v>
      </c>
      <c r="G989" s="48" t="s">
        <v>91</v>
      </c>
      <c r="J989" s="44">
        <f>YEAR(A989)</f>
        <v>2023</v>
      </c>
    </row>
    <row r="990" spans="1:10" ht="12" customHeight="1" x14ac:dyDescent="0.25">
      <c r="A990" s="43">
        <v>45069</v>
      </c>
      <c r="B990" s="47">
        <v>15454</v>
      </c>
      <c r="C990" s="44" t="s">
        <v>444</v>
      </c>
      <c r="D990" s="45">
        <v>33.61</v>
      </c>
      <c r="E990" s="48" t="s">
        <v>157</v>
      </c>
      <c r="F990" s="48" t="s">
        <v>96</v>
      </c>
      <c r="G990" s="48" t="s">
        <v>91</v>
      </c>
      <c r="J990" s="44">
        <f>YEAR(A990)</f>
        <v>2023</v>
      </c>
    </row>
    <row r="991" spans="1:10" ht="12" customHeight="1" x14ac:dyDescent="0.25">
      <c r="A991" s="43">
        <v>45069</v>
      </c>
      <c r="B991" s="47">
        <v>15454</v>
      </c>
      <c r="C991" s="44" t="s">
        <v>444</v>
      </c>
      <c r="D991" s="45">
        <v>4.3899999999999997</v>
      </c>
      <c r="E991" s="48" t="s">
        <v>89</v>
      </c>
      <c r="F991" s="48" t="s">
        <v>90</v>
      </c>
      <c r="G991" s="48" t="s">
        <v>94</v>
      </c>
      <c r="J991" s="44">
        <f>YEAR(A991)</f>
        <v>2023</v>
      </c>
    </row>
    <row r="992" spans="1:10" ht="12" customHeight="1" x14ac:dyDescent="0.25">
      <c r="A992" s="43">
        <v>45069</v>
      </c>
      <c r="B992" s="47">
        <v>15454</v>
      </c>
      <c r="C992" s="44" t="s">
        <v>444</v>
      </c>
      <c r="D992" s="45">
        <v>25.91</v>
      </c>
      <c r="E992" s="48" t="s">
        <v>89</v>
      </c>
      <c r="F992" s="48" t="s">
        <v>90</v>
      </c>
      <c r="G992" s="48" t="s">
        <v>93</v>
      </c>
      <c r="J992" s="44">
        <f>YEAR(A992)</f>
        <v>2023</v>
      </c>
    </row>
    <row r="993" spans="1:10" ht="12" customHeight="1" x14ac:dyDescent="0.25">
      <c r="A993" s="43">
        <v>45069</v>
      </c>
      <c r="B993" s="47">
        <v>15454</v>
      </c>
      <c r="C993" s="44" t="s">
        <v>444</v>
      </c>
      <c r="D993" s="45">
        <v>5.53</v>
      </c>
      <c r="E993" s="48" t="s">
        <v>197</v>
      </c>
      <c r="F993" s="48" t="s">
        <v>96</v>
      </c>
      <c r="G993" s="48" t="s">
        <v>93</v>
      </c>
      <c r="J993" s="44">
        <f>YEAR(A993)</f>
        <v>2023</v>
      </c>
    </row>
    <row r="994" spans="1:10" ht="12" customHeight="1" x14ac:dyDescent="0.25">
      <c r="A994" s="43">
        <v>45056</v>
      </c>
      <c r="B994" s="47">
        <v>15455</v>
      </c>
      <c r="C994" s="44" t="s">
        <v>585</v>
      </c>
      <c r="D994" s="45">
        <v>-20.5</v>
      </c>
      <c r="E994" s="48" t="s">
        <v>197</v>
      </c>
      <c r="F994" s="48" t="s">
        <v>90</v>
      </c>
      <c r="G994" s="48" t="s">
        <v>99</v>
      </c>
      <c r="J994" s="44">
        <f>YEAR(A994)</f>
        <v>2023</v>
      </c>
    </row>
    <row r="995" spans="1:10" ht="12" customHeight="1" x14ac:dyDescent="0.25">
      <c r="A995" s="43">
        <v>45069</v>
      </c>
      <c r="B995" s="47">
        <v>15455</v>
      </c>
      <c r="C995" s="44" t="s">
        <v>493</v>
      </c>
      <c r="D995" s="45">
        <v>19.989999999999998</v>
      </c>
      <c r="E995" s="48" t="s">
        <v>197</v>
      </c>
      <c r="F995" s="48" t="s">
        <v>96</v>
      </c>
      <c r="G995" s="48" t="s">
        <v>93</v>
      </c>
      <c r="J995" s="44">
        <f>YEAR(A995)</f>
        <v>2023</v>
      </c>
    </row>
    <row r="996" spans="1:10" ht="12" customHeight="1" x14ac:dyDescent="0.25">
      <c r="A996" s="43">
        <v>45069</v>
      </c>
      <c r="B996" s="47">
        <v>15455</v>
      </c>
      <c r="C996" s="44" t="s">
        <v>493</v>
      </c>
      <c r="D996" s="45">
        <v>-49.08</v>
      </c>
      <c r="E996" s="48" t="s">
        <v>299</v>
      </c>
      <c r="F996" s="48" t="s">
        <v>90</v>
      </c>
      <c r="G996" s="48" t="s">
        <v>305</v>
      </c>
      <c r="I996" s="44" t="s">
        <v>731</v>
      </c>
      <c r="J996" s="44">
        <f>YEAR(A996)</f>
        <v>2023</v>
      </c>
    </row>
    <row r="997" spans="1:10" ht="12" customHeight="1" x14ac:dyDescent="0.25">
      <c r="A997" s="43">
        <v>45069</v>
      </c>
      <c r="B997" s="47">
        <v>15455</v>
      </c>
      <c r="C997" s="44" t="s">
        <v>493</v>
      </c>
      <c r="D997" s="45">
        <v>29.09</v>
      </c>
      <c r="E997" s="48" t="s">
        <v>89</v>
      </c>
      <c r="F997" s="48" t="s">
        <v>90</v>
      </c>
      <c r="G997" s="48" t="s">
        <v>91</v>
      </c>
      <c r="J997" s="44">
        <f>YEAR(A997)</f>
        <v>2023</v>
      </c>
    </row>
    <row r="998" spans="1:10" ht="12" customHeight="1" x14ac:dyDescent="0.25">
      <c r="A998" s="43">
        <v>45056</v>
      </c>
      <c r="B998" s="47">
        <v>15455</v>
      </c>
      <c r="C998" s="44" t="s">
        <v>585</v>
      </c>
      <c r="D998" s="45">
        <v>20.5</v>
      </c>
      <c r="E998" s="48" t="s">
        <v>299</v>
      </c>
      <c r="F998" s="48" t="s">
        <v>90</v>
      </c>
      <c r="G998" s="48" t="s">
        <v>91</v>
      </c>
      <c r="H998" s="44" t="s">
        <v>398</v>
      </c>
      <c r="I998" s="44" t="s">
        <v>734</v>
      </c>
      <c r="J998" s="44">
        <f>YEAR(A998)</f>
        <v>2023</v>
      </c>
    </row>
    <row r="999" spans="1:10" ht="12" customHeight="1" x14ac:dyDescent="0.25">
      <c r="A999" s="43">
        <v>45077</v>
      </c>
      <c r="B999" s="47">
        <v>15456</v>
      </c>
      <c r="C999" s="44" t="s">
        <v>585</v>
      </c>
      <c r="D999" s="45">
        <v>-28.02</v>
      </c>
      <c r="E999" s="48" t="s">
        <v>197</v>
      </c>
      <c r="F999" s="48" t="s">
        <v>90</v>
      </c>
      <c r="G999" s="48" t="s">
        <v>99</v>
      </c>
      <c r="J999" s="44">
        <f>YEAR(A999)</f>
        <v>2023</v>
      </c>
    </row>
    <row r="1000" spans="1:10" ht="12" customHeight="1" x14ac:dyDescent="0.25">
      <c r="A1000" s="43">
        <v>45069</v>
      </c>
      <c r="B1000" s="47">
        <v>15456</v>
      </c>
      <c r="C1000" s="44" t="s">
        <v>468</v>
      </c>
      <c r="D1000" s="45">
        <v>21.8</v>
      </c>
      <c r="E1000" s="48" t="s">
        <v>197</v>
      </c>
      <c r="F1000" s="48" t="s">
        <v>96</v>
      </c>
      <c r="G1000" s="48" t="s">
        <v>91</v>
      </c>
      <c r="J1000" s="44">
        <f>YEAR(A1000)</f>
        <v>2023</v>
      </c>
    </row>
    <row r="1001" spans="1:10" ht="12" customHeight="1" x14ac:dyDescent="0.25">
      <c r="A1001" s="43">
        <v>45069</v>
      </c>
      <c r="B1001" s="47">
        <v>15456</v>
      </c>
      <c r="C1001" s="44" t="s">
        <v>468</v>
      </c>
      <c r="D1001" s="45">
        <v>-21.8</v>
      </c>
      <c r="E1001" s="48" t="s">
        <v>299</v>
      </c>
      <c r="F1001" s="48" t="s">
        <v>90</v>
      </c>
      <c r="G1001" s="48" t="s">
        <v>305</v>
      </c>
      <c r="I1001" s="44" t="s">
        <v>731</v>
      </c>
      <c r="J1001" s="44">
        <f>YEAR(A1001)</f>
        <v>2023</v>
      </c>
    </row>
    <row r="1002" spans="1:10" ht="12" customHeight="1" x14ac:dyDescent="0.25">
      <c r="A1002" s="43">
        <v>45077</v>
      </c>
      <c r="B1002" s="47">
        <v>15456</v>
      </c>
      <c r="C1002" s="44" t="s">
        <v>585</v>
      </c>
      <c r="D1002" s="45">
        <v>28.02</v>
      </c>
      <c r="E1002" s="48" t="s">
        <v>299</v>
      </c>
      <c r="F1002" s="48" t="s">
        <v>90</v>
      </c>
      <c r="G1002" s="48" t="s">
        <v>91</v>
      </c>
      <c r="H1002" s="44" t="s">
        <v>398</v>
      </c>
      <c r="I1002" s="44" t="s">
        <v>734</v>
      </c>
      <c r="J1002" s="44">
        <f>YEAR(A1002)</f>
        <v>2023</v>
      </c>
    </row>
    <row r="1003" spans="1:10" ht="12" customHeight="1" x14ac:dyDescent="0.25">
      <c r="A1003" s="43">
        <v>45077</v>
      </c>
      <c r="B1003" s="47">
        <v>15457</v>
      </c>
      <c r="C1003" s="44" t="s">
        <v>585</v>
      </c>
      <c r="D1003" s="45">
        <v>-519.97</v>
      </c>
      <c r="E1003" s="48" t="s">
        <v>197</v>
      </c>
      <c r="F1003" s="48" t="s">
        <v>90</v>
      </c>
      <c r="G1003" s="48" t="s">
        <v>107</v>
      </c>
      <c r="J1003" s="44">
        <f>YEAR(A1003)</f>
        <v>2023</v>
      </c>
    </row>
    <row r="1004" spans="1:10" ht="12" customHeight="1" x14ac:dyDescent="0.25">
      <c r="A1004" s="43">
        <v>45071</v>
      </c>
      <c r="B1004" s="47">
        <v>15457</v>
      </c>
      <c r="C1004" s="44" t="s">
        <v>503</v>
      </c>
      <c r="D1004" s="45">
        <v>10.37</v>
      </c>
      <c r="E1004" s="48" t="s">
        <v>89</v>
      </c>
      <c r="F1004" s="48" t="s">
        <v>90</v>
      </c>
      <c r="G1004" s="48" t="s">
        <v>91</v>
      </c>
      <c r="J1004" s="44">
        <f>YEAR(A1004)</f>
        <v>2023</v>
      </c>
    </row>
    <row r="1005" spans="1:10" ht="12" customHeight="1" x14ac:dyDescent="0.25">
      <c r="A1005" s="43">
        <v>45071</v>
      </c>
      <c r="B1005" s="47">
        <v>15457</v>
      </c>
      <c r="C1005" s="44" t="s">
        <v>503</v>
      </c>
      <c r="D1005" s="45">
        <v>-10.37</v>
      </c>
      <c r="E1005" s="48" t="s">
        <v>299</v>
      </c>
      <c r="F1005" s="48" t="s">
        <v>90</v>
      </c>
      <c r="G1005" s="48" t="s">
        <v>305</v>
      </c>
      <c r="I1005" s="44" t="s">
        <v>731</v>
      </c>
      <c r="J1005" s="44">
        <f>YEAR(A1005)</f>
        <v>2023</v>
      </c>
    </row>
    <row r="1006" spans="1:10" ht="12" customHeight="1" x14ac:dyDescent="0.25">
      <c r="A1006" s="43">
        <v>45077</v>
      </c>
      <c r="B1006" s="47">
        <v>15457</v>
      </c>
      <c r="C1006" s="44" t="s">
        <v>585</v>
      </c>
      <c r="D1006" s="45">
        <v>519.97</v>
      </c>
      <c r="E1006" s="48" t="s">
        <v>299</v>
      </c>
      <c r="F1006" s="48" t="s">
        <v>90</v>
      </c>
      <c r="G1006" s="48" t="s">
        <v>91</v>
      </c>
      <c r="H1006" s="44" t="s">
        <v>398</v>
      </c>
      <c r="I1006" s="44" t="s">
        <v>734</v>
      </c>
      <c r="J1006" s="44">
        <f>YEAR(A1006)</f>
        <v>2023</v>
      </c>
    </row>
    <row r="1007" spans="1:10" ht="12" customHeight="1" x14ac:dyDescent="0.25">
      <c r="A1007" s="43">
        <v>45071</v>
      </c>
      <c r="B1007" s="47">
        <v>15458</v>
      </c>
      <c r="C1007" s="44" t="s">
        <v>463</v>
      </c>
      <c r="D1007" s="45">
        <v>42.99</v>
      </c>
      <c r="E1007" s="48" t="s">
        <v>89</v>
      </c>
      <c r="F1007" s="48" t="s">
        <v>90</v>
      </c>
      <c r="G1007" s="48" t="s">
        <v>91</v>
      </c>
      <c r="J1007" s="44">
        <f>YEAR(A1007)</f>
        <v>2023</v>
      </c>
    </row>
    <row r="1008" spans="1:10" ht="12" customHeight="1" x14ac:dyDescent="0.25">
      <c r="A1008" s="43">
        <v>45071</v>
      </c>
      <c r="B1008" s="47">
        <v>15458</v>
      </c>
      <c r="C1008" s="44" t="s">
        <v>463</v>
      </c>
      <c r="D1008" s="45">
        <v>-42.99</v>
      </c>
      <c r="E1008" s="48" t="s">
        <v>299</v>
      </c>
      <c r="F1008" s="48" t="s">
        <v>90</v>
      </c>
      <c r="G1008" s="48" t="s">
        <v>305</v>
      </c>
      <c r="I1008" s="44" t="s">
        <v>731</v>
      </c>
      <c r="J1008" s="44">
        <f>YEAR(A1008)</f>
        <v>2023</v>
      </c>
    </row>
    <row r="1009" spans="1:10" ht="12" customHeight="1" x14ac:dyDescent="0.25">
      <c r="A1009" s="43">
        <v>45073</v>
      </c>
      <c r="B1009" s="47">
        <v>15459</v>
      </c>
      <c r="C1009" s="44" t="s">
        <v>460</v>
      </c>
      <c r="D1009" s="45">
        <v>16.899999999999999</v>
      </c>
      <c r="E1009" s="48" t="s">
        <v>89</v>
      </c>
      <c r="F1009" s="48" t="s">
        <v>90</v>
      </c>
      <c r="G1009" s="48" t="s">
        <v>91</v>
      </c>
      <c r="J1009" s="44">
        <f>YEAR(A1009)</f>
        <v>2023</v>
      </c>
    </row>
    <row r="1010" spans="1:10" ht="12" customHeight="1" x14ac:dyDescent="0.25">
      <c r="A1010" s="43">
        <v>45073</v>
      </c>
      <c r="B1010" s="47">
        <v>15459</v>
      </c>
      <c r="C1010" s="44" t="s">
        <v>460</v>
      </c>
      <c r="D1010" s="45">
        <v>-16.899999999999999</v>
      </c>
      <c r="E1010" s="48" t="s">
        <v>299</v>
      </c>
      <c r="F1010" s="48" t="s">
        <v>90</v>
      </c>
      <c r="G1010" s="48" t="s">
        <v>305</v>
      </c>
      <c r="I1010" s="44" t="s">
        <v>731</v>
      </c>
      <c r="J1010" s="44">
        <f>YEAR(A1010)</f>
        <v>2023</v>
      </c>
    </row>
    <row r="1011" spans="1:10" ht="12" customHeight="1" x14ac:dyDescent="0.25">
      <c r="A1011" s="43">
        <v>45073</v>
      </c>
      <c r="B1011" s="47">
        <v>15460</v>
      </c>
      <c r="C1011" s="44" t="s">
        <v>568</v>
      </c>
      <c r="D1011" s="45">
        <v>23.9</v>
      </c>
      <c r="E1011" s="48" t="s">
        <v>89</v>
      </c>
      <c r="F1011" s="48" t="s">
        <v>90</v>
      </c>
      <c r="G1011" s="48" t="s">
        <v>91</v>
      </c>
      <c r="J1011" s="44">
        <f>YEAR(A1011)</f>
        <v>2023</v>
      </c>
    </row>
    <row r="1012" spans="1:10" ht="12" customHeight="1" x14ac:dyDescent="0.25">
      <c r="A1012" s="43">
        <v>45073</v>
      </c>
      <c r="B1012" s="47">
        <v>15460</v>
      </c>
      <c r="C1012" s="44" t="s">
        <v>568</v>
      </c>
      <c r="D1012" s="45">
        <v>-23.9</v>
      </c>
      <c r="E1012" s="48" t="s">
        <v>299</v>
      </c>
      <c r="F1012" s="48" t="s">
        <v>90</v>
      </c>
      <c r="G1012" s="48" t="s">
        <v>305</v>
      </c>
      <c r="I1012" s="44" t="s">
        <v>731</v>
      </c>
      <c r="J1012" s="44">
        <f>YEAR(A1012)</f>
        <v>2023</v>
      </c>
    </row>
    <row r="1013" spans="1:10" ht="12" customHeight="1" x14ac:dyDescent="0.25">
      <c r="A1013" s="43">
        <v>45073</v>
      </c>
      <c r="B1013" s="47">
        <v>15461</v>
      </c>
      <c r="C1013" s="44" t="s">
        <v>480</v>
      </c>
      <c r="D1013" s="45">
        <v>28.68</v>
      </c>
      <c r="E1013" s="48" t="s">
        <v>145</v>
      </c>
      <c r="F1013" s="48" t="s">
        <v>128</v>
      </c>
      <c r="G1013" s="48" t="s">
        <v>115</v>
      </c>
      <c r="J1013" s="44">
        <f>YEAR(A1013)</f>
        <v>2023</v>
      </c>
    </row>
    <row r="1014" spans="1:10" ht="12" customHeight="1" x14ac:dyDescent="0.25">
      <c r="A1014" s="43">
        <v>45073</v>
      </c>
      <c r="B1014" s="47">
        <v>15461</v>
      </c>
      <c r="C1014" s="44" t="s">
        <v>480</v>
      </c>
      <c r="D1014" s="45">
        <v>-28.68</v>
      </c>
      <c r="E1014" s="48" t="s">
        <v>299</v>
      </c>
      <c r="F1014" s="48" t="s">
        <v>90</v>
      </c>
      <c r="G1014" s="48" t="s">
        <v>305</v>
      </c>
      <c r="I1014" s="44" t="s">
        <v>731</v>
      </c>
      <c r="J1014" s="44">
        <f>YEAR(A1014)</f>
        <v>2023</v>
      </c>
    </row>
    <row r="1015" spans="1:10" ht="12" customHeight="1" x14ac:dyDescent="0.25">
      <c r="A1015" s="43">
        <v>45073</v>
      </c>
      <c r="B1015" s="47">
        <v>15462</v>
      </c>
      <c r="C1015" s="44" t="s">
        <v>458</v>
      </c>
      <c r="D1015" s="45">
        <v>49.42</v>
      </c>
      <c r="E1015" s="48" t="s">
        <v>89</v>
      </c>
      <c r="F1015" s="48" t="s">
        <v>90</v>
      </c>
      <c r="G1015" s="48" t="s">
        <v>91</v>
      </c>
      <c r="J1015" s="44">
        <f>YEAR(A1015)</f>
        <v>2023</v>
      </c>
    </row>
    <row r="1016" spans="1:10" ht="12" customHeight="1" x14ac:dyDescent="0.25">
      <c r="A1016" s="43">
        <v>45073</v>
      </c>
      <c r="B1016" s="47">
        <v>15462</v>
      </c>
      <c r="C1016" s="44" t="s">
        <v>458</v>
      </c>
      <c r="D1016" s="45">
        <v>-49.42</v>
      </c>
      <c r="E1016" s="48" t="s">
        <v>299</v>
      </c>
      <c r="F1016" s="48" t="s">
        <v>90</v>
      </c>
      <c r="G1016" s="48" t="s">
        <v>305</v>
      </c>
      <c r="I1016" s="44" t="s">
        <v>731</v>
      </c>
      <c r="J1016" s="44">
        <f>YEAR(A1016)</f>
        <v>2023</v>
      </c>
    </row>
    <row r="1017" spans="1:10" ht="12" customHeight="1" x14ac:dyDescent="0.25">
      <c r="A1017" s="43">
        <v>45073</v>
      </c>
      <c r="B1017" s="47">
        <v>15463</v>
      </c>
      <c r="C1017" s="44" t="s">
        <v>454</v>
      </c>
      <c r="D1017" s="45">
        <v>7.27</v>
      </c>
      <c r="E1017" s="48" t="s">
        <v>89</v>
      </c>
      <c r="F1017" s="48" t="s">
        <v>90</v>
      </c>
      <c r="G1017" s="48" t="s">
        <v>91</v>
      </c>
      <c r="J1017" s="44">
        <f>YEAR(A1017)</f>
        <v>2023</v>
      </c>
    </row>
    <row r="1018" spans="1:10" ht="12" customHeight="1" x14ac:dyDescent="0.25">
      <c r="A1018" s="43">
        <v>45073</v>
      </c>
      <c r="B1018" s="47">
        <v>15463</v>
      </c>
      <c r="C1018" s="44" t="s">
        <v>454</v>
      </c>
      <c r="D1018" s="45">
        <v>-7.27</v>
      </c>
      <c r="E1018" s="48" t="s">
        <v>299</v>
      </c>
      <c r="F1018" s="48" t="s">
        <v>90</v>
      </c>
      <c r="G1018" s="48" t="s">
        <v>305</v>
      </c>
      <c r="I1018" s="44" t="s">
        <v>731</v>
      </c>
      <c r="J1018" s="44">
        <f>YEAR(A1018)</f>
        <v>2023</v>
      </c>
    </row>
    <row r="1019" spans="1:10" ht="12" customHeight="1" x14ac:dyDescent="0.25">
      <c r="A1019" s="43">
        <v>45104</v>
      </c>
      <c r="B1019" s="47">
        <v>15464</v>
      </c>
      <c r="C1019" s="44" t="s">
        <v>446</v>
      </c>
      <c r="D1019" s="45">
        <v>-80.62</v>
      </c>
      <c r="E1019" s="48" t="s">
        <v>299</v>
      </c>
      <c r="F1019" s="48" t="s">
        <v>90</v>
      </c>
      <c r="G1019" s="48" t="s">
        <v>305</v>
      </c>
      <c r="I1019" s="44" t="s">
        <v>731</v>
      </c>
      <c r="J1019" s="44">
        <f>YEAR(A1019)</f>
        <v>2023</v>
      </c>
    </row>
    <row r="1020" spans="1:10" ht="12" customHeight="1" x14ac:dyDescent="0.25">
      <c r="A1020" s="43">
        <v>45104</v>
      </c>
      <c r="B1020" s="47">
        <v>15464</v>
      </c>
      <c r="C1020" s="44" t="s">
        <v>446</v>
      </c>
      <c r="D1020" s="45">
        <v>80.62</v>
      </c>
      <c r="E1020" s="48" t="s">
        <v>89</v>
      </c>
      <c r="F1020" s="48" t="s">
        <v>90</v>
      </c>
      <c r="G1020" s="48" t="s">
        <v>91</v>
      </c>
      <c r="J1020" s="44">
        <f>YEAR(A1020)</f>
        <v>2023</v>
      </c>
    </row>
    <row r="1021" spans="1:10" ht="12" customHeight="1" x14ac:dyDescent="0.25">
      <c r="A1021" s="43">
        <v>45074</v>
      </c>
      <c r="B1021" s="47">
        <v>15465</v>
      </c>
      <c r="C1021" s="44" t="s">
        <v>464</v>
      </c>
      <c r="D1021" s="45">
        <v>-38.83</v>
      </c>
      <c r="E1021" s="48" t="s">
        <v>299</v>
      </c>
      <c r="F1021" s="48" t="s">
        <v>90</v>
      </c>
      <c r="G1021" s="48" t="s">
        <v>305</v>
      </c>
      <c r="I1021" s="44" t="s">
        <v>731</v>
      </c>
      <c r="J1021" s="44">
        <f>YEAR(A1021)</f>
        <v>2023</v>
      </c>
    </row>
    <row r="1022" spans="1:10" ht="12" customHeight="1" x14ac:dyDescent="0.25">
      <c r="A1022" s="43">
        <v>45074</v>
      </c>
      <c r="B1022" s="47">
        <v>15465</v>
      </c>
      <c r="C1022" s="44" t="s">
        <v>464</v>
      </c>
      <c r="D1022" s="45">
        <v>38.83</v>
      </c>
      <c r="E1022" s="48" t="s">
        <v>89</v>
      </c>
      <c r="F1022" s="48" t="s">
        <v>90</v>
      </c>
      <c r="G1022" s="48" t="s">
        <v>91</v>
      </c>
      <c r="J1022" s="44">
        <f>YEAR(A1022)</f>
        <v>2023</v>
      </c>
    </row>
    <row r="1023" spans="1:10" ht="12" customHeight="1" x14ac:dyDescent="0.25">
      <c r="A1023" s="43">
        <v>45075</v>
      </c>
      <c r="B1023" s="47">
        <v>15466</v>
      </c>
      <c r="C1023" s="44" t="s">
        <v>480</v>
      </c>
      <c r="D1023" s="45">
        <v>28.93</v>
      </c>
      <c r="E1023" s="48" t="s">
        <v>145</v>
      </c>
      <c r="F1023" s="48" t="s">
        <v>128</v>
      </c>
      <c r="G1023" s="48" t="s">
        <v>115</v>
      </c>
      <c r="J1023" s="44">
        <f>YEAR(A1023)</f>
        <v>2023</v>
      </c>
    </row>
    <row r="1024" spans="1:10" ht="12" customHeight="1" x14ac:dyDescent="0.25">
      <c r="A1024" s="43">
        <v>45075</v>
      </c>
      <c r="B1024" s="47">
        <v>15466</v>
      </c>
      <c r="C1024" s="44" t="s">
        <v>480</v>
      </c>
      <c r="D1024" s="45">
        <v>-28.93</v>
      </c>
      <c r="E1024" s="48" t="s">
        <v>299</v>
      </c>
      <c r="F1024" s="48" t="s">
        <v>90</v>
      </c>
      <c r="G1024" s="48" t="s">
        <v>305</v>
      </c>
      <c r="I1024" s="44" t="s">
        <v>731</v>
      </c>
      <c r="J1024" s="44">
        <f>YEAR(A1024)</f>
        <v>2023</v>
      </c>
    </row>
    <row r="1025" spans="1:10" ht="12" customHeight="1" x14ac:dyDescent="0.25">
      <c r="A1025" s="43">
        <v>45074</v>
      </c>
      <c r="B1025" s="47">
        <v>15467</v>
      </c>
      <c r="C1025" s="44" t="s">
        <v>464</v>
      </c>
      <c r="D1025" s="45">
        <v>-10.34</v>
      </c>
      <c r="E1025" s="48" t="s">
        <v>299</v>
      </c>
      <c r="F1025" s="48" t="s">
        <v>90</v>
      </c>
      <c r="G1025" s="48" t="s">
        <v>305</v>
      </c>
      <c r="I1025" s="44" t="s">
        <v>731</v>
      </c>
      <c r="J1025" s="44">
        <f>YEAR(A1025)</f>
        <v>2023</v>
      </c>
    </row>
    <row r="1026" spans="1:10" ht="12" customHeight="1" x14ac:dyDescent="0.25">
      <c r="A1026" s="43">
        <v>45074</v>
      </c>
      <c r="B1026" s="47">
        <v>15467</v>
      </c>
      <c r="C1026" s="44" t="s">
        <v>464</v>
      </c>
      <c r="D1026" s="45">
        <v>10.34</v>
      </c>
      <c r="E1026" s="48" t="s">
        <v>89</v>
      </c>
      <c r="F1026" s="48" t="s">
        <v>90</v>
      </c>
      <c r="G1026" s="48" t="s">
        <v>91</v>
      </c>
      <c r="J1026" s="44">
        <f>YEAR(A1026)</f>
        <v>2023</v>
      </c>
    </row>
    <row r="1027" spans="1:10" ht="12" customHeight="1" x14ac:dyDescent="0.25">
      <c r="A1027" s="43">
        <v>45076</v>
      </c>
      <c r="B1027" s="47">
        <v>15468</v>
      </c>
      <c r="C1027" s="44" t="s">
        <v>453</v>
      </c>
      <c r="D1027" s="45">
        <v>-11.75</v>
      </c>
      <c r="E1027" s="48" t="s">
        <v>299</v>
      </c>
      <c r="F1027" s="48" t="s">
        <v>90</v>
      </c>
      <c r="G1027" s="48" t="s">
        <v>305</v>
      </c>
      <c r="I1027" s="44" t="s">
        <v>731</v>
      </c>
      <c r="J1027" s="44">
        <f>YEAR(A1027)</f>
        <v>2023</v>
      </c>
    </row>
    <row r="1028" spans="1:10" ht="12" customHeight="1" x14ac:dyDescent="0.25">
      <c r="A1028" s="43">
        <v>45076</v>
      </c>
      <c r="B1028" s="47">
        <v>15468</v>
      </c>
      <c r="C1028" s="44" t="s">
        <v>453</v>
      </c>
      <c r="D1028" s="45">
        <v>11.75</v>
      </c>
      <c r="E1028" s="48" t="s">
        <v>89</v>
      </c>
      <c r="F1028" s="48" t="s">
        <v>90</v>
      </c>
      <c r="G1028" s="48" t="s">
        <v>91</v>
      </c>
      <c r="J1028" s="44">
        <f>YEAR(A1028)</f>
        <v>2023</v>
      </c>
    </row>
    <row r="1029" spans="1:10" ht="12" customHeight="1" x14ac:dyDescent="0.25">
      <c r="A1029" s="43">
        <v>45076</v>
      </c>
      <c r="B1029" s="47">
        <v>15469</v>
      </c>
      <c r="C1029" s="44" t="s">
        <v>553</v>
      </c>
      <c r="D1029" s="45">
        <v>-80</v>
      </c>
      <c r="E1029" s="48" t="s">
        <v>299</v>
      </c>
      <c r="F1029" s="48" t="s">
        <v>90</v>
      </c>
      <c r="G1029" s="48" t="s">
        <v>91</v>
      </c>
      <c r="H1029" s="44" t="s">
        <v>442</v>
      </c>
      <c r="I1029" s="44" t="s">
        <v>733</v>
      </c>
      <c r="J1029" s="44">
        <f>YEAR(A1029)</f>
        <v>2023</v>
      </c>
    </row>
    <row r="1030" spans="1:10" ht="12" customHeight="1" x14ac:dyDescent="0.25">
      <c r="A1030" s="43">
        <v>45076</v>
      </c>
      <c r="B1030" s="47">
        <v>15469</v>
      </c>
      <c r="C1030" s="44" t="s">
        <v>553</v>
      </c>
      <c r="D1030" s="45">
        <v>80</v>
      </c>
      <c r="E1030" s="48" t="s">
        <v>299</v>
      </c>
      <c r="F1030" s="48" t="s">
        <v>101</v>
      </c>
      <c r="G1030" s="48" t="s">
        <v>91</v>
      </c>
      <c r="J1030" s="44">
        <f>YEAR(A1030)</f>
        <v>2023</v>
      </c>
    </row>
    <row r="1031" spans="1:10" ht="12" customHeight="1" x14ac:dyDescent="0.25">
      <c r="A1031" s="43">
        <v>45076</v>
      </c>
      <c r="B1031" s="47">
        <v>15470</v>
      </c>
      <c r="C1031" s="44" t="s">
        <v>720</v>
      </c>
      <c r="D1031" s="45">
        <v>50</v>
      </c>
      <c r="E1031" s="48" t="s">
        <v>145</v>
      </c>
      <c r="F1031" s="48" t="s">
        <v>135</v>
      </c>
      <c r="G1031" s="48" t="s">
        <v>91</v>
      </c>
      <c r="J1031" s="44">
        <f>YEAR(A1031)</f>
        <v>2023</v>
      </c>
    </row>
    <row r="1032" spans="1:10" ht="12" customHeight="1" x14ac:dyDescent="0.25">
      <c r="A1032" s="43">
        <v>45076</v>
      </c>
      <c r="B1032" s="47">
        <v>15470</v>
      </c>
      <c r="C1032" s="44" t="s">
        <v>721</v>
      </c>
      <c r="D1032" s="45">
        <v>6</v>
      </c>
      <c r="E1032" s="48" t="s">
        <v>89</v>
      </c>
      <c r="F1032" s="48" t="s">
        <v>101</v>
      </c>
      <c r="G1032" s="48" t="s">
        <v>91</v>
      </c>
      <c r="J1032" s="44">
        <f>YEAR(A1032)</f>
        <v>2023</v>
      </c>
    </row>
    <row r="1033" spans="1:10" ht="12" customHeight="1" x14ac:dyDescent="0.25">
      <c r="A1033" s="43">
        <v>45076</v>
      </c>
      <c r="B1033" s="47">
        <v>15470</v>
      </c>
      <c r="C1033" s="44" t="s">
        <v>441</v>
      </c>
      <c r="D1033" s="45">
        <v>-60.2</v>
      </c>
      <c r="E1033" s="48" t="s">
        <v>299</v>
      </c>
      <c r="F1033" s="48" t="s">
        <v>101</v>
      </c>
      <c r="G1033" s="48" t="s">
        <v>91</v>
      </c>
      <c r="J1033" s="44">
        <f>YEAR(A1033)</f>
        <v>2023</v>
      </c>
    </row>
    <row r="1034" spans="1:10" ht="12" customHeight="1" x14ac:dyDescent="0.25">
      <c r="A1034" s="43">
        <v>45076</v>
      </c>
      <c r="B1034" s="47">
        <v>15470</v>
      </c>
      <c r="C1034" s="44" t="s">
        <v>507</v>
      </c>
      <c r="D1034" s="45">
        <v>4.2</v>
      </c>
      <c r="E1034" s="48" t="s">
        <v>180</v>
      </c>
      <c r="F1034" s="48" t="s">
        <v>90</v>
      </c>
      <c r="G1034" s="48" t="s">
        <v>91</v>
      </c>
      <c r="J1034" s="44">
        <f>YEAR(A1034)</f>
        <v>2023</v>
      </c>
    </row>
    <row r="1035" spans="1:10" ht="12" customHeight="1" x14ac:dyDescent="0.25">
      <c r="A1035" s="43">
        <v>45076</v>
      </c>
      <c r="B1035" s="47">
        <v>15471</v>
      </c>
      <c r="C1035" s="44" t="s">
        <v>475</v>
      </c>
      <c r="D1035" s="45">
        <v>-5.4</v>
      </c>
      <c r="E1035" s="48" t="s">
        <v>299</v>
      </c>
      <c r="F1035" s="48" t="s">
        <v>90</v>
      </c>
      <c r="G1035" s="48" t="s">
        <v>305</v>
      </c>
      <c r="I1035" s="44" t="s">
        <v>731</v>
      </c>
      <c r="J1035" s="44">
        <f>YEAR(A1035)</f>
        <v>2023</v>
      </c>
    </row>
    <row r="1036" spans="1:10" ht="12" customHeight="1" x14ac:dyDescent="0.25">
      <c r="A1036" s="43">
        <v>45076</v>
      </c>
      <c r="B1036" s="47">
        <v>15471</v>
      </c>
      <c r="C1036" s="44" t="s">
        <v>475</v>
      </c>
      <c r="D1036" s="45">
        <v>5.4</v>
      </c>
      <c r="E1036" s="48" t="s">
        <v>89</v>
      </c>
      <c r="F1036" s="48" t="s">
        <v>90</v>
      </c>
      <c r="G1036" s="48" t="s">
        <v>91</v>
      </c>
      <c r="J1036" s="44">
        <f>YEAR(A1036)</f>
        <v>2023</v>
      </c>
    </row>
    <row r="1037" spans="1:10" ht="12" customHeight="1" x14ac:dyDescent="0.25">
      <c r="A1037" s="43">
        <v>45076</v>
      </c>
      <c r="B1037" s="47">
        <v>15472</v>
      </c>
      <c r="C1037" s="44" t="s">
        <v>477</v>
      </c>
      <c r="D1037" s="45">
        <v>-23.2</v>
      </c>
      <c r="E1037" s="48" t="s">
        <v>299</v>
      </c>
      <c r="F1037" s="48" t="s">
        <v>90</v>
      </c>
      <c r="G1037" s="48" t="s">
        <v>305</v>
      </c>
      <c r="I1037" s="44" t="s">
        <v>731</v>
      </c>
      <c r="J1037" s="44">
        <f>YEAR(A1037)</f>
        <v>2023</v>
      </c>
    </row>
    <row r="1038" spans="1:10" ht="12" customHeight="1" x14ac:dyDescent="0.25">
      <c r="A1038" s="43">
        <v>45076</v>
      </c>
      <c r="B1038" s="47">
        <v>15472</v>
      </c>
      <c r="C1038" s="44" t="s">
        <v>477</v>
      </c>
      <c r="D1038" s="45">
        <v>23.2</v>
      </c>
      <c r="E1038" s="48" t="s">
        <v>197</v>
      </c>
      <c r="F1038" s="48" t="s">
        <v>96</v>
      </c>
      <c r="G1038" s="48" t="s">
        <v>91</v>
      </c>
      <c r="J1038" s="44">
        <f>YEAR(A1038)</f>
        <v>2023</v>
      </c>
    </row>
    <row r="1039" spans="1:10" ht="12" customHeight="1" x14ac:dyDescent="0.25">
      <c r="A1039" s="43">
        <v>45076</v>
      </c>
      <c r="B1039" s="47">
        <v>15473</v>
      </c>
      <c r="C1039" s="44" t="s">
        <v>471</v>
      </c>
      <c r="D1039" s="45">
        <v>-16.2</v>
      </c>
      <c r="E1039" s="48" t="s">
        <v>299</v>
      </c>
      <c r="F1039" s="48" t="s">
        <v>90</v>
      </c>
      <c r="G1039" s="48" t="s">
        <v>305</v>
      </c>
      <c r="I1039" s="44" t="s">
        <v>731</v>
      </c>
      <c r="J1039" s="44">
        <f>YEAR(A1039)</f>
        <v>2023</v>
      </c>
    </row>
    <row r="1040" spans="1:10" ht="12" customHeight="1" x14ac:dyDescent="0.25">
      <c r="A1040" s="43">
        <v>45076</v>
      </c>
      <c r="B1040" s="47">
        <v>15473</v>
      </c>
      <c r="C1040" s="44" t="s">
        <v>471</v>
      </c>
      <c r="D1040" s="45">
        <v>16.2</v>
      </c>
      <c r="E1040" s="48" t="s">
        <v>89</v>
      </c>
      <c r="F1040" s="48" t="s">
        <v>90</v>
      </c>
      <c r="G1040" s="48" t="s">
        <v>91</v>
      </c>
      <c r="J1040" s="44">
        <f>YEAR(A1040)</f>
        <v>2023</v>
      </c>
    </row>
    <row r="1041" spans="1:11" ht="12" customHeight="1" x14ac:dyDescent="0.25">
      <c r="A1041" s="43">
        <v>45076</v>
      </c>
      <c r="B1041" s="47">
        <v>15474</v>
      </c>
      <c r="C1041" s="44" t="s">
        <v>568</v>
      </c>
      <c r="D1041" s="45">
        <v>-22.4</v>
      </c>
      <c r="E1041" s="48" t="s">
        <v>299</v>
      </c>
      <c r="F1041" s="48" t="s">
        <v>90</v>
      </c>
      <c r="G1041" s="48" t="s">
        <v>305</v>
      </c>
      <c r="I1041" s="44" t="s">
        <v>731</v>
      </c>
      <c r="J1041" s="44">
        <f>YEAR(A1041)</f>
        <v>2023</v>
      </c>
    </row>
    <row r="1042" spans="1:11" ht="12" customHeight="1" x14ac:dyDescent="0.25">
      <c r="A1042" s="43">
        <v>45076</v>
      </c>
      <c r="B1042" s="47">
        <v>15474</v>
      </c>
      <c r="C1042" s="44" t="s">
        <v>568</v>
      </c>
      <c r="D1042" s="45">
        <v>22.4</v>
      </c>
      <c r="E1042" s="48" t="s">
        <v>89</v>
      </c>
      <c r="F1042" s="48" t="s">
        <v>90</v>
      </c>
      <c r="G1042" s="48" t="s">
        <v>91</v>
      </c>
      <c r="J1042" s="44">
        <f>YEAR(A1042)</f>
        <v>2023</v>
      </c>
    </row>
    <row r="1043" spans="1:11" ht="12" customHeight="1" x14ac:dyDescent="0.25">
      <c r="A1043" s="43">
        <v>45076</v>
      </c>
      <c r="B1043" s="47">
        <v>15475</v>
      </c>
      <c r="C1043" s="44" t="s">
        <v>722</v>
      </c>
      <c r="D1043" s="45">
        <v>-8.25</v>
      </c>
      <c r="E1043" s="48" t="s">
        <v>299</v>
      </c>
      <c r="F1043" s="48" t="s">
        <v>90</v>
      </c>
      <c r="G1043" s="48" t="s">
        <v>305</v>
      </c>
      <c r="I1043" s="44" t="s">
        <v>731</v>
      </c>
      <c r="J1043" s="44">
        <f>YEAR(A1043)</f>
        <v>2023</v>
      </c>
    </row>
    <row r="1044" spans="1:11" ht="12" customHeight="1" x14ac:dyDescent="0.25">
      <c r="A1044" s="43">
        <v>45076</v>
      </c>
      <c r="B1044" s="47">
        <v>15475</v>
      </c>
      <c r="C1044" s="44" t="s">
        <v>722</v>
      </c>
      <c r="D1044" s="45">
        <v>8.25</v>
      </c>
      <c r="E1044" s="48" t="s">
        <v>89</v>
      </c>
      <c r="F1044" s="48" t="s">
        <v>90</v>
      </c>
      <c r="G1044" s="48" t="s">
        <v>91</v>
      </c>
      <c r="J1044" s="44">
        <f>YEAR(A1044)</f>
        <v>2023</v>
      </c>
    </row>
    <row r="1045" spans="1:11" ht="12" customHeight="1" x14ac:dyDescent="0.25">
      <c r="A1045" s="43">
        <v>45076</v>
      </c>
      <c r="B1045" s="47">
        <v>15476</v>
      </c>
      <c r="C1045" s="44" t="s">
        <v>458</v>
      </c>
      <c r="D1045" s="45">
        <v>-69.44</v>
      </c>
      <c r="E1045" s="48" t="s">
        <v>299</v>
      </c>
      <c r="F1045" s="48" t="s">
        <v>90</v>
      </c>
      <c r="G1045" s="48" t="s">
        <v>305</v>
      </c>
      <c r="I1045" s="44" t="s">
        <v>731</v>
      </c>
      <c r="J1045" s="44">
        <f>YEAR(A1045)</f>
        <v>2023</v>
      </c>
    </row>
    <row r="1046" spans="1:11" ht="12" customHeight="1" x14ac:dyDescent="0.25">
      <c r="A1046" s="43">
        <v>45076</v>
      </c>
      <c r="B1046" s="47">
        <v>15476</v>
      </c>
      <c r="C1046" s="44" t="s">
        <v>458</v>
      </c>
      <c r="D1046" s="45">
        <v>48.71</v>
      </c>
      <c r="E1046" s="48" t="s">
        <v>145</v>
      </c>
      <c r="F1046" s="48" t="s">
        <v>135</v>
      </c>
      <c r="G1046" s="48" t="s">
        <v>91</v>
      </c>
      <c r="J1046" s="44">
        <f>YEAR(A1046)</f>
        <v>2023</v>
      </c>
      <c r="K1046" s="49" t="s">
        <v>723</v>
      </c>
    </row>
    <row r="1047" spans="1:11" ht="12" customHeight="1" x14ac:dyDescent="0.25">
      <c r="A1047" s="43">
        <v>45076</v>
      </c>
      <c r="B1047" s="47">
        <v>15476</v>
      </c>
      <c r="C1047" s="44" t="s">
        <v>458</v>
      </c>
      <c r="D1047" s="45">
        <v>20.73</v>
      </c>
      <c r="E1047" s="48" t="s">
        <v>89</v>
      </c>
      <c r="F1047" s="48" t="s">
        <v>90</v>
      </c>
      <c r="G1047" s="48" t="s">
        <v>91</v>
      </c>
      <c r="J1047" s="44">
        <f>YEAR(A1047)</f>
        <v>2023</v>
      </c>
    </row>
    <row r="1048" spans="1:11" ht="12" customHeight="1" x14ac:dyDescent="0.25">
      <c r="A1048" s="43">
        <v>45076</v>
      </c>
      <c r="B1048" s="47">
        <v>15477</v>
      </c>
      <c r="C1048" s="44" t="s">
        <v>454</v>
      </c>
      <c r="D1048" s="45">
        <v>-4.9800000000000004</v>
      </c>
      <c r="E1048" s="48" t="s">
        <v>299</v>
      </c>
      <c r="F1048" s="48" t="s">
        <v>90</v>
      </c>
      <c r="G1048" s="48" t="s">
        <v>305</v>
      </c>
      <c r="I1048" s="44" t="s">
        <v>731</v>
      </c>
      <c r="J1048" s="44">
        <f>YEAR(A1048)</f>
        <v>2023</v>
      </c>
    </row>
    <row r="1049" spans="1:11" ht="12" customHeight="1" x14ac:dyDescent="0.25">
      <c r="A1049" s="43">
        <v>45076</v>
      </c>
      <c r="B1049" s="47">
        <v>15477</v>
      </c>
      <c r="C1049" s="44" t="s">
        <v>454</v>
      </c>
      <c r="D1049" s="45">
        <v>4.9800000000000004</v>
      </c>
      <c r="E1049" s="48" t="s">
        <v>89</v>
      </c>
      <c r="F1049" s="48" t="s">
        <v>90</v>
      </c>
      <c r="G1049" s="48" t="s">
        <v>91</v>
      </c>
      <c r="J1049" s="44">
        <f>YEAR(A1049)</f>
        <v>2023</v>
      </c>
    </row>
    <row r="1050" spans="1:11" ht="12" customHeight="1" x14ac:dyDescent="0.25">
      <c r="A1050" s="43">
        <v>45076</v>
      </c>
      <c r="B1050" s="47">
        <v>15478</v>
      </c>
      <c r="C1050" s="44" t="s">
        <v>460</v>
      </c>
      <c r="D1050" s="45">
        <v>-16.100000000000001</v>
      </c>
      <c r="E1050" s="48" t="s">
        <v>299</v>
      </c>
      <c r="F1050" s="48" t="s">
        <v>90</v>
      </c>
      <c r="G1050" s="48" t="s">
        <v>305</v>
      </c>
      <c r="I1050" s="44" t="s">
        <v>731</v>
      </c>
      <c r="J1050" s="44">
        <f>YEAR(A1050)</f>
        <v>2023</v>
      </c>
    </row>
    <row r="1051" spans="1:11" ht="12" customHeight="1" x14ac:dyDescent="0.25">
      <c r="A1051" s="43">
        <v>45076</v>
      </c>
      <c r="B1051" s="47">
        <v>15478</v>
      </c>
      <c r="C1051" s="44" t="s">
        <v>460</v>
      </c>
      <c r="D1051" s="45">
        <v>16.100000000000001</v>
      </c>
      <c r="E1051" s="48" t="s">
        <v>145</v>
      </c>
      <c r="F1051" s="48" t="s">
        <v>135</v>
      </c>
      <c r="G1051" s="48" t="s">
        <v>91</v>
      </c>
      <c r="J1051" s="44">
        <f>YEAR(A1051)</f>
        <v>2023</v>
      </c>
      <c r="K1051" s="49" t="s">
        <v>724</v>
      </c>
    </row>
    <row r="1052" spans="1:11" ht="12" customHeight="1" x14ac:dyDescent="0.25">
      <c r="A1052" s="43">
        <v>45076</v>
      </c>
      <c r="B1052" s="47">
        <v>15479</v>
      </c>
      <c r="C1052" s="44" t="s">
        <v>446</v>
      </c>
      <c r="D1052" s="45">
        <v>-45.51</v>
      </c>
      <c r="E1052" s="48" t="s">
        <v>299</v>
      </c>
      <c r="F1052" s="48" t="s">
        <v>90</v>
      </c>
      <c r="G1052" s="48" t="s">
        <v>305</v>
      </c>
      <c r="I1052" s="44" t="s">
        <v>731</v>
      </c>
      <c r="J1052" s="44">
        <f>YEAR(A1052)</f>
        <v>2023</v>
      </c>
    </row>
    <row r="1053" spans="1:11" ht="12" customHeight="1" x14ac:dyDescent="0.25">
      <c r="A1053" s="43">
        <v>45076</v>
      </c>
      <c r="B1053" s="47">
        <v>15479</v>
      </c>
      <c r="C1053" s="44" t="s">
        <v>446</v>
      </c>
      <c r="D1053" s="45">
        <v>45.51</v>
      </c>
      <c r="E1053" s="48" t="s">
        <v>89</v>
      </c>
      <c r="F1053" s="48" t="s">
        <v>90</v>
      </c>
      <c r="G1053" s="48" t="s">
        <v>91</v>
      </c>
      <c r="J1053" s="44">
        <f>YEAR(A1053)</f>
        <v>2023</v>
      </c>
    </row>
    <row r="1054" spans="1:11" ht="12" customHeight="1" x14ac:dyDescent="0.25">
      <c r="A1054" s="43">
        <v>45076</v>
      </c>
      <c r="B1054" s="47">
        <v>15480</v>
      </c>
      <c r="C1054" s="44" t="s">
        <v>480</v>
      </c>
      <c r="D1054" s="45">
        <v>-9.4</v>
      </c>
      <c r="E1054" s="48" t="s">
        <v>299</v>
      </c>
      <c r="F1054" s="48" t="s">
        <v>90</v>
      </c>
      <c r="G1054" s="48" t="s">
        <v>305</v>
      </c>
      <c r="I1054" s="44" t="s">
        <v>731</v>
      </c>
      <c r="J1054" s="44">
        <f>YEAR(A1054)</f>
        <v>2023</v>
      </c>
    </row>
    <row r="1055" spans="1:11" ht="12" customHeight="1" x14ac:dyDescent="0.25">
      <c r="A1055" s="43">
        <v>45076</v>
      </c>
      <c r="B1055" s="47">
        <v>15480</v>
      </c>
      <c r="C1055" s="44" t="s">
        <v>480</v>
      </c>
      <c r="D1055" s="45">
        <v>9.4</v>
      </c>
      <c r="E1055" s="48" t="s">
        <v>89</v>
      </c>
      <c r="F1055" s="48" t="s">
        <v>101</v>
      </c>
      <c r="G1055" s="48" t="s">
        <v>91</v>
      </c>
      <c r="J1055" s="44">
        <f>YEAR(A1055)</f>
        <v>2023</v>
      </c>
    </row>
    <row r="1056" spans="1:11" ht="12" customHeight="1" x14ac:dyDescent="0.25">
      <c r="A1056" s="43">
        <v>45077</v>
      </c>
      <c r="B1056" s="47">
        <v>15481</v>
      </c>
      <c r="C1056" s="44" t="s">
        <v>468</v>
      </c>
      <c r="D1056" s="45">
        <v>-61.98</v>
      </c>
      <c r="E1056" s="48" t="s">
        <v>299</v>
      </c>
      <c r="F1056" s="48" t="s">
        <v>90</v>
      </c>
      <c r="G1056" s="48" t="s">
        <v>305</v>
      </c>
      <c r="I1056" s="44" t="s">
        <v>731</v>
      </c>
      <c r="J1056" s="44">
        <f>YEAR(A1056)</f>
        <v>2023</v>
      </c>
    </row>
    <row r="1057" spans="1:11" ht="12" customHeight="1" x14ac:dyDescent="0.25">
      <c r="A1057" s="43">
        <v>45077</v>
      </c>
      <c r="B1057" s="47">
        <v>15481</v>
      </c>
      <c r="C1057" s="44" t="s">
        <v>468</v>
      </c>
      <c r="D1057" s="45">
        <v>40</v>
      </c>
      <c r="E1057" s="48" t="s">
        <v>197</v>
      </c>
      <c r="F1057" s="48" t="s">
        <v>96</v>
      </c>
      <c r="G1057" s="48" t="s">
        <v>91</v>
      </c>
      <c r="J1057" s="44">
        <f>YEAR(A1057)</f>
        <v>2023</v>
      </c>
    </row>
    <row r="1058" spans="1:11" ht="12" customHeight="1" x14ac:dyDescent="0.25">
      <c r="A1058" s="43">
        <v>45077</v>
      </c>
      <c r="B1058" s="47">
        <v>15481</v>
      </c>
      <c r="C1058" s="44" t="s">
        <v>468</v>
      </c>
      <c r="D1058" s="45">
        <v>21.98</v>
      </c>
      <c r="E1058" s="48" t="s">
        <v>197</v>
      </c>
      <c r="F1058" s="48" t="s">
        <v>90</v>
      </c>
      <c r="G1058" s="48" t="s">
        <v>91</v>
      </c>
      <c r="J1058" s="44">
        <f>YEAR(A1058)</f>
        <v>2023</v>
      </c>
    </row>
    <row r="1059" spans="1:11" ht="12" customHeight="1" x14ac:dyDescent="0.25">
      <c r="A1059" s="43">
        <v>45077</v>
      </c>
      <c r="B1059" s="47">
        <v>15482</v>
      </c>
      <c r="C1059" s="44" t="s">
        <v>550</v>
      </c>
      <c r="D1059" s="45">
        <v>-23.85</v>
      </c>
      <c r="E1059" s="48" t="s">
        <v>299</v>
      </c>
      <c r="F1059" s="48" t="s">
        <v>90</v>
      </c>
      <c r="G1059" s="48" t="s">
        <v>305</v>
      </c>
      <c r="I1059" s="44" t="s">
        <v>731</v>
      </c>
      <c r="J1059" s="44">
        <f>YEAR(A1059)</f>
        <v>2023</v>
      </c>
    </row>
    <row r="1060" spans="1:11" ht="12" customHeight="1" x14ac:dyDescent="0.25">
      <c r="A1060" s="43">
        <v>45077</v>
      </c>
      <c r="B1060" s="47">
        <v>15482</v>
      </c>
      <c r="C1060" s="44" t="s">
        <v>550</v>
      </c>
      <c r="D1060" s="45">
        <v>23.85</v>
      </c>
      <c r="E1060" s="48" t="s">
        <v>197</v>
      </c>
      <c r="F1060" s="48" t="s">
        <v>96</v>
      </c>
      <c r="G1060" s="48" t="s">
        <v>93</v>
      </c>
      <c r="J1060" s="44">
        <f>YEAR(A1060)</f>
        <v>2023</v>
      </c>
    </row>
    <row r="1061" spans="1:11" ht="12" customHeight="1" x14ac:dyDescent="0.25">
      <c r="A1061" s="43">
        <v>45078</v>
      </c>
      <c r="B1061" s="47">
        <v>15483</v>
      </c>
      <c r="C1061" s="44" t="s">
        <v>496</v>
      </c>
      <c r="D1061" s="45">
        <v>39.6</v>
      </c>
      <c r="E1061" s="48" t="s">
        <v>89</v>
      </c>
      <c r="F1061" s="48" t="s">
        <v>90</v>
      </c>
      <c r="G1061" s="48" t="s">
        <v>91</v>
      </c>
      <c r="J1061" s="44">
        <f>YEAR(A1061)</f>
        <v>2023</v>
      </c>
    </row>
    <row r="1062" spans="1:11" ht="12" customHeight="1" x14ac:dyDescent="0.25">
      <c r="A1062" s="43">
        <v>45078</v>
      </c>
      <c r="B1062" s="47">
        <v>15483</v>
      </c>
      <c r="C1062" s="44" t="s">
        <v>496</v>
      </c>
      <c r="D1062" s="45">
        <v>-39.6</v>
      </c>
      <c r="E1062" s="48" t="s">
        <v>299</v>
      </c>
      <c r="F1062" s="48" t="s">
        <v>90</v>
      </c>
      <c r="G1062" s="48" t="s">
        <v>305</v>
      </c>
      <c r="I1062" s="44" t="s">
        <v>783</v>
      </c>
      <c r="J1062" s="44">
        <f>YEAR(A1062)</f>
        <v>2023</v>
      </c>
    </row>
    <row r="1063" spans="1:11" ht="12" customHeight="1" x14ac:dyDescent="0.25">
      <c r="A1063" s="43">
        <v>45078</v>
      </c>
      <c r="B1063" s="47">
        <v>15484</v>
      </c>
      <c r="C1063" s="44" t="s">
        <v>502</v>
      </c>
      <c r="D1063" s="45">
        <v>61.2</v>
      </c>
      <c r="E1063" s="48" t="s">
        <v>145</v>
      </c>
      <c r="F1063" s="48" t="s">
        <v>135</v>
      </c>
      <c r="G1063" s="48" t="s">
        <v>91</v>
      </c>
      <c r="J1063" s="44">
        <f>YEAR(A1063)</f>
        <v>2023</v>
      </c>
      <c r="K1063" s="49" t="s">
        <v>724</v>
      </c>
    </row>
    <row r="1064" spans="1:11" ht="12" customHeight="1" x14ac:dyDescent="0.25">
      <c r="A1064" s="43">
        <v>45078</v>
      </c>
      <c r="B1064" s="47">
        <v>15484</v>
      </c>
      <c r="C1064" s="44" t="s">
        <v>502</v>
      </c>
      <c r="D1064" s="45">
        <v>-61.2</v>
      </c>
      <c r="E1064" s="48" t="s">
        <v>299</v>
      </c>
      <c r="F1064" s="48" t="s">
        <v>90</v>
      </c>
      <c r="G1064" s="48" t="s">
        <v>305</v>
      </c>
      <c r="I1064" s="44" t="s">
        <v>783</v>
      </c>
      <c r="J1064" s="44">
        <f>YEAR(A1064)</f>
        <v>2023</v>
      </c>
    </row>
    <row r="1065" spans="1:11" ht="12" customHeight="1" x14ac:dyDescent="0.25">
      <c r="A1065" s="43">
        <v>45078</v>
      </c>
      <c r="B1065" s="47">
        <v>15485</v>
      </c>
      <c r="C1065" s="44" t="s">
        <v>444</v>
      </c>
      <c r="D1065" s="45">
        <v>-67.52</v>
      </c>
      <c r="E1065" s="48" t="s">
        <v>299</v>
      </c>
      <c r="F1065" s="48" t="s">
        <v>90</v>
      </c>
      <c r="G1065" s="48" t="s">
        <v>91</v>
      </c>
      <c r="H1065" s="44" t="s">
        <v>459</v>
      </c>
      <c r="I1065" s="44" t="s">
        <v>733</v>
      </c>
      <c r="J1065" s="44">
        <f>YEAR(A1065)</f>
        <v>2023</v>
      </c>
    </row>
    <row r="1066" spans="1:11" ht="12" customHeight="1" x14ac:dyDescent="0.25">
      <c r="A1066" s="43">
        <v>45078</v>
      </c>
      <c r="B1066" s="47">
        <v>15485</v>
      </c>
      <c r="C1066" s="44" t="s">
        <v>444</v>
      </c>
      <c r="D1066" s="45">
        <v>67.52</v>
      </c>
      <c r="E1066" s="48" t="s">
        <v>145</v>
      </c>
      <c r="F1066" s="48" t="s">
        <v>135</v>
      </c>
      <c r="G1066" s="48" t="s">
        <v>91</v>
      </c>
      <c r="J1066" s="44">
        <f>YEAR(A1066)</f>
        <v>2023</v>
      </c>
      <c r="K1066" s="49" t="s">
        <v>724</v>
      </c>
    </row>
    <row r="1067" spans="1:11" ht="12" customHeight="1" x14ac:dyDescent="0.25">
      <c r="A1067" s="43">
        <v>45078</v>
      </c>
      <c r="B1067" s="47">
        <v>15486</v>
      </c>
      <c r="C1067" s="44" t="s">
        <v>444</v>
      </c>
      <c r="D1067" s="45">
        <v>-67.53</v>
      </c>
      <c r="E1067" s="48" t="s">
        <v>299</v>
      </c>
      <c r="F1067" s="48" t="s">
        <v>90</v>
      </c>
      <c r="G1067" s="48" t="s">
        <v>91</v>
      </c>
      <c r="H1067" s="44" t="s">
        <v>459</v>
      </c>
      <c r="I1067" s="44" t="s">
        <v>733</v>
      </c>
      <c r="J1067" s="44">
        <f>YEAR(A1067)</f>
        <v>2023</v>
      </c>
    </row>
    <row r="1068" spans="1:11" ht="12" customHeight="1" x14ac:dyDescent="0.25">
      <c r="A1068" s="43">
        <v>45078</v>
      </c>
      <c r="B1068" s="47">
        <v>15486</v>
      </c>
      <c r="C1068" s="44" t="s">
        <v>444</v>
      </c>
      <c r="D1068" s="45">
        <v>55.95</v>
      </c>
      <c r="E1068" s="48" t="s">
        <v>89</v>
      </c>
      <c r="F1068" s="48" t="s">
        <v>90</v>
      </c>
      <c r="G1068" s="48" t="s">
        <v>91</v>
      </c>
      <c r="J1068" s="44">
        <f>YEAR(A1068)</f>
        <v>2023</v>
      </c>
    </row>
    <row r="1069" spans="1:11" ht="12" customHeight="1" x14ac:dyDescent="0.25">
      <c r="A1069" s="43">
        <v>45078</v>
      </c>
      <c r="B1069" s="47">
        <v>15486</v>
      </c>
      <c r="C1069" s="44" t="s">
        <v>444</v>
      </c>
      <c r="D1069" s="45">
        <v>11.58</v>
      </c>
      <c r="E1069" s="48" t="s">
        <v>157</v>
      </c>
      <c r="F1069" s="48" t="s">
        <v>96</v>
      </c>
      <c r="G1069" s="48" t="s">
        <v>91</v>
      </c>
      <c r="J1069" s="44">
        <f>YEAR(A1069)</f>
        <v>2023</v>
      </c>
    </row>
    <row r="1070" spans="1:11" ht="12" customHeight="1" x14ac:dyDescent="0.25">
      <c r="A1070" s="43">
        <v>45079</v>
      </c>
      <c r="B1070" s="47">
        <v>15487</v>
      </c>
      <c r="C1070" s="44" t="s">
        <v>463</v>
      </c>
      <c r="D1070" s="45">
        <v>40.5</v>
      </c>
      <c r="E1070" s="48" t="s">
        <v>89</v>
      </c>
      <c r="F1070" s="48" t="s">
        <v>90</v>
      </c>
      <c r="G1070" s="48" t="s">
        <v>91</v>
      </c>
      <c r="J1070" s="44">
        <f>YEAR(A1070)</f>
        <v>2023</v>
      </c>
      <c r="K1070" s="49" t="s">
        <v>724</v>
      </c>
    </row>
    <row r="1071" spans="1:11" ht="12" customHeight="1" x14ac:dyDescent="0.25">
      <c r="A1071" s="43">
        <v>45079</v>
      </c>
      <c r="B1071" s="47">
        <v>15487</v>
      </c>
      <c r="C1071" s="44" t="s">
        <v>463</v>
      </c>
      <c r="D1071" s="45">
        <v>-40.5</v>
      </c>
      <c r="E1071" s="48" t="s">
        <v>299</v>
      </c>
      <c r="F1071" s="48" t="s">
        <v>90</v>
      </c>
      <c r="G1071" s="48" t="s">
        <v>305</v>
      </c>
      <c r="I1071" s="44" t="s">
        <v>783</v>
      </c>
      <c r="J1071" s="44">
        <f>YEAR(A1071)</f>
        <v>2023</v>
      </c>
    </row>
    <row r="1072" spans="1:11" ht="12" customHeight="1" x14ac:dyDescent="0.25">
      <c r="A1072" s="43">
        <v>45079</v>
      </c>
      <c r="B1072" s="47">
        <v>15488</v>
      </c>
      <c r="C1072" s="44" t="s">
        <v>463</v>
      </c>
      <c r="D1072" s="45">
        <v>38.130000000000003</v>
      </c>
      <c r="E1072" s="48" t="s">
        <v>89</v>
      </c>
      <c r="F1072" s="48" t="s">
        <v>90</v>
      </c>
      <c r="G1072" s="48" t="s">
        <v>91</v>
      </c>
      <c r="J1072" s="44">
        <f>YEAR(A1072)</f>
        <v>2023</v>
      </c>
    </row>
    <row r="1073" spans="1:11" ht="12" customHeight="1" x14ac:dyDescent="0.25">
      <c r="A1073" s="43">
        <v>45079</v>
      </c>
      <c r="B1073" s="47">
        <v>15488</v>
      </c>
      <c r="C1073" s="44" t="s">
        <v>463</v>
      </c>
      <c r="D1073" s="45">
        <v>-38.130000000000003</v>
      </c>
      <c r="E1073" s="48" t="s">
        <v>299</v>
      </c>
      <c r="F1073" s="48" t="s">
        <v>90</v>
      </c>
      <c r="G1073" s="48" t="s">
        <v>305</v>
      </c>
      <c r="I1073" s="44" t="s">
        <v>783</v>
      </c>
      <c r="J1073" s="44">
        <f>YEAR(A1073)</f>
        <v>2023</v>
      </c>
    </row>
    <row r="1074" spans="1:11" ht="12" customHeight="1" x14ac:dyDescent="0.25">
      <c r="A1074" s="43">
        <v>45079</v>
      </c>
      <c r="B1074" s="47">
        <v>15489</v>
      </c>
      <c r="C1074" s="44" t="s">
        <v>725</v>
      </c>
      <c r="D1074" s="45">
        <v>11.3</v>
      </c>
      <c r="E1074" s="48" t="s">
        <v>145</v>
      </c>
      <c r="F1074" s="48" t="s">
        <v>135</v>
      </c>
      <c r="G1074" s="48" t="s">
        <v>91</v>
      </c>
      <c r="J1074" s="44">
        <f>YEAR(A1074)</f>
        <v>2023</v>
      </c>
      <c r="K1074" s="49" t="s">
        <v>724</v>
      </c>
    </row>
    <row r="1075" spans="1:11" ht="12" customHeight="1" x14ac:dyDescent="0.25">
      <c r="A1075" s="43">
        <v>45079</v>
      </c>
      <c r="B1075" s="47">
        <v>15489</v>
      </c>
      <c r="C1075" s="44" t="s">
        <v>725</v>
      </c>
      <c r="D1075" s="45">
        <v>-11.3</v>
      </c>
      <c r="E1075" s="48" t="s">
        <v>299</v>
      </c>
      <c r="F1075" s="48" t="s">
        <v>90</v>
      </c>
      <c r="G1075" s="48" t="s">
        <v>305</v>
      </c>
      <c r="I1075" s="44" t="s">
        <v>783</v>
      </c>
      <c r="J1075" s="44">
        <f>YEAR(A1075)</f>
        <v>2023</v>
      </c>
    </row>
    <row r="1076" spans="1:11" ht="12" customHeight="1" x14ac:dyDescent="0.25">
      <c r="A1076" s="43">
        <v>45079</v>
      </c>
      <c r="B1076" s="47">
        <v>15490</v>
      </c>
      <c r="C1076" s="44" t="s">
        <v>444</v>
      </c>
      <c r="D1076" s="45">
        <v>-9.6</v>
      </c>
      <c r="E1076" s="48" t="s">
        <v>299</v>
      </c>
      <c r="F1076" s="48" t="s">
        <v>90</v>
      </c>
      <c r="G1076" s="48" t="s">
        <v>305</v>
      </c>
      <c r="I1076" s="44" t="s">
        <v>783</v>
      </c>
      <c r="J1076" s="44">
        <f>YEAR(A1076)</f>
        <v>2023</v>
      </c>
    </row>
    <row r="1077" spans="1:11" ht="12" customHeight="1" x14ac:dyDescent="0.25">
      <c r="A1077" s="43">
        <v>45079</v>
      </c>
      <c r="B1077" s="47">
        <v>15490</v>
      </c>
      <c r="C1077" s="44" t="s">
        <v>444</v>
      </c>
      <c r="D1077" s="45">
        <v>9.6</v>
      </c>
      <c r="E1077" s="48" t="s">
        <v>197</v>
      </c>
      <c r="F1077" s="48" t="s">
        <v>96</v>
      </c>
      <c r="G1077" s="48" t="s">
        <v>91</v>
      </c>
      <c r="J1077" s="44">
        <f>YEAR(A1077)</f>
        <v>2023</v>
      </c>
    </row>
    <row r="1078" spans="1:11" ht="12" customHeight="1" x14ac:dyDescent="0.25">
      <c r="A1078" s="43">
        <v>45079</v>
      </c>
      <c r="B1078" s="47">
        <v>15491</v>
      </c>
      <c r="C1078" s="44" t="s">
        <v>444</v>
      </c>
      <c r="D1078" s="45">
        <v>-44.02</v>
      </c>
      <c r="E1078" s="48" t="s">
        <v>299</v>
      </c>
      <c r="F1078" s="48" t="s">
        <v>90</v>
      </c>
      <c r="G1078" s="48" t="s">
        <v>91</v>
      </c>
      <c r="H1078" s="44" t="s">
        <v>459</v>
      </c>
      <c r="I1078" s="44" t="s">
        <v>733</v>
      </c>
      <c r="J1078" s="44">
        <f>YEAR(A1078)</f>
        <v>2023</v>
      </c>
    </row>
    <row r="1079" spans="1:11" ht="12" customHeight="1" x14ac:dyDescent="0.25">
      <c r="A1079" s="43">
        <v>45079</v>
      </c>
      <c r="B1079" s="47">
        <v>15491</v>
      </c>
      <c r="C1079" s="44" t="s">
        <v>444</v>
      </c>
      <c r="D1079" s="45">
        <v>5.19</v>
      </c>
      <c r="E1079" s="48" t="s">
        <v>157</v>
      </c>
      <c r="F1079" s="48" t="s">
        <v>96</v>
      </c>
      <c r="G1079" s="48" t="s">
        <v>91</v>
      </c>
      <c r="J1079" s="44">
        <f>YEAR(A1079)</f>
        <v>2023</v>
      </c>
    </row>
    <row r="1080" spans="1:11" ht="12" customHeight="1" x14ac:dyDescent="0.25">
      <c r="A1080" s="43">
        <v>45079</v>
      </c>
      <c r="B1080" s="47">
        <v>15491</v>
      </c>
      <c r="C1080" s="44" t="s">
        <v>444</v>
      </c>
      <c r="D1080" s="45">
        <v>38.83</v>
      </c>
      <c r="E1080" s="48" t="s">
        <v>197</v>
      </c>
      <c r="F1080" s="48" t="s">
        <v>96</v>
      </c>
      <c r="G1080" s="48" t="s">
        <v>91</v>
      </c>
      <c r="J1080" s="44">
        <f>YEAR(A1080)</f>
        <v>2023</v>
      </c>
    </row>
    <row r="1081" spans="1:11" ht="12" customHeight="1" x14ac:dyDescent="0.25">
      <c r="A1081" s="43">
        <v>45080</v>
      </c>
      <c r="B1081" s="47">
        <v>15492</v>
      </c>
      <c r="C1081" s="44" t="s">
        <v>726</v>
      </c>
      <c r="D1081" s="45">
        <v>11.7</v>
      </c>
      <c r="E1081" s="48" t="s">
        <v>89</v>
      </c>
      <c r="F1081" s="48" t="s">
        <v>90</v>
      </c>
      <c r="G1081" s="48" t="s">
        <v>91</v>
      </c>
      <c r="J1081" s="44">
        <f>YEAR(A1081)</f>
        <v>2023</v>
      </c>
    </row>
    <row r="1082" spans="1:11" ht="12" customHeight="1" x14ac:dyDescent="0.25">
      <c r="A1082" s="43">
        <v>45080</v>
      </c>
      <c r="B1082" s="47">
        <v>15492</v>
      </c>
      <c r="C1082" s="44" t="s">
        <v>726</v>
      </c>
      <c r="D1082" s="45">
        <v>-11.7</v>
      </c>
      <c r="E1082" s="48" t="s">
        <v>299</v>
      </c>
      <c r="F1082" s="48" t="s">
        <v>90</v>
      </c>
      <c r="G1082" s="48" t="s">
        <v>305</v>
      </c>
      <c r="I1082" s="44" t="s">
        <v>783</v>
      </c>
      <c r="J1082" s="44">
        <f>YEAR(A1082)</f>
        <v>2023</v>
      </c>
    </row>
    <row r="1083" spans="1:11" ht="12" customHeight="1" x14ac:dyDescent="0.25">
      <c r="A1083" s="43">
        <v>45082</v>
      </c>
      <c r="B1083" s="47">
        <v>15493</v>
      </c>
      <c r="C1083" s="44" t="s">
        <v>466</v>
      </c>
      <c r="D1083" s="45">
        <v>25.75</v>
      </c>
      <c r="E1083" s="48" t="s">
        <v>89</v>
      </c>
      <c r="F1083" s="48" t="s">
        <v>90</v>
      </c>
      <c r="G1083" s="48" t="s">
        <v>91</v>
      </c>
      <c r="J1083" s="44">
        <f>YEAR(A1083)</f>
        <v>2023</v>
      </c>
    </row>
    <row r="1084" spans="1:11" ht="12" customHeight="1" x14ac:dyDescent="0.25">
      <c r="A1084" s="43">
        <v>45082</v>
      </c>
      <c r="B1084" s="47">
        <v>15493</v>
      </c>
      <c r="C1084" s="44" t="s">
        <v>466</v>
      </c>
      <c r="D1084" s="45">
        <v>-25.75</v>
      </c>
      <c r="E1084" s="48" t="s">
        <v>299</v>
      </c>
      <c r="F1084" s="48" t="s">
        <v>90</v>
      </c>
      <c r="G1084" s="48" t="s">
        <v>305</v>
      </c>
      <c r="I1084" s="44" t="s">
        <v>783</v>
      </c>
      <c r="J1084" s="44">
        <f>YEAR(A1084)</f>
        <v>2023</v>
      </c>
    </row>
    <row r="1085" spans="1:11" ht="12" customHeight="1" x14ac:dyDescent="0.25">
      <c r="A1085" s="43">
        <v>45083</v>
      </c>
      <c r="B1085" s="47">
        <v>15494</v>
      </c>
      <c r="C1085" s="44" t="s">
        <v>444</v>
      </c>
      <c r="D1085" s="45">
        <v>68.569999999999993</v>
      </c>
      <c r="E1085" s="48" t="s">
        <v>180</v>
      </c>
      <c r="F1085" s="48" t="s">
        <v>96</v>
      </c>
      <c r="G1085" s="48" t="s">
        <v>186</v>
      </c>
      <c r="J1085" s="44">
        <f>YEAR(A1085)</f>
        <v>2023</v>
      </c>
    </row>
    <row r="1086" spans="1:11" ht="12" customHeight="1" x14ac:dyDescent="0.25">
      <c r="A1086" s="43">
        <v>45083</v>
      </c>
      <c r="B1086" s="47">
        <v>15494</v>
      </c>
      <c r="C1086" s="44" t="s">
        <v>444</v>
      </c>
      <c r="D1086" s="45">
        <v>-68.569999999999993</v>
      </c>
      <c r="E1086" s="48" t="s">
        <v>299</v>
      </c>
      <c r="F1086" s="48" t="s">
        <v>90</v>
      </c>
      <c r="G1086" s="48" t="s">
        <v>305</v>
      </c>
      <c r="I1086" s="44" t="s">
        <v>783</v>
      </c>
      <c r="J1086" s="44">
        <f>YEAR(A1086)</f>
        <v>2023</v>
      </c>
    </row>
    <row r="1087" spans="1:11" ht="12" customHeight="1" x14ac:dyDescent="0.25">
      <c r="A1087" s="43">
        <v>45083</v>
      </c>
      <c r="B1087" s="47">
        <v>15495</v>
      </c>
      <c r="C1087" s="44" t="s">
        <v>444</v>
      </c>
      <c r="D1087" s="45">
        <v>-22.01</v>
      </c>
      <c r="E1087" s="48" t="s">
        <v>299</v>
      </c>
      <c r="F1087" s="48" t="s">
        <v>90</v>
      </c>
      <c r="G1087" s="48" t="s">
        <v>91</v>
      </c>
      <c r="H1087" s="44" t="s">
        <v>459</v>
      </c>
      <c r="I1087" s="44" t="s">
        <v>733</v>
      </c>
      <c r="J1087" s="44">
        <f>YEAR(A1087)</f>
        <v>2023</v>
      </c>
    </row>
    <row r="1088" spans="1:11" ht="12" customHeight="1" x14ac:dyDescent="0.25">
      <c r="A1088" s="43">
        <v>45083</v>
      </c>
      <c r="B1088" s="47">
        <v>15495</v>
      </c>
      <c r="C1088" s="44" t="s">
        <v>444</v>
      </c>
      <c r="D1088" s="45">
        <v>5.33</v>
      </c>
      <c r="E1088" s="48" t="s">
        <v>89</v>
      </c>
      <c r="F1088" s="48" t="s">
        <v>90</v>
      </c>
      <c r="G1088" s="48" t="s">
        <v>91</v>
      </c>
      <c r="J1088" s="44">
        <f>YEAR(A1088)</f>
        <v>2023</v>
      </c>
    </row>
    <row r="1089" spans="1:10" ht="12" customHeight="1" x14ac:dyDescent="0.25">
      <c r="A1089" s="43">
        <v>45083</v>
      </c>
      <c r="B1089" s="47">
        <v>15495</v>
      </c>
      <c r="C1089" s="44" t="s">
        <v>444</v>
      </c>
      <c r="D1089" s="45">
        <v>16.68</v>
      </c>
      <c r="E1089" s="48" t="s">
        <v>197</v>
      </c>
      <c r="F1089" s="48" t="s">
        <v>96</v>
      </c>
      <c r="G1089" s="48" t="s">
        <v>93</v>
      </c>
      <c r="J1089" s="44">
        <f>YEAR(A1089)</f>
        <v>2023</v>
      </c>
    </row>
    <row r="1090" spans="1:10" ht="12" customHeight="1" x14ac:dyDescent="0.25">
      <c r="A1090" s="43">
        <v>45083</v>
      </c>
      <c r="B1090" s="47">
        <v>15496</v>
      </c>
      <c r="C1090" s="44" t="s">
        <v>444</v>
      </c>
      <c r="D1090" s="45">
        <v>12.19</v>
      </c>
      <c r="E1090" s="48" t="s">
        <v>157</v>
      </c>
      <c r="F1090" s="48" t="s">
        <v>96</v>
      </c>
      <c r="G1090" s="48" t="s">
        <v>91</v>
      </c>
      <c r="J1090" s="44">
        <f>YEAR(A1090)</f>
        <v>2023</v>
      </c>
    </row>
    <row r="1091" spans="1:10" ht="12" customHeight="1" x14ac:dyDescent="0.25">
      <c r="A1091" s="43">
        <v>45083</v>
      </c>
      <c r="B1091" s="47">
        <v>15496</v>
      </c>
      <c r="C1091" s="44" t="s">
        <v>444</v>
      </c>
      <c r="D1091" s="45">
        <v>-12.19</v>
      </c>
      <c r="E1091" s="48" t="s">
        <v>299</v>
      </c>
      <c r="F1091" s="48" t="s">
        <v>90</v>
      </c>
      <c r="G1091" s="48" t="s">
        <v>91</v>
      </c>
      <c r="H1091" s="44" t="s">
        <v>459</v>
      </c>
      <c r="I1091" s="44" t="s">
        <v>733</v>
      </c>
      <c r="J1091" s="44">
        <f>YEAR(A1091)</f>
        <v>2023</v>
      </c>
    </row>
    <row r="1092" spans="1:10" ht="12" customHeight="1" x14ac:dyDescent="0.25">
      <c r="A1092" s="43">
        <v>45092</v>
      </c>
      <c r="B1092" s="47">
        <v>15497</v>
      </c>
      <c r="C1092" s="44" t="s">
        <v>448</v>
      </c>
      <c r="D1092" s="45">
        <v>-99.2</v>
      </c>
      <c r="E1092" s="48" t="s">
        <v>299</v>
      </c>
      <c r="F1092" s="48" t="s">
        <v>90</v>
      </c>
      <c r="G1092" s="48" t="s">
        <v>91</v>
      </c>
      <c r="H1092" s="44" t="s">
        <v>391</v>
      </c>
      <c r="I1092" s="44" t="s">
        <v>733</v>
      </c>
      <c r="J1092" s="44">
        <f>YEAR(A1092)</f>
        <v>2023</v>
      </c>
    </row>
    <row r="1093" spans="1:10" ht="12" customHeight="1" x14ac:dyDescent="0.25">
      <c r="A1093" s="43">
        <v>45092</v>
      </c>
      <c r="B1093" s="47">
        <v>15497</v>
      </c>
      <c r="C1093" s="44" t="s">
        <v>448</v>
      </c>
      <c r="D1093" s="45">
        <v>99.2</v>
      </c>
      <c r="E1093" s="48" t="s">
        <v>180</v>
      </c>
      <c r="F1093" s="48" t="s">
        <v>90</v>
      </c>
      <c r="G1093" s="48" t="s">
        <v>91</v>
      </c>
      <c r="H1093" s="44" t="s">
        <v>442</v>
      </c>
      <c r="J1093" s="44">
        <f>YEAR(A1093)</f>
        <v>2023</v>
      </c>
    </row>
    <row r="1094" spans="1:10" ht="12" customHeight="1" x14ac:dyDescent="0.25">
      <c r="A1094" s="43">
        <v>45103</v>
      </c>
      <c r="B1094" s="47">
        <v>15498</v>
      </c>
      <c r="C1094" s="44" t="s">
        <v>413</v>
      </c>
      <c r="D1094" s="45">
        <v>154.38999999999999</v>
      </c>
      <c r="E1094" s="48" t="s">
        <v>157</v>
      </c>
      <c r="F1094" s="48" t="s">
        <v>137</v>
      </c>
      <c r="G1094" s="48" t="s">
        <v>91</v>
      </c>
      <c r="J1094" s="44">
        <f>YEAR(A1094)</f>
        <v>2023</v>
      </c>
    </row>
    <row r="1095" spans="1:10" ht="12" customHeight="1" x14ac:dyDescent="0.25">
      <c r="A1095" s="43">
        <v>45103</v>
      </c>
      <c r="B1095" s="47">
        <v>15498</v>
      </c>
      <c r="C1095" s="44" t="s">
        <v>413</v>
      </c>
      <c r="D1095" s="45">
        <v>-154.38999999999999</v>
      </c>
      <c r="E1095" s="48" t="s">
        <v>299</v>
      </c>
      <c r="F1095" s="48" t="s">
        <v>90</v>
      </c>
      <c r="G1095" s="48" t="s">
        <v>91</v>
      </c>
      <c r="H1095" s="44" t="s">
        <v>391</v>
      </c>
      <c r="I1095" s="44" t="s">
        <v>785</v>
      </c>
      <c r="J1095" s="44">
        <f>YEAR(A1095)</f>
        <v>2023</v>
      </c>
    </row>
    <row r="1096" spans="1:10" ht="12" customHeight="1" x14ac:dyDescent="0.25">
      <c r="A1096" s="43">
        <v>45103</v>
      </c>
      <c r="B1096" s="47">
        <v>15499</v>
      </c>
      <c r="C1096" s="44" t="s">
        <v>413</v>
      </c>
      <c r="D1096" s="45">
        <v>152.1</v>
      </c>
      <c r="E1096" s="48" t="s">
        <v>157</v>
      </c>
      <c r="F1096" s="48" t="s">
        <v>137</v>
      </c>
      <c r="G1096" s="48" t="s">
        <v>91</v>
      </c>
      <c r="J1096" s="44">
        <f>YEAR(A1096)</f>
        <v>2023</v>
      </c>
    </row>
    <row r="1097" spans="1:10" ht="12" customHeight="1" x14ac:dyDescent="0.25">
      <c r="A1097" s="43">
        <v>45103</v>
      </c>
      <c r="B1097" s="47">
        <v>15499</v>
      </c>
      <c r="C1097" s="44" t="s">
        <v>413</v>
      </c>
      <c r="D1097" s="45">
        <v>-152.1</v>
      </c>
      <c r="E1097" s="48" t="s">
        <v>299</v>
      </c>
      <c r="F1097" s="48" t="s">
        <v>90</v>
      </c>
      <c r="G1097" s="48" t="s">
        <v>91</v>
      </c>
      <c r="H1097" s="44" t="s">
        <v>391</v>
      </c>
      <c r="I1097" s="44" t="s">
        <v>785</v>
      </c>
      <c r="J1097" s="44">
        <f>YEAR(A1097)</f>
        <v>2023</v>
      </c>
    </row>
    <row r="1098" spans="1:10" ht="12" customHeight="1" x14ac:dyDescent="0.25">
      <c r="A1098" s="43">
        <v>45091</v>
      </c>
      <c r="B1098" s="47">
        <v>15500</v>
      </c>
      <c r="C1098" s="44" t="s">
        <v>727</v>
      </c>
      <c r="D1098" s="45">
        <v>-160</v>
      </c>
      <c r="E1098" s="48" t="s">
        <v>299</v>
      </c>
      <c r="F1098" s="48" t="s">
        <v>90</v>
      </c>
      <c r="G1098" s="48" t="s">
        <v>91</v>
      </c>
      <c r="H1098" s="44" t="s">
        <v>402</v>
      </c>
      <c r="I1098" s="44" t="s">
        <v>733</v>
      </c>
      <c r="J1098" s="44">
        <f>YEAR(A1098)</f>
        <v>2023</v>
      </c>
    </row>
    <row r="1099" spans="1:10" ht="12" customHeight="1" x14ac:dyDescent="0.25">
      <c r="A1099" s="43">
        <v>45091</v>
      </c>
      <c r="B1099" s="47">
        <v>15500</v>
      </c>
      <c r="C1099" s="44" t="s">
        <v>727</v>
      </c>
      <c r="D1099" s="45">
        <v>160</v>
      </c>
      <c r="E1099" s="48" t="s">
        <v>145</v>
      </c>
      <c r="F1099" s="48" t="s">
        <v>116</v>
      </c>
      <c r="G1099" s="48" t="s">
        <v>98</v>
      </c>
      <c r="J1099" s="44">
        <f>YEAR(A1099)</f>
        <v>2023</v>
      </c>
    </row>
    <row r="1100" spans="1:10" ht="12" customHeight="1" x14ac:dyDescent="0.25">
      <c r="A1100" s="43">
        <v>45085</v>
      </c>
      <c r="B1100" s="47">
        <v>15501</v>
      </c>
      <c r="C1100" s="44" t="s">
        <v>729</v>
      </c>
      <c r="D1100" s="45">
        <v>40</v>
      </c>
      <c r="E1100" s="48" t="s">
        <v>197</v>
      </c>
      <c r="F1100" s="48" t="s">
        <v>90</v>
      </c>
      <c r="G1100" s="48" t="s">
        <v>99</v>
      </c>
      <c r="J1100" s="44">
        <f>YEAR(A1100)</f>
        <v>2023</v>
      </c>
    </row>
    <row r="1101" spans="1:10" ht="12" customHeight="1" x14ac:dyDescent="0.25">
      <c r="A1101" s="43">
        <v>45085</v>
      </c>
      <c r="B1101" s="47">
        <v>15501</v>
      </c>
      <c r="C1101" s="44" t="s">
        <v>729</v>
      </c>
      <c r="D1101" s="45">
        <v>-40</v>
      </c>
      <c r="E1101" s="48" t="s">
        <v>299</v>
      </c>
      <c r="F1101" s="48" t="s">
        <v>90</v>
      </c>
      <c r="G1101" s="48" t="s">
        <v>305</v>
      </c>
      <c r="I1101" s="44" t="s">
        <v>783</v>
      </c>
      <c r="J1101" s="44">
        <f>YEAR(A1101)</f>
        <v>2023</v>
      </c>
    </row>
    <row r="1102" spans="1:10" ht="12" customHeight="1" x14ac:dyDescent="0.25">
      <c r="A1102" s="43">
        <v>45087</v>
      </c>
      <c r="B1102" s="47">
        <v>15502</v>
      </c>
      <c r="C1102" s="44" t="s">
        <v>464</v>
      </c>
      <c r="D1102" s="45">
        <v>106.22</v>
      </c>
      <c r="E1102" s="48" t="s">
        <v>89</v>
      </c>
      <c r="F1102" s="48" t="s">
        <v>90</v>
      </c>
      <c r="G1102" s="48" t="s">
        <v>91</v>
      </c>
      <c r="J1102" s="44">
        <f>YEAR(A1102)</f>
        <v>2023</v>
      </c>
    </row>
    <row r="1103" spans="1:10" ht="12" customHeight="1" x14ac:dyDescent="0.25">
      <c r="A1103" s="43">
        <v>45087</v>
      </c>
      <c r="B1103" s="47">
        <v>15502</v>
      </c>
      <c r="C1103" s="44" t="s">
        <v>464</v>
      </c>
      <c r="D1103" s="45">
        <v>-106.22</v>
      </c>
      <c r="E1103" s="48" t="s">
        <v>299</v>
      </c>
      <c r="F1103" s="48" t="s">
        <v>90</v>
      </c>
      <c r="G1103" s="48" t="s">
        <v>305</v>
      </c>
      <c r="I1103" s="44" t="s">
        <v>783</v>
      </c>
      <c r="J1103" s="44">
        <f>YEAR(A1103)</f>
        <v>2023</v>
      </c>
    </row>
    <row r="1104" spans="1:10" ht="12" customHeight="1" x14ac:dyDescent="0.25">
      <c r="A1104" s="43">
        <v>45087</v>
      </c>
      <c r="B1104" s="47">
        <v>15503</v>
      </c>
      <c r="C1104" s="44" t="s">
        <v>446</v>
      </c>
      <c r="D1104" s="45">
        <v>66.94</v>
      </c>
      <c r="E1104" s="48" t="s">
        <v>89</v>
      </c>
      <c r="F1104" s="48" t="s">
        <v>90</v>
      </c>
      <c r="G1104" s="48" t="s">
        <v>91</v>
      </c>
      <c r="J1104" s="44">
        <f>YEAR(A1104)</f>
        <v>2023</v>
      </c>
    </row>
    <row r="1105" spans="1:10" ht="12" customHeight="1" x14ac:dyDescent="0.25">
      <c r="A1105" s="43">
        <v>45087</v>
      </c>
      <c r="B1105" s="47">
        <v>15503</v>
      </c>
      <c r="C1105" s="44" t="s">
        <v>446</v>
      </c>
      <c r="D1105" s="45">
        <v>-66.94</v>
      </c>
      <c r="E1105" s="48" t="s">
        <v>299</v>
      </c>
      <c r="F1105" s="48" t="s">
        <v>90</v>
      </c>
      <c r="G1105" s="48" t="s">
        <v>305</v>
      </c>
      <c r="I1105" s="44" t="s">
        <v>783</v>
      </c>
      <c r="J1105" s="44">
        <f>YEAR(A1105)</f>
        <v>2023</v>
      </c>
    </row>
    <row r="1106" spans="1:10" ht="12" customHeight="1" x14ac:dyDescent="0.25">
      <c r="A1106" s="43">
        <v>45087</v>
      </c>
      <c r="B1106" s="47">
        <v>15504</v>
      </c>
      <c r="C1106" s="44" t="s">
        <v>464</v>
      </c>
      <c r="D1106" s="45">
        <v>16.239999999999998</v>
      </c>
      <c r="E1106" s="48" t="s">
        <v>89</v>
      </c>
      <c r="F1106" s="48" t="s">
        <v>90</v>
      </c>
      <c r="G1106" s="48" t="s">
        <v>91</v>
      </c>
      <c r="J1106" s="44">
        <f>YEAR(A1106)</f>
        <v>2023</v>
      </c>
    </row>
    <row r="1107" spans="1:10" ht="12" customHeight="1" x14ac:dyDescent="0.25">
      <c r="A1107" s="43">
        <v>45087</v>
      </c>
      <c r="B1107" s="47">
        <v>15504</v>
      </c>
      <c r="C1107" s="44" t="s">
        <v>464</v>
      </c>
      <c r="D1107" s="45">
        <v>-16.239999999999998</v>
      </c>
      <c r="E1107" s="48" t="s">
        <v>299</v>
      </c>
      <c r="F1107" s="48" t="s">
        <v>90</v>
      </c>
      <c r="G1107" s="48" t="s">
        <v>305</v>
      </c>
      <c r="I1107" s="44" t="s">
        <v>783</v>
      </c>
      <c r="J1107" s="44">
        <f>YEAR(A1107)</f>
        <v>2023</v>
      </c>
    </row>
    <row r="1108" spans="1:10" ht="12" customHeight="1" x14ac:dyDescent="0.25">
      <c r="A1108" s="43">
        <v>45089</v>
      </c>
      <c r="B1108" s="47">
        <v>15505</v>
      </c>
      <c r="C1108" s="44" t="s">
        <v>728</v>
      </c>
      <c r="D1108" s="45">
        <v>15.3</v>
      </c>
      <c r="E1108" s="48" t="s">
        <v>197</v>
      </c>
      <c r="F1108" s="48" t="s">
        <v>90</v>
      </c>
      <c r="G1108" s="48" t="s">
        <v>99</v>
      </c>
      <c r="J1108" s="44">
        <f>YEAR(A1108)</f>
        <v>2023</v>
      </c>
    </row>
    <row r="1109" spans="1:10" ht="12" customHeight="1" x14ac:dyDescent="0.25">
      <c r="A1109" s="43">
        <v>45089</v>
      </c>
      <c r="B1109" s="47">
        <v>15505</v>
      </c>
      <c r="C1109" s="44" t="s">
        <v>728</v>
      </c>
      <c r="D1109" s="45">
        <v>-15.3</v>
      </c>
      <c r="E1109" s="48" t="s">
        <v>299</v>
      </c>
      <c r="F1109" s="48" t="s">
        <v>90</v>
      </c>
      <c r="G1109" s="48" t="s">
        <v>305</v>
      </c>
      <c r="I1109" s="44" t="s">
        <v>783</v>
      </c>
      <c r="J1109" s="44">
        <f>YEAR(A1109)</f>
        <v>2023</v>
      </c>
    </row>
    <row r="1110" spans="1:10" ht="12" customHeight="1" x14ac:dyDescent="0.25">
      <c r="A1110" s="43">
        <v>45089</v>
      </c>
      <c r="B1110" s="47">
        <v>15506</v>
      </c>
      <c r="C1110" s="44" t="s">
        <v>507</v>
      </c>
      <c r="D1110" s="45">
        <v>3.9</v>
      </c>
      <c r="E1110" s="48" t="s">
        <v>180</v>
      </c>
      <c r="F1110" s="48" t="s">
        <v>90</v>
      </c>
      <c r="G1110" s="48" t="s">
        <v>91</v>
      </c>
      <c r="H1110" s="44" t="s">
        <v>442</v>
      </c>
      <c r="J1110" s="44">
        <f>YEAR(A1110)</f>
        <v>2023</v>
      </c>
    </row>
    <row r="1111" spans="1:10" ht="12" customHeight="1" x14ac:dyDescent="0.25">
      <c r="A1111" s="43">
        <v>45089</v>
      </c>
      <c r="B1111" s="47">
        <v>15506</v>
      </c>
      <c r="C1111" s="44" t="s">
        <v>507</v>
      </c>
      <c r="D1111" s="45">
        <v>-3.9</v>
      </c>
      <c r="E1111" s="48" t="s">
        <v>299</v>
      </c>
      <c r="F1111" s="48" t="s">
        <v>90</v>
      </c>
      <c r="G1111" s="48" t="s">
        <v>305</v>
      </c>
      <c r="I1111" s="44" t="s">
        <v>783</v>
      </c>
      <c r="J1111" s="44">
        <f>YEAR(A1111)</f>
        <v>2023</v>
      </c>
    </row>
    <row r="1112" spans="1:10" ht="12" customHeight="1" x14ac:dyDescent="0.25">
      <c r="A1112" s="43">
        <v>45090</v>
      </c>
      <c r="B1112" s="47">
        <v>15507</v>
      </c>
      <c r="C1112" s="44" t="s">
        <v>587</v>
      </c>
      <c r="D1112" s="45">
        <v>10.3</v>
      </c>
      <c r="E1112" s="48" t="s">
        <v>89</v>
      </c>
      <c r="F1112" s="48" t="s">
        <v>90</v>
      </c>
      <c r="G1112" s="48" t="s">
        <v>91</v>
      </c>
      <c r="J1112" s="44">
        <f>YEAR(A1112)</f>
        <v>2023</v>
      </c>
    </row>
    <row r="1113" spans="1:10" ht="12" customHeight="1" x14ac:dyDescent="0.25">
      <c r="A1113" s="43">
        <v>45090</v>
      </c>
      <c r="B1113" s="47">
        <v>15507</v>
      </c>
      <c r="C1113" s="44" t="s">
        <v>587</v>
      </c>
      <c r="D1113" s="45">
        <v>-10.3</v>
      </c>
      <c r="E1113" s="48" t="s">
        <v>299</v>
      </c>
      <c r="F1113" s="48" t="s">
        <v>90</v>
      </c>
      <c r="G1113" s="48" t="s">
        <v>305</v>
      </c>
      <c r="I1113" s="44" t="s">
        <v>783</v>
      </c>
      <c r="J1113" s="44">
        <f>YEAR(A1113)</f>
        <v>2023</v>
      </c>
    </row>
    <row r="1114" spans="1:10" ht="12" customHeight="1" x14ac:dyDescent="0.25">
      <c r="A1114" s="43">
        <v>45084</v>
      </c>
      <c r="B1114" s="47">
        <v>15508</v>
      </c>
      <c r="C1114" s="44" t="s">
        <v>730</v>
      </c>
      <c r="D1114" s="45">
        <v>60</v>
      </c>
      <c r="E1114" s="48" t="s">
        <v>197</v>
      </c>
      <c r="F1114" s="48" t="s">
        <v>96</v>
      </c>
      <c r="G1114" s="48" t="s">
        <v>93</v>
      </c>
      <c r="J1114" s="44">
        <f>YEAR(A1114)</f>
        <v>2023</v>
      </c>
    </row>
    <row r="1115" spans="1:10" ht="12" customHeight="1" x14ac:dyDescent="0.25">
      <c r="A1115" s="43">
        <v>45084</v>
      </c>
      <c r="B1115" s="47">
        <v>15508</v>
      </c>
      <c r="C1115" s="44" t="s">
        <v>441</v>
      </c>
      <c r="D1115" s="45">
        <v>-60</v>
      </c>
      <c r="E1115" s="48" t="s">
        <v>299</v>
      </c>
      <c r="F1115" s="48" t="s">
        <v>101</v>
      </c>
      <c r="G1115" s="48" t="s">
        <v>91</v>
      </c>
      <c r="J1115" s="44">
        <f>YEAR(A1115)</f>
        <v>2023</v>
      </c>
    </row>
    <row r="1116" spans="1:10" ht="12" customHeight="1" x14ac:dyDescent="0.25">
      <c r="A1116" s="43">
        <v>45091</v>
      </c>
      <c r="B1116" s="47">
        <v>15509</v>
      </c>
      <c r="C1116" s="44" t="s">
        <v>563</v>
      </c>
      <c r="D1116" s="45">
        <v>-1149.48</v>
      </c>
      <c r="E1116" s="48" t="s">
        <v>214</v>
      </c>
      <c r="F1116" s="48" t="s">
        <v>90</v>
      </c>
      <c r="G1116" s="48" t="s">
        <v>99</v>
      </c>
      <c r="J1116" s="44">
        <f>YEAR(A1116)</f>
        <v>2023</v>
      </c>
    </row>
    <row r="1117" spans="1:10" ht="12" customHeight="1" x14ac:dyDescent="0.25">
      <c r="A1117" s="43">
        <v>45091</v>
      </c>
      <c r="B1117" s="47">
        <v>15509</v>
      </c>
      <c r="C1117" s="44" t="s">
        <v>564</v>
      </c>
      <c r="D1117" s="45">
        <v>174.84</v>
      </c>
      <c r="E1117" s="48" t="s">
        <v>110</v>
      </c>
      <c r="F1117" s="48" t="s">
        <v>90</v>
      </c>
      <c r="G1117" s="48" t="s">
        <v>91</v>
      </c>
      <c r="J1117" s="44">
        <f>YEAR(A1117)</f>
        <v>2023</v>
      </c>
    </row>
    <row r="1118" spans="1:10" ht="12" customHeight="1" x14ac:dyDescent="0.25">
      <c r="A1118" s="43">
        <v>45091</v>
      </c>
      <c r="B1118" s="47">
        <v>15509</v>
      </c>
      <c r="C1118" s="44" t="s">
        <v>563</v>
      </c>
      <c r="D1118" s="45">
        <v>974.64</v>
      </c>
      <c r="E1118" s="48" t="s">
        <v>299</v>
      </c>
      <c r="F1118" s="48" t="s">
        <v>90</v>
      </c>
      <c r="G1118" s="48" t="s">
        <v>91</v>
      </c>
      <c r="H1118" s="44" t="s">
        <v>398</v>
      </c>
      <c r="I1118" s="44" t="s">
        <v>734</v>
      </c>
      <c r="J1118" s="44">
        <f>YEAR(A1118)</f>
        <v>2023</v>
      </c>
    </row>
    <row r="1119" spans="1:10" ht="12" customHeight="1" x14ac:dyDescent="0.25">
      <c r="A1119" s="43">
        <v>45079</v>
      </c>
      <c r="B1119" s="47">
        <v>15510</v>
      </c>
      <c r="C1119" s="44" t="s">
        <v>410</v>
      </c>
      <c r="D1119" s="45">
        <v>603.24</v>
      </c>
      <c r="E1119" s="48" t="s">
        <v>299</v>
      </c>
      <c r="F1119" s="48" t="s">
        <v>90</v>
      </c>
      <c r="G1119" s="48" t="s">
        <v>91</v>
      </c>
      <c r="H1119" s="44" t="s">
        <v>398</v>
      </c>
      <c r="I1119" s="44" t="s">
        <v>734</v>
      </c>
      <c r="J1119" s="44">
        <f>YEAR(A1119)</f>
        <v>2023</v>
      </c>
    </row>
    <row r="1120" spans="1:10" ht="12" customHeight="1" x14ac:dyDescent="0.25">
      <c r="A1120" s="43">
        <v>45079</v>
      </c>
      <c r="B1120" s="47">
        <v>15510</v>
      </c>
      <c r="C1120" s="44" t="s">
        <v>410</v>
      </c>
      <c r="D1120" s="45">
        <v>-715.89</v>
      </c>
      <c r="E1120" s="48" t="s">
        <v>214</v>
      </c>
      <c r="F1120" s="48" t="s">
        <v>128</v>
      </c>
      <c r="G1120" s="48" t="s">
        <v>99</v>
      </c>
      <c r="J1120" s="44">
        <f>YEAR(A1120)</f>
        <v>2023</v>
      </c>
    </row>
    <row r="1121" spans="1:10" ht="12" customHeight="1" x14ac:dyDescent="0.25">
      <c r="A1121" s="43">
        <v>45079</v>
      </c>
      <c r="B1121" s="47">
        <v>15510</v>
      </c>
      <c r="C1121" s="44" t="s">
        <v>411</v>
      </c>
      <c r="D1121" s="45">
        <v>112.65</v>
      </c>
      <c r="E1121" s="48" t="s">
        <v>110</v>
      </c>
      <c r="F1121" s="48" t="s">
        <v>90</v>
      </c>
      <c r="G1121" s="48" t="s">
        <v>91</v>
      </c>
      <c r="J1121" s="44">
        <f>YEAR(A1121)</f>
        <v>2023</v>
      </c>
    </row>
    <row r="1122" spans="1:10" ht="12" customHeight="1" x14ac:dyDescent="0.25">
      <c r="A1122" s="43">
        <v>45069</v>
      </c>
      <c r="B1122" s="47">
        <v>15511</v>
      </c>
      <c r="C1122" s="44" t="s">
        <v>573</v>
      </c>
      <c r="D1122" s="45">
        <v>5.5</v>
      </c>
      <c r="E1122" s="48" t="s">
        <v>180</v>
      </c>
      <c r="F1122" s="48" t="s">
        <v>90</v>
      </c>
      <c r="G1122" s="48" t="s">
        <v>91</v>
      </c>
      <c r="H1122" s="44" t="s">
        <v>442</v>
      </c>
      <c r="J1122" s="44">
        <f>YEAR(A1122)</f>
        <v>2023</v>
      </c>
    </row>
    <row r="1123" spans="1:10" ht="12" customHeight="1" x14ac:dyDescent="0.25">
      <c r="A1123" s="43">
        <v>45069</v>
      </c>
      <c r="B1123" s="47">
        <v>15511</v>
      </c>
      <c r="C1123" s="44" t="s">
        <v>573</v>
      </c>
      <c r="D1123" s="45">
        <v>-5.5</v>
      </c>
      <c r="E1123" s="48" t="s">
        <v>299</v>
      </c>
      <c r="F1123" s="48" t="s">
        <v>90</v>
      </c>
      <c r="G1123" s="48" t="s">
        <v>305</v>
      </c>
      <c r="I1123" s="44" t="s">
        <v>731</v>
      </c>
      <c r="J1123" s="44">
        <f>YEAR(A1123)</f>
        <v>2023</v>
      </c>
    </row>
    <row r="1124" spans="1:10" ht="12" customHeight="1" x14ac:dyDescent="0.25">
      <c r="A1124" s="43">
        <v>45055</v>
      </c>
      <c r="B1124" s="47">
        <v>15512</v>
      </c>
      <c r="C1124" s="44" t="s">
        <v>455</v>
      </c>
      <c r="D1124" s="45">
        <v>81.790000000000006</v>
      </c>
      <c r="E1124" s="48" t="s">
        <v>89</v>
      </c>
      <c r="F1124" s="48" t="s">
        <v>90</v>
      </c>
      <c r="G1124" s="48" t="s">
        <v>91</v>
      </c>
      <c r="J1124" s="44">
        <f>YEAR(A1124)</f>
        <v>2023</v>
      </c>
    </row>
    <row r="1125" spans="1:10" ht="12" customHeight="1" x14ac:dyDescent="0.25">
      <c r="A1125" s="43">
        <v>45055</v>
      </c>
      <c r="B1125" s="47">
        <v>15512</v>
      </c>
      <c r="C1125" s="44" t="s">
        <v>455</v>
      </c>
      <c r="D1125" s="45">
        <v>-81.790000000000006</v>
      </c>
      <c r="E1125" s="48" t="s">
        <v>299</v>
      </c>
      <c r="F1125" s="48" t="s">
        <v>90</v>
      </c>
      <c r="G1125" s="48" t="s">
        <v>305</v>
      </c>
      <c r="I1125" s="44" t="s">
        <v>731</v>
      </c>
      <c r="J1125" s="44">
        <f>YEAR(A1125)</f>
        <v>2023</v>
      </c>
    </row>
    <row r="1126" spans="1:10" ht="12" customHeight="1" x14ac:dyDescent="0.25">
      <c r="A1126" s="43">
        <v>45082</v>
      </c>
      <c r="B1126" s="47">
        <v>15513</v>
      </c>
      <c r="C1126" s="44" t="s">
        <v>417</v>
      </c>
      <c r="D1126" s="45">
        <v>-1907.71</v>
      </c>
      <c r="E1126" s="48" t="s">
        <v>299</v>
      </c>
      <c r="F1126" s="48" t="s">
        <v>90</v>
      </c>
      <c r="G1126" s="48" t="s">
        <v>91</v>
      </c>
      <c r="I1126" s="44" t="s">
        <v>733</v>
      </c>
      <c r="J1126" s="44">
        <f>YEAR(A1126)</f>
        <v>2023</v>
      </c>
    </row>
    <row r="1127" spans="1:10" ht="12" customHeight="1" x14ac:dyDescent="0.25">
      <c r="A1127" s="43">
        <v>45082</v>
      </c>
      <c r="B1127" s="47">
        <v>15513</v>
      </c>
      <c r="C1127" s="44" t="s">
        <v>417</v>
      </c>
      <c r="D1127" s="45">
        <v>1907.71</v>
      </c>
      <c r="E1127" s="48" t="s">
        <v>299</v>
      </c>
      <c r="F1127" s="48" t="s">
        <v>90</v>
      </c>
      <c r="G1127" s="48" t="s">
        <v>305</v>
      </c>
      <c r="I1127" s="44" t="s">
        <v>732</v>
      </c>
      <c r="J1127" s="44">
        <f>YEAR(A1127)</f>
        <v>2023</v>
      </c>
    </row>
    <row r="1128" spans="1:10" ht="12" customHeight="1" x14ac:dyDescent="0.25">
      <c r="A1128" s="43">
        <v>45079</v>
      </c>
      <c r="B1128" s="47">
        <v>15514</v>
      </c>
      <c r="C1128" s="44" t="s">
        <v>409</v>
      </c>
      <c r="D1128" s="45">
        <v>-3300</v>
      </c>
      <c r="E1128" s="48" t="s">
        <v>214</v>
      </c>
      <c r="F1128" s="48" t="s">
        <v>90</v>
      </c>
      <c r="G1128" s="48" t="s">
        <v>107</v>
      </c>
      <c r="J1128" s="44">
        <f>YEAR(A1128)</f>
        <v>2023</v>
      </c>
    </row>
    <row r="1129" spans="1:10" ht="12" customHeight="1" x14ac:dyDescent="0.25">
      <c r="A1129" s="43">
        <v>45079</v>
      </c>
      <c r="B1129" s="47">
        <v>15514</v>
      </c>
      <c r="C1129" s="44" t="s">
        <v>409</v>
      </c>
      <c r="D1129" s="45">
        <v>3300</v>
      </c>
      <c r="E1129" s="48" t="s">
        <v>299</v>
      </c>
      <c r="F1129" s="48" t="s">
        <v>90</v>
      </c>
      <c r="G1129" s="48" t="s">
        <v>91</v>
      </c>
      <c r="H1129" s="44" t="s">
        <v>398</v>
      </c>
      <c r="I1129" s="44" t="s">
        <v>734</v>
      </c>
      <c r="J1129" s="44">
        <f>YEAR(A1129)</f>
        <v>2023</v>
      </c>
    </row>
    <row r="1130" spans="1:10" ht="12" customHeight="1" x14ac:dyDescent="0.25">
      <c r="A1130" s="43">
        <v>45066</v>
      </c>
      <c r="B1130" s="47">
        <v>15515</v>
      </c>
      <c r="C1130" s="44" t="s">
        <v>390</v>
      </c>
      <c r="D1130" s="45">
        <v>6.3</v>
      </c>
      <c r="E1130" s="48" t="s">
        <v>124</v>
      </c>
      <c r="F1130" s="48" t="s">
        <v>128</v>
      </c>
      <c r="G1130" s="48" t="s">
        <v>91</v>
      </c>
      <c r="J1130" s="44">
        <f>YEAR(A1130)</f>
        <v>2023</v>
      </c>
    </row>
    <row r="1131" spans="1:10" ht="12" customHeight="1" x14ac:dyDescent="0.25">
      <c r="A1131" s="43">
        <v>45066</v>
      </c>
      <c r="B1131" s="47">
        <v>15515</v>
      </c>
      <c r="C1131" s="44" t="s">
        <v>390</v>
      </c>
      <c r="D1131" s="45">
        <v>-6.3</v>
      </c>
      <c r="E1131" s="48" t="s">
        <v>299</v>
      </c>
      <c r="F1131" s="48" t="s">
        <v>90</v>
      </c>
      <c r="G1131" s="48" t="s">
        <v>91</v>
      </c>
      <c r="H1131" s="44" t="s">
        <v>391</v>
      </c>
      <c r="I1131" s="44" t="s">
        <v>733</v>
      </c>
      <c r="J1131" s="44">
        <f>YEAR(A1131)</f>
        <v>2023</v>
      </c>
    </row>
    <row r="1132" spans="1:10" ht="12" customHeight="1" x14ac:dyDescent="0.25">
      <c r="A1132" s="43">
        <v>45066</v>
      </c>
      <c r="B1132" s="47">
        <v>15515</v>
      </c>
      <c r="C1132" s="44" t="s">
        <v>393</v>
      </c>
      <c r="D1132" s="45">
        <v>16.100000000000001</v>
      </c>
      <c r="E1132" s="48" t="s">
        <v>124</v>
      </c>
      <c r="F1132" s="48" t="s">
        <v>128</v>
      </c>
      <c r="G1132" s="48" t="s">
        <v>91</v>
      </c>
      <c r="J1132" s="44">
        <f>YEAR(A1132)</f>
        <v>2023</v>
      </c>
    </row>
    <row r="1133" spans="1:10" ht="12" customHeight="1" x14ac:dyDescent="0.25">
      <c r="A1133" s="43">
        <v>45066</v>
      </c>
      <c r="B1133" s="47">
        <v>15515</v>
      </c>
      <c r="C1133" s="44" t="s">
        <v>393</v>
      </c>
      <c r="D1133" s="45">
        <v>-16.100000000000001</v>
      </c>
      <c r="E1133" s="48" t="s">
        <v>299</v>
      </c>
      <c r="F1133" s="48" t="s">
        <v>90</v>
      </c>
      <c r="G1133" s="48" t="s">
        <v>91</v>
      </c>
      <c r="H1133" s="44" t="s">
        <v>391</v>
      </c>
      <c r="I1133" s="44" t="s">
        <v>733</v>
      </c>
      <c r="J1133" s="44">
        <f>YEAR(A1133)</f>
        <v>2023</v>
      </c>
    </row>
    <row r="1134" spans="1:10" ht="12" customHeight="1" x14ac:dyDescent="0.25">
      <c r="A1134" s="43">
        <v>45066</v>
      </c>
      <c r="B1134" s="47">
        <v>15515</v>
      </c>
      <c r="C1134" s="44" t="s">
        <v>394</v>
      </c>
      <c r="D1134" s="45">
        <v>0.49</v>
      </c>
      <c r="E1134" s="48" t="s">
        <v>124</v>
      </c>
      <c r="F1134" s="48" t="s">
        <v>128</v>
      </c>
      <c r="G1134" s="48" t="s">
        <v>91</v>
      </c>
      <c r="J1134" s="44">
        <f>YEAR(A1134)</f>
        <v>2023</v>
      </c>
    </row>
    <row r="1135" spans="1:10" ht="12" customHeight="1" x14ac:dyDescent="0.25">
      <c r="A1135" s="43">
        <v>45066</v>
      </c>
      <c r="B1135" s="47">
        <v>15515</v>
      </c>
      <c r="C1135" s="44" t="s">
        <v>394</v>
      </c>
      <c r="D1135" s="45">
        <v>-0.49</v>
      </c>
      <c r="E1135" s="48" t="s">
        <v>299</v>
      </c>
      <c r="F1135" s="48" t="s">
        <v>90</v>
      </c>
      <c r="G1135" s="48" t="s">
        <v>91</v>
      </c>
      <c r="H1135" s="44" t="s">
        <v>391</v>
      </c>
      <c r="I1135" s="44" t="s">
        <v>733</v>
      </c>
      <c r="J1135" s="44">
        <f>YEAR(A1135)</f>
        <v>2023</v>
      </c>
    </row>
    <row r="1136" spans="1:10" ht="12" customHeight="1" x14ac:dyDescent="0.25">
      <c r="A1136" s="43">
        <v>45066</v>
      </c>
      <c r="B1136" s="47">
        <v>15515</v>
      </c>
      <c r="C1136" s="44" t="s">
        <v>395</v>
      </c>
      <c r="D1136" s="45">
        <v>0.7</v>
      </c>
      <c r="E1136" s="48" t="s">
        <v>124</v>
      </c>
      <c r="F1136" s="48" t="s">
        <v>128</v>
      </c>
      <c r="G1136" s="48" t="s">
        <v>91</v>
      </c>
      <c r="J1136" s="44">
        <f>YEAR(A1136)</f>
        <v>2023</v>
      </c>
    </row>
    <row r="1137" spans="1:10" ht="12" customHeight="1" x14ac:dyDescent="0.25">
      <c r="A1137" s="43">
        <v>45066</v>
      </c>
      <c r="B1137" s="47">
        <v>15515</v>
      </c>
      <c r="C1137" s="44" t="s">
        <v>395</v>
      </c>
      <c r="D1137" s="45">
        <v>-0.7</v>
      </c>
      <c r="E1137" s="48" t="s">
        <v>299</v>
      </c>
      <c r="F1137" s="48" t="s">
        <v>90</v>
      </c>
      <c r="G1137" s="48" t="s">
        <v>91</v>
      </c>
      <c r="H1137" s="44" t="s">
        <v>391</v>
      </c>
      <c r="I1137" s="44" t="s">
        <v>733</v>
      </c>
      <c r="J1137" s="44">
        <f>YEAR(A1137)</f>
        <v>2023</v>
      </c>
    </row>
    <row r="1138" spans="1:10" ht="12" customHeight="1" x14ac:dyDescent="0.25">
      <c r="A1138" s="43">
        <v>45072</v>
      </c>
      <c r="B1138" s="47">
        <v>15516</v>
      </c>
      <c r="C1138" s="44" t="s">
        <v>396</v>
      </c>
      <c r="D1138" s="45">
        <v>36.79</v>
      </c>
      <c r="E1138" s="48" t="s">
        <v>157</v>
      </c>
      <c r="F1138" s="48" t="s">
        <v>155</v>
      </c>
      <c r="G1138" s="48" t="s">
        <v>94</v>
      </c>
      <c r="J1138" s="44">
        <f>YEAR(A1138)</f>
        <v>2023</v>
      </c>
    </row>
    <row r="1139" spans="1:10" ht="12" customHeight="1" x14ac:dyDescent="0.25">
      <c r="A1139" s="43">
        <v>45072</v>
      </c>
      <c r="B1139" s="47">
        <v>15516</v>
      </c>
      <c r="C1139" s="44" t="s">
        <v>396</v>
      </c>
      <c r="D1139" s="45">
        <v>-36.79</v>
      </c>
      <c r="E1139" s="48" t="s">
        <v>299</v>
      </c>
      <c r="F1139" s="48" t="s">
        <v>90</v>
      </c>
      <c r="G1139" s="48" t="s">
        <v>91</v>
      </c>
      <c r="H1139" s="44" t="s">
        <v>391</v>
      </c>
      <c r="I1139" s="44" t="s">
        <v>733</v>
      </c>
      <c r="J1139" s="44">
        <f>YEAR(A1139)</f>
        <v>2023</v>
      </c>
    </row>
    <row r="1140" spans="1:10" ht="12" customHeight="1" x14ac:dyDescent="0.25">
      <c r="A1140" s="43">
        <v>45061</v>
      </c>
      <c r="B1140" s="47">
        <v>15517</v>
      </c>
      <c r="C1140" s="44" t="s">
        <v>397</v>
      </c>
      <c r="D1140" s="45">
        <v>-800</v>
      </c>
      <c r="E1140" s="48" t="s">
        <v>244</v>
      </c>
      <c r="F1140" s="48" t="s">
        <v>90</v>
      </c>
      <c r="G1140" s="48" t="s">
        <v>114</v>
      </c>
      <c r="J1140" s="44">
        <f>YEAR(A1140)</f>
        <v>2023</v>
      </c>
    </row>
    <row r="1141" spans="1:10" ht="12" customHeight="1" x14ac:dyDescent="0.25">
      <c r="A1141" s="43">
        <v>45061</v>
      </c>
      <c r="B1141" s="47">
        <v>15517</v>
      </c>
      <c r="C1141" s="44" t="s">
        <v>397</v>
      </c>
      <c r="D1141" s="45">
        <v>800</v>
      </c>
      <c r="E1141" s="48" t="s">
        <v>299</v>
      </c>
      <c r="F1141" s="48" t="s">
        <v>90</v>
      </c>
      <c r="G1141" s="48" t="s">
        <v>91</v>
      </c>
      <c r="H1141" s="44" t="s">
        <v>398</v>
      </c>
      <c r="I1141" s="44" t="s">
        <v>734</v>
      </c>
      <c r="J1141" s="44">
        <f>YEAR(A1141)</f>
        <v>2023</v>
      </c>
    </row>
    <row r="1142" spans="1:10" ht="12" customHeight="1" x14ac:dyDescent="0.25">
      <c r="A1142" s="43">
        <v>45092</v>
      </c>
      <c r="B1142" s="47">
        <v>15518</v>
      </c>
      <c r="C1142" s="44" t="s">
        <v>397</v>
      </c>
      <c r="D1142" s="45">
        <v>-800</v>
      </c>
      <c r="E1142" s="48" t="s">
        <v>244</v>
      </c>
      <c r="F1142" s="48" t="s">
        <v>90</v>
      </c>
      <c r="G1142" s="48" t="s">
        <v>114</v>
      </c>
      <c r="J1142" s="44">
        <f>YEAR(A1142)</f>
        <v>2023</v>
      </c>
    </row>
    <row r="1143" spans="1:10" ht="12" customHeight="1" x14ac:dyDescent="0.25">
      <c r="A1143" s="43">
        <v>45092</v>
      </c>
      <c r="B1143" s="47">
        <v>15518</v>
      </c>
      <c r="C1143" s="44" t="s">
        <v>397</v>
      </c>
      <c r="D1143" s="45">
        <v>800</v>
      </c>
      <c r="E1143" s="48" t="s">
        <v>299</v>
      </c>
      <c r="F1143" s="48" t="s">
        <v>90</v>
      </c>
      <c r="G1143" s="48" t="s">
        <v>91</v>
      </c>
      <c r="H1143" s="44" t="s">
        <v>398</v>
      </c>
      <c r="I1143" s="44" t="s">
        <v>734</v>
      </c>
      <c r="J1143" s="44">
        <f>YEAR(A1143)</f>
        <v>2023</v>
      </c>
    </row>
    <row r="1144" spans="1:10" ht="12" customHeight="1" x14ac:dyDescent="0.25">
      <c r="A1144" s="43">
        <v>45079</v>
      </c>
      <c r="B1144" s="47">
        <v>15519</v>
      </c>
      <c r="C1144" s="44" t="s">
        <v>399</v>
      </c>
      <c r="D1144" s="45">
        <v>19.989999999999998</v>
      </c>
      <c r="E1144" s="48" t="s">
        <v>157</v>
      </c>
      <c r="F1144" s="48" t="s">
        <v>155</v>
      </c>
      <c r="G1144" s="48" t="s">
        <v>98</v>
      </c>
      <c r="J1144" s="44">
        <f>YEAR(A1144)</f>
        <v>2023</v>
      </c>
    </row>
    <row r="1145" spans="1:10" ht="12" customHeight="1" x14ac:dyDescent="0.25">
      <c r="A1145" s="43">
        <v>45079</v>
      </c>
      <c r="B1145" s="47">
        <v>15519</v>
      </c>
      <c r="C1145" s="44" t="s">
        <v>399</v>
      </c>
      <c r="D1145" s="45">
        <v>-19.989999999999998</v>
      </c>
      <c r="E1145" s="48" t="s">
        <v>299</v>
      </c>
      <c r="F1145" s="48" t="s">
        <v>90</v>
      </c>
      <c r="G1145" s="48" t="s">
        <v>91</v>
      </c>
      <c r="H1145" s="44" t="s">
        <v>391</v>
      </c>
      <c r="I1145" s="44" t="s">
        <v>733</v>
      </c>
      <c r="J1145" s="44">
        <f>YEAR(A1145)</f>
        <v>2023</v>
      </c>
    </row>
    <row r="1146" spans="1:10" ht="12" customHeight="1" x14ac:dyDescent="0.25">
      <c r="A1146" s="43">
        <v>45079</v>
      </c>
      <c r="B1146" s="47">
        <v>15519</v>
      </c>
      <c r="C1146" s="44" t="s">
        <v>400</v>
      </c>
      <c r="D1146" s="45">
        <v>19.989999999999998</v>
      </c>
      <c r="E1146" s="48" t="s">
        <v>157</v>
      </c>
      <c r="F1146" s="48" t="s">
        <v>155</v>
      </c>
      <c r="G1146" s="48" t="s">
        <v>95</v>
      </c>
      <c r="J1146" s="44">
        <f>YEAR(A1146)</f>
        <v>2023</v>
      </c>
    </row>
    <row r="1147" spans="1:10" ht="12" customHeight="1" x14ac:dyDescent="0.25">
      <c r="A1147" s="43">
        <v>45079</v>
      </c>
      <c r="B1147" s="47">
        <v>15519</v>
      </c>
      <c r="C1147" s="44" t="s">
        <v>400</v>
      </c>
      <c r="D1147" s="45">
        <v>-19.989999999999998</v>
      </c>
      <c r="E1147" s="48" t="s">
        <v>299</v>
      </c>
      <c r="F1147" s="48" t="s">
        <v>90</v>
      </c>
      <c r="G1147" s="48" t="s">
        <v>91</v>
      </c>
      <c r="H1147" s="44" t="s">
        <v>391</v>
      </c>
      <c r="I1147" s="44" t="s">
        <v>733</v>
      </c>
      <c r="J1147" s="44">
        <f>YEAR(A1147)</f>
        <v>2023</v>
      </c>
    </row>
    <row r="1148" spans="1:10" ht="12" customHeight="1" x14ac:dyDescent="0.25">
      <c r="A1148" s="43">
        <v>45062</v>
      </c>
      <c r="B1148" s="47">
        <v>15520</v>
      </c>
      <c r="C1148" s="44" t="s">
        <v>401</v>
      </c>
      <c r="D1148" s="45">
        <v>238</v>
      </c>
      <c r="E1148" s="48" t="s">
        <v>110</v>
      </c>
      <c r="F1148" s="48" t="s">
        <v>90</v>
      </c>
      <c r="G1148" s="48" t="s">
        <v>91</v>
      </c>
      <c r="J1148" s="44">
        <f>YEAR(A1148)</f>
        <v>2023</v>
      </c>
    </row>
    <row r="1149" spans="1:10" ht="12" customHeight="1" x14ac:dyDescent="0.25">
      <c r="A1149" s="43">
        <v>45062</v>
      </c>
      <c r="B1149" s="47">
        <v>15520</v>
      </c>
      <c r="C1149" s="44" t="s">
        <v>401</v>
      </c>
      <c r="D1149" s="45">
        <v>-238</v>
      </c>
      <c r="E1149" s="48" t="s">
        <v>299</v>
      </c>
      <c r="F1149" s="48" t="s">
        <v>90</v>
      </c>
      <c r="G1149" s="48" t="s">
        <v>91</v>
      </c>
      <c r="H1149" s="44" t="s">
        <v>402</v>
      </c>
      <c r="I1149" s="44" t="s">
        <v>733</v>
      </c>
      <c r="J1149" s="44">
        <f>YEAR(A1149)</f>
        <v>2023</v>
      </c>
    </row>
    <row r="1150" spans="1:10" ht="12" customHeight="1" x14ac:dyDescent="0.25">
      <c r="A1150" s="43">
        <v>45092</v>
      </c>
      <c r="B1150" s="47">
        <v>15521</v>
      </c>
      <c r="C1150" s="44" t="s">
        <v>401</v>
      </c>
      <c r="D1150" s="45">
        <v>238</v>
      </c>
      <c r="E1150" s="48" t="s">
        <v>110</v>
      </c>
      <c r="F1150" s="48" t="s">
        <v>90</v>
      </c>
      <c r="G1150" s="48" t="s">
        <v>91</v>
      </c>
      <c r="J1150" s="44">
        <f>YEAR(A1150)</f>
        <v>2023</v>
      </c>
    </row>
    <row r="1151" spans="1:10" ht="12" customHeight="1" x14ac:dyDescent="0.25">
      <c r="A1151" s="43">
        <v>45092</v>
      </c>
      <c r="B1151" s="47">
        <v>15521</v>
      </c>
      <c r="C1151" s="44" t="s">
        <v>401</v>
      </c>
      <c r="D1151" s="45">
        <v>-238</v>
      </c>
      <c r="E1151" s="48" t="s">
        <v>299</v>
      </c>
      <c r="F1151" s="48" t="s">
        <v>90</v>
      </c>
      <c r="G1151" s="48" t="s">
        <v>91</v>
      </c>
      <c r="H1151" s="44" t="s">
        <v>402</v>
      </c>
      <c r="I1151" s="44" t="s">
        <v>733</v>
      </c>
      <c r="J1151" s="44">
        <f>YEAR(A1151)</f>
        <v>2023</v>
      </c>
    </row>
    <row r="1152" spans="1:10" ht="12" customHeight="1" x14ac:dyDescent="0.25">
      <c r="A1152" s="43">
        <v>45071</v>
      </c>
      <c r="B1152" s="47">
        <v>15522</v>
      </c>
      <c r="C1152" s="44" t="s">
        <v>225</v>
      </c>
      <c r="D1152" s="45">
        <v>-28.86</v>
      </c>
      <c r="E1152" s="48" t="s">
        <v>222</v>
      </c>
      <c r="F1152" s="48" t="s">
        <v>90</v>
      </c>
      <c r="G1152" s="48" t="s">
        <v>225</v>
      </c>
      <c r="J1152" s="44">
        <f>YEAR(A1152)</f>
        <v>2023</v>
      </c>
    </row>
    <row r="1153" spans="1:10" ht="12" customHeight="1" x14ac:dyDescent="0.25">
      <c r="A1153" s="43">
        <v>45071</v>
      </c>
      <c r="B1153" s="47">
        <v>15522</v>
      </c>
      <c r="C1153" s="44" t="s">
        <v>225</v>
      </c>
      <c r="D1153" s="45">
        <v>28.86</v>
      </c>
      <c r="E1153" s="48" t="s">
        <v>299</v>
      </c>
      <c r="F1153" s="48" t="s">
        <v>90</v>
      </c>
      <c r="G1153" s="48" t="s">
        <v>91</v>
      </c>
      <c r="H1153" s="44" t="s">
        <v>398</v>
      </c>
      <c r="I1153" s="44" t="s">
        <v>734</v>
      </c>
      <c r="J1153" s="44">
        <f>YEAR(A1153)</f>
        <v>2023</v>
      </c>
    </row>
    <row r="1154" spans="1:10" ht="12" customHeight="1" x14ac:dyDescent="0.25">
      <c r="A1154" s="43">
        <v>45078</v>
      </c>
      <c r="B1154" s="47">
        <v>15523</v>
      </c>
      <c r="C1154" s="44" t="s">
        <v>225</v>
      </c>
      <c r="D1154" s="45">
        <v>-64.45</v>
      </c>
      <c r="E1154" s="48" t="s">
        <v>222</v>
      </c>
      <c r="F1154" s="48" t="s">
        <v>90</v>
      </c>
      <c r="G1154" s="48" t="s">
        <v>225</v>
      </c>
      <c r="J1154" s="44">
        <f>YEAR(A1154)</f>
        <v>2023</v>
      </c>
    </row>
    <row r="1155" spans="1:10" ht="12" customHeight="1" x14ac:dyDescent="0.25">
      <c r="A1155" s="43">
        <v>45078</v>
      </c>
      <c r="B1155" s="47">
        <v>15523</v>
      </c>
      <c r="C1155" s="44" t="s">
        <v>225</v>
      </c>
      <c r="D1155" s="45">
        <v>64.45</v>
      </c>
      <c r="E1155" s="48" t="s">
        <v>299</v>
      </c>
      <c r="F1155" s="48" t="s">
        <v>90</v>
      </c>
      <c r="G1155" s="48" t="s">
        <v>91</v>
      </c>
      <c r="H1155" s="44" t="s">
        <v>398</v>
      </c>
      <c r="I1155" s="44" t="s">
        <v>734</v>
      </c>
      <c r="J1155" s="44">
        <f>YEAR(A1155)</f>
        <v>2023</v>
      </c>
    </row>
    <row r="1156" spans="1:10" ht="12" customHeight="1" x14ac:dyDescent="0.25">
      <c r="A1156" s="43">
        <v>45090</v>
      </c>
      <c r="B1156" s="47">
        <v>15524</v>
      </c>
      <c r="C1156" s="44" t="s">
        <v>225</v>
      </c>
      <c r="D1156" s="45">
        <v>-39</v>
      </c>
      <c r="E1156" s="48" t="s">
        <v>222</v>
      </c>
      <c r="F1156" s="48" t="s">
        <v>90</v>
      </c>
      <c r="G1156" s="48" t="s">
        <v>225</v>
      </c>
      <c r="J1156" s="44">
        <f>YEAR(A1156)</f>
        <v>2023</v>
      </c>
    </row>
    <row r="1157" spans="1:10" ht="12" customHeight="1" x14ac:dyDescent="0.25">
      <c r="A1157" s="43">
        <v>45090</v>
      </c>
      <c r="B1157" s="47">
        <v>15524</v>
      </c>
      <c r="C1157" s="44" t="s">
        <v>225</v>
      </c>
      <c r="D1157" s="45">
        <v>39</v>
      </c>
      <c r="E1157" s="48" t="s">
        <v>299</v>
      </c>
      <c r="F1157" s="48" t="s">
        <v>90</v>
      </c>
      <c r="G1157" s="48" t="s">
        <v>91</v>
      </c>
      <c r="H1157" s="44" t="s">
        <v>398</v>
      </c>
      <c r="I1157" s="44" t="s">
        <v>734</v>
      </c>
      <c r="J1157" s="44">
        <f>YEAR(A1157)</f>
        <v>2023</v>
      </c>
    </row>
    <row r="1158" spans="1:10" ht="12" customHeight="1" x14ac:dyDescent="0.25">
      <c r="A1158" s="43">
        <v>45069</v>
      </c>
      <c r="B1158" s="47">
        <v>15525</v>
      </c>
      <c r="C1158" s="44" t="s">
        <v>406</v>
      </c>
      <c r="D1158" s="45">
        <v>-129.82</v>
      </c>
      <c r="E1158" s="48" t="s">
        <v>299</v>
      </c>
      <c r="F1158" s="48" t="s">
        <v>90</v>
      </c>
      <c r="G1158" s="48" t="s">
        <v>91</v>
      </c>
      <c r="H1158" s="44" t="s">
        <v>391</v>
      </c>
      <c r="I1158" s="44" t="s">
        <v>733</v>
      </c>
      <c r="J1158" s="44">
        <f>YEAR(A1158)</f>
        <v>2023</v>
      </c>
    </row>
    <row r="1159" spans="1:10" ht="12" customHeight="1" x14ac:dyDescent="0.25">
      <c r="A1159" s="43">
        <v>45069</v>
      </c>
      <c r="B1159" s="47">
        <v>15525</v>
      </c>
      <c r="C1159" s="44" t="s">
        <v>406</v>
      </c>
      <c r="D1159" s="45">
        <v>129.82</v>
      </c>
      <c r="E1159" s="48" t="s">
        <v>157</v>
      </c>
      <c r="F1159" s="48" t="s">
        <v>137</v>
      </c>
      <c r="G1159" s="48" t="s">
        <v>115</v>
      </c>
      <c r="J1159" s="44">
        <f>YEAR(A1159)</f>
        <v>2023</v>
      </c>
    </row>
    <row r="1160" spans="1:10" ht="12" customHeight="1" x14ac:dyDescent="0.25">
      <c r="A1160" s="43">
        <v>45069</v>
      </c>
      <c r="B1160" s="47">
        <v>15526</v>
      </c>
      <c r="C1160" s="44" t="s">
        <v>407</v>
      </c>
      <c r="D1160" s="45">
        <v>14.99</v>
      </c>
      <c r="E1160" s="48" t="s">
        <v>157</v>
      </c>
      <c r="F1160" s="48" t="s">
        <v>116</v>
      </c>
      <c r="G1160" s="48" t="s">
        <v>91</v>
      </c>
      <c r="J1160" s="44">
        <f>YEAR(A1160)</f>
        <v>2023</v>
      </c>
    </row>
    <row r="1161" spans="1:10" ht="12" customHeight="1" x14ac:dyDescent="0.25">
      <c r="A1161" s="43">
        <v>45069</v>
      </c>
      <c r="B1161" s="47">
        <v>15526</v>
      </c>
      <c r="C1161" s="44" t="s">
        <v>407</v>
      </c>
      <c r="D1161" s="45">
        <v>-14.99</v>
      </c>
      <c r="E1161" s="48" t="s">
        <v>299</v>
      </c>
      <c r="F1161" s="48" t="s">
        <v>90</v>
      </c>
      <c r="G1161" s="48" t="s">
        <v>91</v>
      </c>
      <c r="H1161" s="44" t="s">
        <v>391</v>
      </c>
      <c r="I1161" s="44" t="s">
        <v>733</v>
      </c>
      <c r="J1161" s="44">
        <f>YEAR(A1161)</f>
        <v>2023</v>
      </c>
    </row>
    <row r="1162" spans="1:10" ht="12" customHeight="1" x14ac:dyDescent="0.25">
      <c r="A1162" s="43">
        <v>45058</v>
      </c>
      <c r="B1162" s="47">
        <v>15527</v>
      </c>
      <c r="C1162" s="44" t="s">
        <v>606</v>
      </c>
      <c r="D1162" s="45">
        <v>247</v>
      </c>
      <c r="E1162" s="48" t="s">
        <v>222</v>
      </c>
      <c r="F1162" s="48" t="s">
        <v>90</v>
      </c>
      <c r="G1162" s="48" t="s">
        <v>577</v>
      </c>
      <c r="J1162" s="44">
        <f>YEAR(A1162)</f>
        <v>2023</v>
      </c>
    </row>
    <row r="1163" spans="1:10" ht="12" customHeight="1" x14ac:dyDescent="0.25">
      <c r="A1163" s="43">
        <v>45058</v>
      </c>
      <c r="B1163" s="47">
        <v>15527</v>
      </c>
      <c r="C1163" s="44" t="s">
        <v>606</v>
      </c>
      <c r="D1163" s="45">
        <v>-247</v>
      </c>
      <c r="E1163" s="48" t="s">
        <v>299</v>
      </c>
      <c r="F1163" s="48" t="s">
        <v>90</v>
      </c>
      <c r="G1163" s="48" t="s">
        <v>91</v>
      </c>
      <c r="H1163" s="44" t="s">
        <v>391</v>
      </c>
      <c r="I1163" s="44" t="s">
        <v>733</v>
      </c>
      <c r="J1163" s="44">
        <f>YEAR(A1163)</f>
        <v>2023</v>
      </c>
    </row>
    <row r="1164" spans="1:10" ht="12" customHeight="1" x14ac:dyDescent="0.25">
      <c r="A1164" s="43">
        <v>45090</v>
      </c>
      <c r="B1164" s="47">
        <v>15528</v>
      </c>
      <c r="C1164" s="44" t="s">
        <v>606</v>
      </c>
      <c r="D1164" s="45">
        <v>247</v>
      </c>
      <c r="E1164" s="48" t="s">
        <v>222</v>
      </c>
      <c r="F1164" s="48" t="s">
        <v>90</v>
      </c>
      <c r="G1164" s="48" t="s">
        <v>577</v>
      </c>
      <c r="J1164" s="44">
        <f>YEAR(A1164)</f>
        <v>2023</v>
      </c>
    </row>
    <row r="1165" spans="1:10" ht="12" customHeight="1" x14ac:dyDescent="0.25">
      <c r="A1165" s="43">
        <v>45090</v>
      </c>
      <c r="B1165" s="47">
        <v>15528</v>
      </c>
      <c r="C1165" s="44" t="s">
        <v>606</v>
      </c>
      <c r="D1165" s="45">
        <v>-247</v>
      </c>
      <c r="E1165" s="48" t="s">
        <v>299</v>
      </c>
      <c r="F1165" s="48" t="s">
        <v>90</v>
      </c>
      <c r="G1165" s="48" t="s">
        <v>91</v>
      </c>
      <c r="H1165" s="44" t="s">
        <v>391</v>
      </c>
      <c r="I1165" s="44" t="s">
        <v>733</v>
      </c>
      <c r="J1165" s="44">
        <f>YEAR(A1165)</f>
        <v>2023</v>
      </c>
    </row>
    <row r="1166" spans="1:10" ht="12" customHeight="1" x14ac:dyDescent="0.25">
      <c r="A1166" s="43">
        <v>45084</v>
      </c>
      <c r="B1166" s="47">
        <v>15529</v>
      </c>
      <c r="C1166" s="44" t="s">
        <v>440</v>
      </c>
      <c r="D1166" s="45">
        <v>282.66000000000003</v>
      </c>
      <c r="E1166" s="48" t="s">
        <v>124</v>
      </c>
      <c r="F1166" s="48" t="s">
        <v>90</v>
      </c>
      <c r="G1166" s="48" t="s">
        <v>91</v>
      </c>
      <c r="J1166" s="44">
        <f>YEAR(A1166)</f>
        <v>2023</v>
      </c>
    </row>
    <row r="1167" spans="1:10" ht="12" customHeight="1" x14ac:dyDescent="0.25">
      <c r="A1167" s="43">
        <v>45084</v>
      </c>
      <c r="B1167" s="47">
        <v>15529</v>
      </c>
      <c r="C1167" s="44" t="s">
        <v>440</v>
      </c>
      <c r="D1167" s="45">
        <v>-282.66000000000003</v>
      </c>
      <c r="E1167" s="48" t="s">
        <v>299</v>
      </c>
      <c r="F1167" s="48" t="s">
        <v>90</v>
      </c>
      <c r="G1167" s="48" t="s">
        <v>91</v>
      </c>
      <c r="H1167" s="44" t="s">
        <v>391</v>
      </c>
      <c r="I1167" s="44" t="s">
        <v>733</v>
      </c>
      <c r="J1167" s="44">
        <f>YEAR(A1167)</f>
        <v>2023</v>
      </c>
    </row>
    <row r="1168" spans="1:10" ht="12" customHeight="1" x14ac:dyDescent="0.25">
      <c r="A1168" s="43">
        <v>45089</v>
      </c>
      <c r="B1168" s="47">
        <v>15530</v>
      </c>
      <c r="C1168" s="44" t="s">
        <v>560</v>
      </c>
      <c r="D1168" s="45">
        <v>-412.13</v>
      </c>
      <c r="E1168" s="48" t="s">
        <v>214</v>
      </c>
      <c r="F1168" s="48" t="s">
        <v>128</v>
      </c>
      <c r="G1168" s="48" t="s">
        <v>99</v>
      </c>
      <c r="J1168" s="44">
        <f>YEAR(A1168)</f>
        <v>2023</v>
      </c>
    </row>
    <row r="1169" spans="1:10" ht="12" customHeight="1" x14ac:dyDescent="0.25">
      <c r="A1169" s="43">
        <v>45089</v>
      </c>
      <c r="B1169" s="47">
        <v>15530</v>
      </c>
      <c r="C1169" s="44" t="s">
        <v>560</v>
      </c>
      <c r="D1169" s="45">
        <v>64.849999999999994</v>
      </c>
      <c r="E1169" s="48" t="s">
        <v>110</v>
      </c>
      <c r="F1169" s="48" t="s">
        <v>90</v>
      </c>
      <c r="G1169" s="48" t="s">
        <v>91</v>
      </c>
      <c r="J1169" s="44">
        <f>YEAR(A1169)</f>
        <v>2023</v>
      </c>
    </row>
    <row r="1170" spans="1:10" ht="12" customHeight="1" x14ac:dyDescent="0.25">
      <c r="A1170" s="43">
        <v>45089</v>
      </c>
      <c r="B1170" s="47">
        <v>15530</v>
      </c>
      <c r="C1170" s="44" t="s">
        <v>560</v>
      </c>
      <c r="D1170" s="45">
        <v>347.28</v>
      </c>
      <c r="E1170" s="48" t="s">
        <v>299</v>
      </c>
      <c r="F1170" s="48" t="s">
        <v>90</v>
      </c>
      <c r="G1170" s="48" t="s">
        <v>91</v>
      </c>
      <c r="H1170" s="44" t="s">
        <v>398</v>
      </c>
      <c r="I1170" s="44" t="s">
        <v>734</v>
      </c>
      <c r="J1170" s="44">
        <f>YEAR(A1170)</f>
        <v>2023</v>
      </c>
    </row>
    <row r="1171" spans="1:10" ht="12" customHeight="1" x14ac:dyDescent="0.25">
      <c r="A1171" s="43">
        <v>45079</v>
      </c>
      <c r="B1171" s="47">
        <v>15531</v>
      </c>
      <c r="C1171" s="44" t="s">
        <v>735</v>
      </c>
      <c r="D1171" s="45">
        <v>-56.88</v>
      </c>
      <c r="E1171" s="48" t="s">
        <v>214</v>
      </c>
      <c r="F1171" s="48" t="s">
        <v>96</v>
      </c>
      <c r="G1171" s="48" t="s">
        <v>99</v>
      </c>
      <c r="J1171" s="44">
        <f>YEAR(A1171)</f>
        <v>2023</v>
      </c>
    </row>
    <row r="1172" spans="1:10" ht="12" customHeight="1" x14ac:dyDescent="0.25">
      <c r="A1172" s="43">
        <v>45079</v>
      </c>
      <c r="B1172" s="47">
        <v>15531</v>
      </c>
      <c r="C1172" s="44" t="s">
        <v>735</v>
      </c>
      <c r="D1172" s="45">
        <v>56.88</v>
      </c>
      <c r="E1172" s="48" t="s">
        <v>299</v>
      </c>
      <c r="F1172" s="48" t="s">
        <v>90</v>
      </c>
      <c r="G1172" s="48" t="s">
        <v>91</v>
      </c>
      <c r="H1172" s="44" t="s">
        <v>398</v>
      </c>
      <c r="I1172" s="44" t="s">
        <v>734</v>
      </c>
      <c r="J1172" s="44">
        <f>YEAR(A1172)</f>
        <v>2023</v>
      </c>
    </row>
    <row r="1173" spans="1:10" ht="12" customHeight="1" x14ac:dyDescent="0.25">
      <c r="A1173" s="43">
        <v>45079</v>
      </c>
      <c r="B1173" s="47">
        <v>15532</v>
      </c>
      <c r="C1173" s="44" t="s">
        <v>444</v>
      </c>
      <c r="D1173" s="45">
        <v>-20.92</v>
      </c>
      <c r="E1173" s="48" t="s">
        <v>299</v>
      </c>
      <c r="F1173" s="48" t="s">
        <v>90</v>
      </c>
      <c r="G1173" s="48" t="s">
        <v>91</v>
      </c>
      <c r="H1173" s="44" t="s">
        <v>459</v>
      </c>
      <c r="I1173" s="44" t="s">
        <v>733</v>
      </c>
      <c r="J1173" s="44">
        <f>YEAR(A1173)</f>
        <v>2023</v>
      </c>
    </row>
    <row r="1174" spans="1:10" ht="12" customHeight="1" x14ac:dyDescent="0.25">
      <c r="A1174" s="43">
        <v>45079</v>
      </c>
      <c r="B1174" s="47">
        <v>15532</v>
      </c>
      <c r="C1174" s="44" t="s">
        <v>444</v>
      </c>
      <c r="D1174" s="45">
        <v>20.92</v>
      </c>
      <c r="E1174" s="48" t="s">
        <v>89</v>
      </c>
      <c r="F1174" s="48" t="s">
        <v>90</v>
      </c>
      <c r="G1174" s="48" t="s">
        <v>91</v>
      </c>
      <c r="J1174" s="44">
        <f>YEAR(A1174)</f>
        <v>2023</v>
      </c>
    </row>
    <row r="1175" spans="1:10" ht="12" customHeight="1" x14ac:dyDescent="0.25">
      <c r="A1175" s="43">
        <v>45093</v>
      </c>
      <c r="B1175" s="47">
        <v>15533</v>
      </c>
      <c r="C1175" s="44" t="s">
        <v>705</v>
      </c>
      <c r="D1175" s="45">
        <v>25</v>
      </c>
      <c r="E1175" s="48" t="s">
        <v>197</v>
      </c>
      <c r="F1175" s="48" t="s">
        <v>90</v>
      </c>
      <c r="G1175" s="48" t="s">
        <v>99</v>
      </c>
      <c r="J1175" s="44">
        <f>YEAR(A1175)</f>
        <v>2023</v>
      </c>
    </row>
    <row r="1176" spans="1:10" ht="12" customHeight="1" x14ac:dyDescent="0.25">
      <c r="A1176" s="43">
        <v>45093</v>
      </c>
      <c r="B1176" s="47">
        <v>15533</v>
      </c>
      <c r="C1176" s="44" t="s">
        <v>705</v>
      </c>
      <c r="D1176" s="45">
        <v>-25</v>
      </c>
      <c r="E1176" s="48" t="s">
        <v>299</v>
      </c>
      <c r="F1176" s="48" t="s">
        <v>90</v>
      </c>
      <c r="G1176" s="48" t="s">
        <v>305</v>
      </c>
      <c r="I1176" s="44" t="s">
        <v>783</v>
      </c>
      <c r="J1176" s="44">
        <f>YEAR(A1176)</f>
        <v>2023</v>
      </c>
    </row>
    <row r="1177" spans="1:10" ht="12" customHeight="1" x14ac:dyDescent="0.25">
      <c r="A1177" s="43">
        <v>45094</v>
      </c>
      <c r="B1177" s="47">
        <v>15534</v>
      </c>
      <c r="C1177" s="44" t="s">
        <v>460</v>
      </c>
      <c r="D1177" s="45">
        <v>3.8</v>
      </c>
      <c r="E1177" s="48" t="s">
        <v>89</v>
      </c>
      <c r="F1177" s="48" t="s">
        <v>90</v>
      </c>
      <c r="G1177" s="48" t="s">
        <v>91</v>
      </c>
      <c r="J1177" s="44">
        <f>YEAR(A1177)</f>
        <v>2023</v>
      </c>
    </row>
    <row r="1178" spans="1:10" ht="12" customHeight="1" x14ac:dyDescent="0.25">
      <c r="A1178" s="43">
        <v>45094</v>
      </c>
      <c r="B1178" s="47">
        <v>15534</v>
      </c>
      <c r="C1178" s="44" t="s">
        <v>460</v>
      </c>
      <c r="D1178" s="45">
        <v>-3.8</v>
      </c>
      <c r="E1178" s="48" t="s">
        <v>299</v>
      </c>
      <c r="F1178" s="48" t="s">
        <v>90</v>
      </c>
      <c r="G1178" s="48" t="s">
        <v>305</v>
      </c>
      <c r="I1178" s="44" t="s">
        <v>783</v>
      </c>
      <c r="J1178" s="44">
        <f>YEAR(A1178)</f>
        <v>2023</v>
      </c>
    </row>
    <row r="1179" spans="1:10" ht="12" customHeight="1" x14ac:dyDescent="0.25">
      <c r="A1179" s="43">
        <v>45101</v>
      </c>
      <c r="B1179" s="47">
        <v>15535</v>
      </c>
      <c r="C1179" s="44" t="s">
        <v>736</v>
      </c>
      <c r="D1179" s="45">
        <v>360</v>
      </c>
      <c r="E1179" s="48" t="s">
        <v>157</v>
      </c>
      <c r="F1179" s="48" t="s">
        <v>122</v>
      </c>
      <c r="G1179" s="48" t="s">
        <v>91</v>
      </c>
      <c r="J1179" s="44">
        <f>YEAR(A1179)</f>
        <v>2023</v>
      </c>
    </row>
    <row r="1180" spans="1:10" ht="12" customHeight="1" x14ac:dyDescent="0.25">
      <c r="A1180" s="43">
        <v>45101</v>
      </c>
      <c r="B1180" s="47">
        <v>15535</v>
      </c>
      <c r="C1180" s="44" t="s">
        <v>736</v>
      </c>
      <c r="D1180" s="45">
        <v>-360</v>
      </c>
      <c r="E1180" s="48" t="s">
        <v>299</v>
      </c>
      <c r="F1180" s="48" t="s">
        <v>90</v>
      </c>
      <c r="G1180" s="48" t="s">
        <v>91</v>
      </c>
      <c r="H1180" s="44" t="s">
        <v>402</v>
      </c>
      <c r="I1180" s="44" t="s">
        <v>785</v>
      </c>
      <c r="J1180" s="44">
        <f>YEAR(A1180)</f>
        <v>2023</v>
      </c>
    </row>
    <row r="1181" spans="1:10" ht="12" customHeight="1" x14ac:dyDescent="0.25">
      <c r="A1181" s="43">
        <v>45096</v>
      </c>
      <c r="B1181" s="47">
        <v>15536</v>
      </c>
      <c r="C1181" s="44" t="s">
        <v>466</v>
      </c>
      <c r="D1181" s="45">
        <v>20.75</v>
      </c>
      <c r="E1181" s="48" t="s">
        <v>89</v>
      </c>
      <c r="F1181" s="48" t="s">
        <v>90</v>
      </c>
      <c r="G1181" s="48" t="s">
        <v>91</v>
      </c>
      <c r="J1181" s="44">
        <f>YEAR(A1181)</f>
        <v>2023</v>
      </c>
    </row>
    <row r="1182" spans="1:10" ht="12" customHeight="1" x14ac:dyDescent="0.25">
      <c r="A1182" s="43">
        <v>45096</v>
      </c>
      <c r="B1182" s="47">
        <v>15536</v>
      </c>
      <c r="C1182" s="44" t="s">
        <v>466</v>
      </c>
      <c r="D1182" s="45">
        <v>-20.75</v>
      </c>
      <c r="E1182" s="48" t="s">
        <v>299</v>
      </c>
      <c r="F1182" s="48" t="s">
        <v>90</v>
      </c>
      <c r="G1182" s="48" t="s">
        <v>305</v>
      </c>
      <c r="I1182" s="44" t="s">
        <v>783</v>
      </c>
      <c r="J1182" s="44">
        <f>YEAR(A1182)</f>
        <v>2023</v>
      </c>
    </row>
    <row r="1183" spans="1:10" ht="12" customHeight="1" x14ac:dyDescent="0.25">
      <c r="A1183" s="43">
        <v>45096</v>
      </c>
      <c r="B1183" s="47">
        <v>15537</v>
      </c>
      <c r="C1183" s="44" t="s">
        <v>444</v>
      </c>
      <c r="D1183" s="45">
        <v>25.88</v>
      </c>
      <c r="E1183" s="48" t="s">
        <v>89</v>
      </c>
      <c r="F1183" s="48" t="s">
        <v>90</v>
      </c>
      <c r="G1183" s="48" t="s">
        <v>91</v>
      </c>
      <c r="J1183" s="44">
        <f>YEAR(A1183)</f>
        <v>2023</v>
      </c>
    </row>
    <row r="1184" spans="1:10" ht="12" customHeight="1" x14ac:dyDescent="0.25">
      <c r="A1184" s="43">
        <v>45096</v>
      </c>
      <c r="B1184" s="47">
        <v>15537</v>
      </c>
      <c r="C1184" s="44" t="s">
        <v>444</v>
      </c>
      <c r="D1184" s="45">
        <v>5.75</v>
      </c>
      <c r="E1184" s="48" t="s">
        <v>197</v>
      </c>
      <c r="F1184" s="48" t="s">
        <v>96</v>
      </c>
      <c r="G1184" s="48" t="s">
        <v>91</v>
      </c>
      <c r="J1184" s="44">
        <f>YEAR(A1184)</f>
        <v>2023</v>
      </c>
    </row>
    <row r="1185" spans="1:10" ht="12" customHeight="1" x14ac:dyDescent="0.25">
      <c r="A1185" s="43">
        <v>45096</v>
      </c>
      <c r="B1185" s="47">
        <v>15537</v>
      </c>
      <c r="C1185" s="44" t="s">
        <v>444</v>
      </c>
      <c r="D1185" s="45">
        <v>-31.63</v>
      </c>
      <c r="E1185" s="48" t="s">
        <v>299</v>
      </c>
      <c r="F1185" s="48" t="s">
        <v>90</v>
      </c>
      <c r="G1185" s="48" t="s">
        <v>91</v>
      </c>
      <c r="H1185" s="44" t="s">
        <v>459</v>
      </c>
      <c r="I1185" s="44" t="s">
        <v>785</v>
      </c>
      <c r="J1185" s="44">
        <f>YEAR(A1185)</f>
        <v>2023</v>
      </c>
    </row>
    <row r="1186" spans="1:10" ht="12" customHeight="1" x14ac:dyDescent="0.25">
      <c r="A1186" s="43">
        <v>45097</v>
      </c>
      <c r="B1186" s="47">
        <v>15538</v>
      </c>
      <c r="C1186" s="44" t="s">
        <v>552</v>
      </c>
      <c r="D1186" s="45">
        <v>31.9</v>
      </c>
      <c r="E1186" s="48" t="s">
        <v>89</v>
      </c>
      <c r="F1186" s="48" t="s">
        <v>90</v>
      </c>
      <c r="G1186" s="48" t="s">
        <v>91</v>
      </c>
      <c r="J1186" s="44">
        <f>YEAR(A1186)</f>
        <v>2023</v>
      </c>
    </row>
    <row r="1187" spans="1:10" ht="12" customHeight="1" x14ac:dyDescent="0.25">
      <c r="A1187" s="43">
        <v>45097</v>
      </c>
      <c r="B1187" s="47">
        <v>15538</v>
      </c>
      <c r="C1187" s="44" t="s">
        <v>552</v>
      </c>
      <c r="D1187" s="45">
        <v>-31.9</v>
      </c>
      <c r="E1187" s="48" t="s">
        <v>299</v>
      </c>
      <c r="F1187" s="48" t="s">
        <v>90</v>
      </c>
      <c r="G1187" s="48" t="s">
        <v>305</v>
      </c>
      <c r="I1187" s="44" t="s">
        <v>783</v>
      </c>
      <c r="J1187" s="44">
        <f>YEAR(A1187)</f>
        <v>2023</v>
      </c>
    </row>
    <row r="1188" spans="1:10" ht="12" customHeight="1" x14ac:dyDescent="0.25">
      <c r="A1188" s="43">
        <v>45100</v>
      </c>
      <c r="B1188" s="47">
        <v>15539</v>
      </c>
      <c r="C1188" s="44" t="s">
        <v>737</v>
      </c>
      <c r="D1188" s="45">
        <v>137.4</v>
      </c>
      <c r="E1188" s="48" t="s">
        <v>105</v>
      </c>
      <c r="F1188" s="48" t="s">
        <v>90</v>
      </c>
      <c r="G1188" s="48" t="s">
        <v>99</v>
      </c>
      <c r="J1188" s="44">
        <f>YEAR(A1188)</f>
        <v>2023</v>
      </c>
    </row>
    <row r="1189" spans="1:10" ht="12" customHeight="1" x14ac:dyDescent="0.25">
      <c r="A1189" s="43">
        <v>45100</v>
      </c>
      <c r="B1189" s="47">
        <v>15539</v>
      </c>
      <c r="C1189" s="44" t="s">
        <v>737</v>
      </c>
      <c r="D1189" s="45">
        <v>-137.4</v>
      </c>
      <c r="E1189" s="48" t="s">
        <v>299</v>
      </c>
      <c r="F1189" s="48" t="s">
        <v>90</v>
      </c>
      <c r="G1189" s="48" t="s">
        <v>305</v>
      </c>
      <c r="I1189" s="44" t="s">
        <v>783</v>
      </c>
      <c r="J1189" s="44">
        <f>YEAR(A1189)</f>
        <v>2023</v>
      </c>
    </row>
    <row r="1190" spans="1:10" ht="12" customHeight="1" x14ac:dyDescent="0.25">
      <c r="A1190" s="43">
        <v>45101</v>
      </c>
      <c r="B1190" s="47">
        <v>15540</v>
      </c>
      <c r="C1190" s="44" t="s">
        <v>464</v>
      </c>
      <c r="D1190" s="45">
        <v>22.03</v>
      </c>
      <c r="E1190" s="48" t="s">
        <v>89</v>
      </c>
      <c r="F1190" s="48" t="s">
        <v>90</v>
      </c>
      <c r="G1190" s="48" t="s">
        <v>91</v>
      </c>
      <c r="J1190" s="44">
        <f>YEAR(A1190)</f>
        <v>2023</v>
      </c>
    </row>
    <row r="1191" spans="1:10" ht="12" customHeight="1" x14ac:dyDescent="0.25">
      <c r="A1191" s="43">
        <v>45101</v>
      </c>
      <c r="B1191" s="47">
        <v>15540</v>
      </c>
      <c r="C1191" s="44" t="s">
        <v>464</v>
      </c>
      <c r="D1191" s="45">
        <v>-22.03</v>
      </c>
      <c r="E1191" s="48" t="s">
        <v>299</v>
      </c>
      <c r="F1191" s="48" t="s">
        <v>90</v>
      </c>
      <c r="G1191" s="48" t="s">
        <v>305</v>
      </c>
      <c r="I1191" s="44" t="s">
        <v>783</v>
      </c>
      <c r="J1191" s="44">
        <f>YEAR(A1191)</f>
        <v>2023</v>
      </c>
    </row>
    <row r="1192" spans="1:10" ht="12" customHeight="1" x14ac:dyDescent="0.25">
      <c r="A1192" s="43">
        <v>45101</v>
      </c>
      <c r="B1192" s="47">
        <v>15541</v>
      </c>
      <c r="C1192" s="44" t="s">
        <v>446</v>
      </c>
      <c r="D1192" s="45">
        <v>78.67</v>
      </c>
      <c r="E1192" s="48" t="s">
        <v>89</v>
      </c>
      <c r="F1192" s="48" t="s">
        <v>90</v>
      </c>
      <c r="G1192" s="48" t="s">
        <v>91</v>
      </c>
      <c r="J1192" s="44">
        <f>YEAR(A1192)</f>
        <v>2023</v>
      </c>
    </row>
    <row r="1193" spans="1:10" ht="12" customHeight="1" x14ac:dyDescent="0.25">
      <c r="A1193" s="43">
        <v>45101</v>
      </c>
      <c r="B1193" s="47">
        <v>15541</v>
      </c>
      <c r="C1193" s="44" t="s">
        <v>446</v>
      </c>
      <c r="D1193" s="45">
        <v>-78.67</v>
      </c>
      <c r="E1193" s="48" t="s">
        <v>299</v>
      </c>
      <c r="F1193" s="48" t="s">
        <v>90</v>
      </c>
      <c r="G1193" s="48" t="s">
        <v>305</v>
      </c>
      <c r="I1193" s="44" t="s">
        <v>783</v>
      </c>
      <c r="J1193" s="44">
        <f>YEAR(A1193)</f>
        <v>2023</v>
      </c>
    </row>
    <row r="1194" spans="1:10" ht="12" customHeight="1" x14ac:dyDescent="0.25">
      <c r="A1194" s="43">
        <v>45104</v>
      </c>
      <c r="B1194" s="47">
        <v>15542</v>
      </c>
      <c r="C1194" s="44" t="s">
        <v>568</v>
      </c>
      <c r="D1194" s="45">
        <v>49.42</v>
      </c>
      <c r="E1194" s="48" t="s">
        <v>89</v>
      </c>
      <c r="F1194" s="48" t="s">
        <v>90</v>
      </c>
      <c r="G1194" s="48" t="s">
        <v>91</v>
      </c>
      <c r="J1194" s="44">
        <f>YEAR(A1194)</f>
        <v>2023</v>
      </c>
    </row>
    <row r="1195" spans="1:10" ht="12" customHeight="1" x14ac:dyDescent="0.25">
      <c r="A1195" s="43">
        <v>45104</v>
      </c>
      <c r="B1195" s="47">
        <v>15542</v>
      </c>
      <c r="C1195" s="44" t="s">
        <v>568</v>
      </c>
      <c r="D1195" s="45">
        <v>-49.42</v>
      </c>
      <c r="E1195" s="48" t="s">
        <v>299</v>
      </c>
      <c r="F1195" s="48" t="s">
        <v>90</v>
      </c>
      <c r="G1195" s="48" t="s">
        <v>305</v>
      </c>
      <c r="I1195" s="44" t="s">
        <v>783</v>
      </c>
      <c r="J1195" s="44">
        <f>YEAR(A1195)</f>
        <v>2023</v>
      </c>
    </row>
    <row r="1196" spans="1:10" ht="12" customHeight="1" x14ac:dyDescent="0.25">
      <c r="A1196" s="43">
        <v>45104</v>
      </c>
      <c r="B1196" s="47">
        <v>15543</v>
      </c>
      <c r="C1196" s="44" t="s">
        <v>471</v>
      </c>
      <c r="D1196" s="45">
        <v>19.8</v>
      </c>
      <c r="E1196" s="48" t="s">
        <v>89</v>
      </c>
      <c r="F1196" s="48" t="s">
        <v>90</v>
      </c>
      <c r="G1196" s="48" t="s">
        <v>91</v>
      </c>
      <c r="J1196" s="44">
        <f>YEAR(A1196)</f>
        <v>2023</v>
      </c>
    </row>
    <row r="1197" spans="1:10" ht="12" customHeight="1" x14ac:dyDescent="0.25">
      <c r="A1197" s="43">
        <v>45104</v>
      </c>
      <c r="B1197" s="47">
        <v>15543</v>
      </c>
      <c r="C1197" s="44" t="s">
        <v>471</v>
      </c>
      <c r="D1197" s="45">
        <v>-19.8</v>
      </c>
      <c r="E1197" s="48" t="s">
        <v>299</v>
      </c>
      <c r="F1197" s="48" t="s">
        <v>90</v>
      </c>
      <c r="G1197" s="48" t="s">
        <v>305</v>
      </c>
      <c r="I1197" s="44" t="s">
        <v>783</v>
      </c>
      <c r="J1197" s="44">
        <f>YEAR(A1197)</f>
        <v>2023</v>
      </c>
    </row>
    <row r="1198" spans="1:10" ht="12" customHeight="1" x14ac:dyDescent="0.25">
      <c r="A1198" s="43">
        <v>45104</v>
      </c>
      <c r="B1198" s="47">
        <v>15544</v>
      </c>
      <c r="C1198" s="44" t="s">
        <v>475</v>
      </c>
      <c r="D1198" s="45">
        <v>23.21</v>
      </c>
      <c r="E1198" s="48" t="s">
        <v>89</v>
      </c>
      <c r="F1198" s="48" t="s">
        <v>90</v>
      </c>
      <c r="G1198" s="48" t="s">
        <v>91</v>
      </c>
      <c r="J1198" s="44">
        <f>YEAR(A1198)</f>
        <v>2023</v>
      </c>
    </row>
    <row r="1199" spans="1:10" ht="12" customHeight="1" x14ac:dyDescent="0.25">
      <c r="A1199" s="43">
        <v>45104</v>
      </c>
      <c r="B1199" s="47">
        <v>15544</v>
      </c>
      <c r="C1199" s="44" t="s">
        <v>475</v>
      </c>
      <c r="D1199" s="45">
        <v>-23.21</v>
      </c>
      <c r="E1199" s="48" t="s">
        <v>299</v>
      </c>
      <c r="F1199" s="48" t="s">
        <v>90</v>
      </c>
      <c r="G1199" s="48" t="s">
        <v>305</v>
      </c>
      <c r="I1199" s="44" t="s">
        <v>783</v>
      </c>
      <c r="J1199" s="44">
        <f>YEAR(A1199)</f>
        <v>2023</v>
      </c>
    </row>
    <row r="1200" spans="1:10" ht="12" customHeight="1" x14ac:dyDescent="0.25">
      <c r="A1200" s="43">
        <v>45104</v>
      </c>
      <c r="B1200" s="47">
        <v>15545</v>
      </c>
      <c r="C1200" s="44" t="s">
        <v>553</v>
      </c>
      <c r="D1200" s="45">
        <v>80</v>
      </c>
      <c r="E1200" s="48" t="s">
        <v>299</v>
      </c>
      <c r="F1200" s="48" t="s">
        <v>101</v>
      </c>
      <c r="G1200" s="48" t="s">
        <v>91</v>
      </c>
      <c r="J1200" s="44">
        <f>YEAR(A1200)</f>
        <v>2023</v>
      </c>
    </row>
    <row r="1201" spans="1:10" ht="12" customHeight="1" x14ac:dyDescent="0.25">
      <c r="A1201" s="43">
        <v>45104</v>
      </c>
      <c r="B1201" s="47">
        <v>15545</v>
      </c>
      <c r="C1201" s="44" t="s">
        <v>553</v>
      </c>
      <c r="D1201" s="45">
        <v>-80</v>
      </c>
      <c r="E1201" s="48" t="s">
        <v>299</v>
      </c>
      <c r="F1201" s="48" t="s">
        <v>90</v>
      </c>
      <c r="G1201" s="48" t="s">
        <v>91</v>
      </c>
      <c r="H1201" s="44" t="s">
        <v>442</v>
      </c>
      <c r="I1201" s="44" t="s">
        <v>785</v>
      </c>
      <c r="J1201" s="44">
        <f>YEAR(A1201)</f>
        <v>2023</v>
      </c>
    </row>
    <row r="1202" spans="1:10" ht="12" customHeight="1" x14ac:dyDescent="0.25">
      <c r="A1202" s="43">
        <v>45104</v>
      </c>
      <c r="B1202" s="47">
        <v>15546</v>
      </c>
      <c r="C1202" s="44" t="s">
        <v>453</v>
      </c>
      <c r="D1202" s="45">
        <v>13.2</v>
      </c>
      <c r="E1202" s="48" t="s">
        <v>89</v>
      </c>
      <c r="F1202" s="48" t="s">
        <v>90</v>
      </c>
      <c r="G1202" s="48" t="s">
        <v>91</v>
      </c>
      <c r="J1202" s="44">
        <f>YEAR(A1202)</f>
        <v>2023</v>
      </c>
    </row>
    <row r="1203" spans="1:10" ht="12" customHeight="1" x14ac:dyDescent="0.25">
      <c r="A1203" s="43">
        <v>45104</v>
      </c>
      <c r="B1203" s="47">
        <v>15546</v>
      </c>
      <c r="C1203" s="44" t="s">
        <v>453</v>
      </c>
      <c r="D1203" s="45">
        <v>-13.2</v>
      </c>
      <c r="E1203" s="48" t="s">
        <v>299</v>
      </c>
      <c r="F1203" s="48" t="s">
        <v>90</v>
      </c>
      <c r="G1203" s="48" t="s">
        <v>305</v>
      </c>
      <c r="I1203" s="44" t="s">
        <v>783</v>
      </c>
      <c r="J1203" s="44">
        <f>YEAR(A1203)</f>
        <v>2023</v>
      </c>
    </row>
    <row r="1204" spans="1:10" ht="12" customHeight="1" x14ac:dyDescent="0.25">
      <c r="A1204" s="43">
        <v>45104</v>
      </c>
      <c r="B1204" s="47">
        <v>15547</v>
      </c>
      <c r="C1204" s="44" t="s">
        <v>481</v>
      </c>
      <c r="D1204" s="45">
        <v>13.23</v>
      </c>
      <c r="E1204" s="48" t="s">
        <v>89</v>
      </c>
      <c r="F1204" s="48" t="s">
        <v>90</v>
      </c>
      <c r="G1204" s="48" t="s">
        <v>91</v>
      </c>
      <c r="J1204" s="44">
        <f>YEAR(A1204)</f>
        <v>2023</v>
      </c>
    </row>
    <row r="1205" spans="1:10" ht="12" customHeight="1" x14ac:dyDescent="0.25">
      <c r="A1205" s="43">
        <v>45104</v>
      </c>
      <c r="B1205" s="47">
        <v>15547</v>
      </c>
      <c r="C1205" s="44" t="s">
        <v>481</v>
      </c>
      <c r="D1205" s="45">
        <v>16.79</v>
      </c>
      <c r="E1205" s="48" t="s">
        <v>89</v>
      </c>
      <c r="F1205" s="48" t="s">
        <v>90</v>
      </c>
      <c r="G1205" s="48" t="s">
        <v>91</v>
      </c>
      <c r="J1205" s="44">
        <f>YEAR(A1205)</f>
        <v>2023</v>
      </c>
    </row>
    <row r="1206" spans="1:10" ht="12" customHeight="1" x14ac:dyDescent="0.25">
      <c r="A1206" s="43">
        <v>45104</v>
      </c>
      <c r="B1206" s="47">
        <v>15547</v>
      </c>
      <c r="C1206" s="44" t="s">
        <v>481</v>
      </c>
      <c r="D1206" s="45">
        <v>-30.02</v>
      </c>
      <c r="E1206" s="48" t="s">
        <v>299</v>
      </c>
      <c r="F1206" s="48" t="s">
        <v>90</v>
      </c>
      <c r="G1206" s="48" t="s">
        <v>305</v>
      </c>
      <c r="I1206" s="44" t="s">
        <v>783</v>
      </c>
      <c r="J1206" s="44">
        <f>YEAR(A1206)</f>
        <v>2023</v>
      </c>
    </row>
    <row r="1207" spans="1:10" ht="12" customHeight="1" x14ac:dyDescent="0.25">
      <c r="A1207" s="43">
        <v>45104</v>
      </c>
      <c r="B1207" s="47">
        <v>15548</v>
      </c>
      <c r="C1207" s="44" t="s">
        <v>481</v>
      </c>
      <c r="D1207" s="45">
        <v>62.17</v>
      </c>
      <c r="E1207" s="48" t="s">
        <v>180</v>
      </c>
      <c r="F1207" s="48" t="s">
        <v>96</v>
      </c>
      <c r="G1207" s="48" t="s">
        <v>186</v>
      </c>
      <c r="J1207" s="44">
        <f>YEAR(A1207)</f>
        <v>2023</v>
      </c>
    </row>
    <row r="1208" spans="1:10" ht="12" customHeight="1" x14ac:dyDescent="0.25">
      <c r="A1208" s="43">
        <v>45104</v>
      </c>
      <c r="B1208" s="47">
        <v>15548</v>
      </c>
      <c r="C1208" s="44" t="s">
        <v>481</v>
      </c>
      <c r="D1208" s="45">
        <v>-62.17</v>
      </c>
      <c r="E1208" s="48" t="s">
        <v>299</v>
      </c>
      <c r="F1208" s="48" t="s">
        <v>90</v>
      </c>
      <c r="G1208" s="48" t="s">
        <v>305</v>
      </c>
      <c r="I1208" s="44" t="s">
        <v>783</v>
      </c>
      <c r="J1208" s="44">
        <f>YEAR(A1208)</f>
        <v>2023</v>
      </c>
    </row>
    <row r="1209" spans="1:10" ht="12" customHeight="1" x14ac:dyDescent="0.25">
      <c r="A1209" s="43">
        <v>45104</v>
      </c>
      <c r="B1209" s="47">
        <v>15549</v>
      </c>
      <c r="C1209" s="44" t="s">
        <v>446</v>
      </c>
      <c r="D1209" s="45">
        <v>90.11</v>
      </c>
      <c r="E1209" s="48" t="s">
        <v>89</v>
      </c>
      <c r="F1209" s="48" t="s">
        <v>90</v>
      </c>
      <c r="G1209" s="48" t="s">
        <v>91</v>
      </c>
      <c r="J1209" s="44">
        <f>YEAR(A1209)</f>
        <v>2023</v>
      </c>
    </row>
    <row r="1210" spans="1:10" ht="12" customHeight="1" x14ac:dyDescent="0.25">
      <c r="A1210" s="43">
        <v>45104</v>
      </c>
      <c r="B1210" s="47">
        <v>15549</v>
      </c>
      <c r="C1210" s="44" t="s">
        <v>446</v>
      </c>
      <c r="D1210" s="45">
        <v>-90.11</v>
      </c>
      <c r="E1210" s="48" t="s">
        <v>299</v>
      </c>
      <c r="F1210" s="48" t="s">
        <v>90</v>
      </c>
      <c r="G1210" s="48" t="s">
        <v>305</v>
      </c>
      <c r="I1210" s="44" t="s">
        <v>783</v>
      </c>
      <c r="J1210" s="44">
        <f>YEAR(A1210)</f>
        <v>2023</v>
      </c>
    </row>
    <row r="1211" spans="1:10" ht="12" customHeight="1" x14ac:dyDescent="0.25">
      <c r="A1211" s="43">
        <v>45099</v>
      </c>
      <c r="B1211" s="47">
        <v>15550</v>
      </c>
      <c r="C1211" s="44" t="s">
        <v>447</v>
      </c>
      <c r="D1211" s="45">
        <v>-68</v>
      </c>
      <c r="E1211" s="48" t="s">
        <v>299</v>
      </c>
      <c r="F1211" s="48" t="s">
        <v>90</v>
      </c>
      <c r="G1211" s="48" t="s">
        <v>91</v>
      </c>
      <c r="H1211" s="44">
        <v>4006</v>
      </c>
      <c r="I1211" s="44" t="s">
        <v>785</v>
      </c>
      <c r="J1211" s="44">
        <f>YEAR(A1211)</f>
        <v>2023</v>
      </c>
    </row>
    <row r="1212" spans="1:10" ht="12" customHeight="1" x14ac:dyDescent="0.25">
      <c r="A1212" s="43">
        <v>45099</v>
      </c>
      <c r="B1212" s="47">
        <v>15550</v>
      </c>
      <c r="C1212" s="44" t="s">
        <v>447</v>
      </c>
      <c r="D1212" s="45">
        <v>68</v>
      </c>
      <c r="E1212" s="48" t="s">
        <v>197</v>
      </c>
      <c r="F1212" s="48" t="s">
        <v>90</v>
      </c>
      <c r="G1212" s="48" t="s">
        <v>99</v>
      </c>
      <c r="J1212" s="44">
        <f>YEAR(A1212)</f>
        <v>2023</v>
      </c>
    </row>
    <row r="1213" spans="1:10" ht="12" customHeight="1" x14ac:dyDescent="0.25">
      <c r="A1213" s="43">
        <v>45100</v>
      </c>
      <c r="B1213" s="47">
        <v>15551</v>
      </c>
      <c r="C1213" s="44" t="s">
        <v>738</v>
      </c>
      <c r="D1213" s="45">
        <v>-6.3</v>
      </c>
      <c r="E1213" s="48" t="s">
        <v>299</v>
      </c>
      <c r="F1213" s="48" t="s">
        <v>90</v>
      </c>
      <c r="G1213" s="48" t="s">
        <v>91</v>
      </c>
      <c r="H1213" s="44">
        <v>4007</v>
      </c>
      <c r="I1213" s="44" t="s">
        <v>785</v>
      </c>
      <c r="J1213" s="44">
        <f>YEAR(A1213)</f>
        <v>2023</v>
      </c>
    </row>
    <row r="1214" spans="1:10" ht="12" customHeight="1" x14ac:dyDescent="0.25">
      <c r="A1214" s="43">
        <v>45100</v>
      </c>
      <c r="B1214" s="47">
        <v>15551</v>
      </c>
      <c r="C1214" s="44" t="s">
        <v>738</v>
      </c>
      <c r="D1214" s="45">
        <v>6.3</v>
      </c>
      <c r="E1214" s="48" t="s">
        <v>197</v>
      </c>
      <c r="F1214" s="48" t="s">
        <v>90</v>
      </c>
      <c r="G1214" s="48" t="s">
        <v>99</v>
      </c>
      <c r="J1214" s="44">
        <f>YEAR(A1214)</f>
        <v>2023</v>
      </c>
    </row>
    <row r="1215" spans="1:10" ht="12" customHeight="1" x14ac:dyDescent="0.25">
      <c r="A1215" s="43">
        <v>45104</v>
      </c>
      <c r="B1215" s="47">
        <v>15552</v>
      </c>
      <c r="C1215" s="44" t="s">
        <v>580</v>
      </c>
      <c r="D1215" s="45">
        <v>-32</v>
      </c>
      <c r="E1215" s="48" t="s">
        <v>299</v>
      </c>
      <c r="F1215" s="48" t="s">
        <v>90</v>
      </c>
      <c r="G1215" s="48" t="s">
        <v>91</v>
      </c>
      <c r="H1215" s="44">
        <v>4008</v>
      </c>
      <c r="I1215" s="44" t="s">
        <v>785</v>
      </c>
      <c r="J1215" s="44">
        <f>YEAR(A1215)</f>
        <v>2023</v>
      </c>
    </row>
    <row r="1216" spans="1:10" ht="12" customHeight="1" x14ac:dyDescent="0.25">
      <c r="A1216" s="43">
        <v>45104</v>
      </c>
      <c r="B1216" s="47">
        <v>15552</v>
      </c>
      <c r="C1216" s="44" t="s">
        <v>580</v>
      </c>
      <c r="D1216" s="45">
        <v>32</v>
      </c>
      <c r="E1216" s="48" t="s">
        <v>105</v>
      </c>
      <c r="F1216" s="48" t="s">
        <v>90</v>
      </c>
      <c r="G1216" s="48" t="s">
        <v>99</v>
      </c>
      <c r="J1216" s="44">
        <f>YEAR(A1216)</f>
        <v>2023</v>
      </c>
    </row>
    <row r="1217" spans="1:11" ht="12" customHeight="1" x14ac:dyDescent="0.25">
      <c r="A1217" s="43">
        <v>45104</v>
      </c>
      <c r="B1217" s="47">
        <v>15553</v>
      </c>
      <c r="C1217" s="44" t="s">
        <v>484</v>
      </c>
      <c r="D1217" s="45">
        <v>-18.7</v>
      </c>
      <c r="E1217" s="48" t="s">
        <v>299</v>
      </c>
      <c r="F1217" s="48" t="s">
        <v>90</v>
      </c>
      <c r="G1217" s="48" t="s">
        <v>91</v>
      </c>
      <c r="H1217" s="44">
        <v>4009</v>
      </c>
      <c r="I1217" s="44" t="s">
        <v>785</v>
      </c>
      <c r="J1217" s="44">
        <f>YEAR(A1217)</f>
        <v>2023</v>
      </c>
    </row>
    <row r="1218" spans="1:11" ht="12" customHeight="1" x14ac:dyDescent="0.25">
      <c r="A1218" s="43">
        <v>45104</v>
      </c>
      <c r="B1218" s="47">
        <v>15553</v>
      </c>
      <c r="C1218" s="44" t="s">
        <v>484</v>
      </c>
      <c r="D1218" s="45">
        <v>18.7</v>
      </c>
      <c r="E1218" s="48" t="s">
        <v>89</v>
      </c>
      <c r="F1218" s="48" t="s">
        <v>90</v>
      </c>
      <c r="G1218" s="48" t="s">
        <v>91</v>
      </c>
      <c r="J1218" s="44">
        <f>YEAR(A1218)</f>
        <v>2023</v>
      </c>
    </row>
    <row r="1219" spans="1:11" ht="12" customHeight="1" x14ac:dyDescent="0.25">
      <c r="A1219" s="43">
        <v>44984</v>
      </c>
      <c r="B1219" s="47">
        <v>15554</v>
      </c>
      <c r="C1219" s="44" t="s">
        <v>741</v>
      </c>
      <c r="D1219" s="45">
        <v>16.309999999999999</v>
      </c>
      <c r="E1219" s="48" t="s">
        <v>89</v>
      </c>
      <c r="F1219" s="48" t="s">
        <v>90</v>
      </c>
      <c r="G1219" s="48" t="s">
        <v>91</v>
      </c>
      <c r="J1219" s="44">
        <f>YEAR(A1219)</f>
        <v>2023</v>
      </c>
    </row>
    <row r="1220" spans="1:11" ht="12" customHeight="1" x14ac:dyDescent="0.25">
      <c r="A1220" s="43">
        <v>45054</v>
      </c>
      <c r="B1220" s="47">
        <v>15554</v>
      </c>
      <c r="C1220" s="44" t="s">
        <v>504</v>
      </c>
      <c r="D1220" s="45">
        <v>10</v>
      </c>
      <c r="E1220" s="48" t="s">
        <v>145</v>
      </c>
      <c r="F1220" s="48" t="s">
        <v>116</v>
      </c>
      <c r="G1220" s="48" t="s">
        <v>91</v>
      </c>
      <c r="J1220" s="44">
        <f>YEAR(A1220)</f>
        <v>2023</v>
      </c>
      <c r="K1220" s="49" t="s">
        <v>742</v>
      </c>
    </row>
    <row r="1221" spans="1:11" ht="12" customHeight="1" x14ac:dyDescent="0.25">
      <c r="A1221" s="43">
        <v>45062</v>
      </c>
      <c r="B1221" s="47">
        <v>15554</v>
      </c>
      <c r="C1221" s="44" t="s">
        <v>473</v>
      </c>
      <c r="D1221" s="45">
        <v>4.0999999999999996</v>
      </c>
      <c r="E1221" s="48" t="s">
        <v>180</v>
      </c>
      <c r="F1221" s="48" t="s">
        <v>90</v>
      </c>
      <c r="G1221" s="48" t="s">
        <v>91</v>
      </c>
      <c r="H1221" s="44" t="s">
        <v>442</v>
      </c>
      <c r="J1221" s="44">
        <f>YEAR(A1221)</f>
        <v>2023</v>
      </c>
      <c r="K1221" s="49" t="s">
        <v>743</v>
      </c>
    </row>
    <row r="1222" spans="1:11" ht="12" customHeight="1" x14ac:dyDescent="0.25">
      <c r="A1222" s="43">
        <v>45088</v>
      </c>
      <c r="B1222" s="47">
        <v>15554</v>
      </c>
      <c r="C1222" s="44" t="s">
        <v>744</v>
      </c>
      <c r="D1222" s="45">
        <v>73.430000000000007</v>
      </c>
      <c r="E1222" s="48" t="s">
        <v>180</v>
      </c>
      <c r="F1222" s="48" t="s">
        <v>96</v>
      </c>
      <c r="G1222" s="48" t="s">
        <v>187</v>
      </c>
      <c r="J1222" s="44">
        <f>YEAR(A1222)</f>
        <v>2023</v>
      </c>
      <c r="K1222" s="49" t="s">
        <v>745</v>
      </c>
    </row>
    <row r="1223" spans="1:11" ht="12" customHeight="1" x14ac:dyDescent="0.25">
      <c r="A1223" s="43">
        <v>44981</v>
      </c>
      <c r="B1223" s="47">
        <v>15554</v>
      </c>
      <c r="C1223" s="44" t="s">
        <v>489</v>
      </c>
      <c r="D1223" s="45">
        <v>19.989999999999998</v>
      </c>
      <c r="E1223" s="48" t="s">
        <v>157</v>
      </c>
      <c r="F1223" s="48" t="s">
        <v>155</v>
      </c>
      <c r="G1223" s="48" t="s">
        <v>99</v>
      </c>
      <c r="J1223" s="44">
        <f>YEAR(A1223)</f>
        <v>2023</v>
      </c>
    </row>
    <row r="1224" spans="1:11" ht="12" customHeight="1" x14ac:dyDescent="0.25">
      <c r="A1224" s="43">
        <v>44981</v>
      </c>
      <c r="B1224" s="47">
        <v>15554</v>
      </c>
      <c r="C1224" s="44" t="s">
        <v>614</v>
      </c>
      <c r="D1224" s="45">
        <v>3.6</v>
      </c>
      <c r="E1224" s="48" t="s">
        <v>180</v>
      </c>
      <c r="F1224" s="48" t="s">
        <v>90</v>
      </c>
      <c r="G1224" s="48" t="s">
        <v>91</v>
      </c>
      <c r="H1224" s="44" t="s">
        <v>442</v>
      </c>
      <c r="J1224" s="44">
        <f>YEAR(A1224)</f>
        <v>2023</v>
      </c>
    </row>
    <row r="1225" spans="1:11" ht="12" customHeight="1" x14ac:dyDescent="0.25">
      <c r="A1225" s="43">
        <v>45012</v>
      </c>
      <c r="B1225" s="47">
        <v>15554</v>
      </c>
      <c r="C1225" s="44" t="s">
        <v>489</v>
      </c>
      <c r="D1225" s="45">
        <v>19.989999999999998</v>
      </c>
      <c r="E1225" s="48" t="s">
        <v>157</v>
      </c>
      <c r="F1225" s="48" t="s">
        <v>155</v>
      </c>
      <c r="G1225" s="48" t="s">
        <v>99</v>
      </c>
      <c r="J1225" s="44">
        <f>YEAR(A1225)</f>
        <v>2023</v>
      </c>
    </row>
    <row r="1226" spans="1:11" ht="12" customHeight="1" x14ac:dyDescent="0.25">
      <c r="A1226" s="43">
        <v>45042</v>
      </c>
      <c r="B1226" s="47">
        <v>15554</v>
      </c>
      <c r="C1226" s="44" t="s">
        <v>489</v>
      </c>
      <c r="D1226" s="45">
        <v>19.989999999999998</v>
      </c>
      <c r="E1226" s="48" t="s">
        <v>157</v>
      </c>
      <c r="F1226" s="48" t="s">
        <v>155</v>
      </c>
      <c r="G1226" s="48" t="s">
        <v>99</v>
      </c>
      <c r="J1226" s="44">
        <f>YEAR(A1226)</f>
        <v>2023</v>
      </c>
    </row>
    <row r="1227" spans="1:11" ht="12" customHeight="1" x14ac:dyDescent="0.25">
      <c r="A1227" s="43">
        <v>45042</v>
      </c>
      <c r="B1227" s="47">
        <v>15554</v>
      </c>
      <c r="C1227" s="44" t="s">
        <v>614</v>
      </c>
      <c r="D1227" s="45">
        <v>1.8</v>
      </c>
      <c r="E1227" s="48" t="s">
        <v>180</v>
      </c>
      <c r="F1227" s="48" t="s">
        <v>90</v>
      </c>
      <c r="G1227" s="48" t="s">
        <v>91</v>
      </c>
      <c r="H1227" s="44" t="s">
        <v>442</v>
      </c>
      <c r="J1227" s="44">
        <f>YEAR(A1227)</f>
        <v>2023</v>
      </c>
    </row>
    <row r="1228" spans="1:11" ht="12" customHeight="1" x14ac:dyDescent="0.25">
      <c r="A1228" s="43">
        <v>45030</v>
      </c>
      <c r="B1228" s="47">
        <v>15554</v>
      </c>
      <c r="C1228" s="44" t="s">
        <v>455</v>
      </c>
      <c r="D1228" s="45">
        <v>67.55</v>
      </c>
      <c r="E1228" s="48" t="s">
        <v>89</v>
      </c>
      <c r="F1228" s="48" t="s">
        <v>90</v>
      </c>
      <c r="G1228" s="48" t="s">
        <v>91</v>
      </c>
      <c r="J1228" s="44">
        <f>YEAR(A1228)</f>
        <v>2023</v>
      </c>
      <c r="K1228" s="49" t="s">
        <v>746</v>
      </c>
    </row>
    <row r="1229" spans="1:11" ht="12" customHeight="1" x14ac:dyDescent="0.25">
      <c r="A1229" s="43">
        <v>45104</v>
      </c>
      <c r="B1229" s="47">
        <v>15554</v>
      </c>
      <c r="C1229" s="44" t="s">
        <v>514</v>
      </c>
      <c r="D1229" s="45">
        <v>-236.76</v>
      </c>
      <c r="E1229" s="48" t="s">
        <v>299</v>
      </c>
      <c r="F1229" s="48" t="s">
        <v>321</v>
      </c>
      <c r="G1229" s="48" t="s">
        <v>99</v>
      </c>
      <c r="J1229" s="44">
        <f>YEAR(A1229)</f>
        <v>2023</v>
      </c>
    </row>
    <row r="1230" spans="1:11" ht="12" customHeight="1" x14ac:dyDescent="0.25">
      <c r="A1230" s="43">
        <v>45104</v>
      </c>
      <c r="B1230" s="47">
        <v>15555</v>
      </c>
      <c r="C1230" s="44" t="s">
        <v>515</v>
      </c>
      <c r="D1230" s="45">
        <v>-214.76</v>
      </c>
      <c r="E1230" s="48" t="s">
        <v>299</v>
      </c>
      <c r="F1230" s="48" t="s">
        <v>90</v>
      </c>
      <c r="G1230" s="48" t="s">
        <v>91</v>
      </c>
      <c r="H1230" s="44" t="s">
        <v>402</v>
      </c>
      <c r="I1230" s="44" t="s">
        <v>785</v>
      </c>
      <c r="J1230" s="44">
        <f>YEAR(A1230)</f>
        <v>2023</v>
      </c>
    </row>
    <row r="1231" spans="1:11" ht="12" customHeight="1" x14ac:dyDescent="0.25">
      <c r="A1231" s="43">
        <v>45104</v>
      </c>
      <c r="B1231" s="47">
        <v>15555</v>
      </c>
      <c r="C1231" s="44" t="s">
        <v>515</v>
      </c>
      <c r="D1231" s="45">
        <v>214.76</v>
      </c>
      <c r="E1231" s="48" t="s">
        <v>299</v>
      </c>
      <c r="F1231" s="48" t="s">
        <v>321</v>
      </c>
      <c r="G1231" s="48" t="s">
        <v>99</v>
      </c>
      <c r="J1231" s="44">
        <f>YEAR(A1231)</f>
        <v>2023</v>
      </c>
    </row>
    <row r="1232" spans="1:11" ht="12" customHeight="1" x14ac:dyDescent="0.25">
      <c r="A1232" s="43">
        <v>45104</v>
      </c>
      <c r="B1232" s="47">
        <v>15556</v>
      </c>
      <c r="C1232" s="44" t="s">
        <v>580</v>
      </c>
      <c r="D1232" s="45">
        <v>35.049999999999997</v>
      </c>
      <c r="E1232" s="48" t="s">
        <v>89</v>
      </c>
      <c r="F1232" s="48" t="s">
        <v>90</v>
      </c>
      <c r="G1232" s="48" t="s">
        <v>91</v>
      </c>
      <c r="J1232" s="44">
        <f>YEAR(A1232)</f>
        <v>2023</v>
      </c>
    </row>
    <row r="1233" spans="1:11" ht="12" customHeight="1" x14ac:dyDescent="0.25">
      <c r="A1233" s="43">
        <v>45104</v>
      </c>
      <c r="B1233" s="47">
        <v>15556</v>
      </c>
      <c r="C1233" s="44" t="s">
        <v>580</v>
      </c>
      <c r="D1233" s="45">
        <v>-35.049999999999997</v>
      </c>
      <c r="E1233" s="48" t="s">
        <v>299</v>
      </c>
      <c r="F1233" s="48" t="s">
        <v>101</v>
      </c>
      <c r="G1233" s="48" t="s">
        <v>91</v>
      </c>
      <c r="J1233" s="44">
        <f>YEAR(A1233)</f>
        <v>2023</v>
      </c>
    </row>
    <row r="1234" spans="1:11" ht="12" customHeight="1" x14ac:dyDescent="0.25">
      <c r="A1234" s="43">
        <v>45108</v>
      </c>
      <c r="B1234" s="47">
        <v>15557</v>
      </c>
      <c r="C1234" s="44" t="s">
        <v>164</v>
      </c>
      <c r="D1234" s="45">
        <v>-1208.82</v>
      </c>
      <c r="E1234" s="48" t="s">
        <v>299</v>
      </c>
      <c r="F1234" s="48" t="s">
        <v>90</v>
      </c>
      <c r="G1234" s="48" t="s">
        <v>91</v>
      </c>
      <c r="H1234" s="44" t="s">
        <v>402</v>
      </c>
      <c r="I1234" s="44" t="s">
        <v>785</v>
      </c>
      <c r="J1234" s="44">
        <f>YEAR(A1234)</f>
        <v>2023</v>
      </c>
    </row>
    <row r="1235" spans="1:11" ht="12" customHeight="1" x14ac:dyDescent="0.25">
      <c r="A1235" s="43">
        <v>45108</v>
      </c>
      <c r="B1235" s="47">
        <v>15557</v>
      </c>
      <c r="C1235" s="44" t="s">
        <v>164</v>
      </c>
      <c r="D1235" s="45">
        <v>1208.82</v>
      </c>
      <c r="E1235" s="48" t="s">
        <v>157</v>
      </c>
      <c r="F1235" s="48" t="s">
        <v>128</v>
      </c>
      <c r="G1235" s="48" t="s">
        <v>112</v>
      </c>
      <c r="J1235" s="44">
        <f>YEAR(A1235)</f>
        <v>2023</v>
      </c>
    </row>
    <row r="1236" spans="1:11" ht="12" customHeight="1" x14ac:dyDescent="0.25">
      <c r="A1236" s="43">
        <v>45105</v>
      </c>
      <c r="B1236" s="47">
        <v>15558</v>
      </c>
      <c r="C1236" s="44" t="s">
        <v>748</v>
      </c>
      <c r="D1236" s="45">
        <v>84.4</v>
      </c>
      <c r="E1236" s="48" t="s">
        <v>105</v>
      </c>
      <c r="F1236" s="48" t="s">
        <v>90</v>
      </c>
      <c r="G1236" s="48" t="s">
        <v>93</v>
      </c>
      <c r="J1236" s="44">
        <f>YEAR(A1236)</f>
        <v>2023</v>
      </c>
      <c r="K1236" s="49" t="s">
        <v>749</v>
      </c>
    </row>
    <row r="1237" spans="1:11" ht="12" customHeight="1" x14ac:dyDescent="0.25">
      <c r="A1237" s="43">
        <v>45105</v>
      </c>
      <c r="B1237" s="47">
        <v>15558</v>
      </c>
      <c r="C1237" s="44" t="s">
        <v>748</v>
      </c>
      <c r="D1237" s="45">
        <v>-84.4</v>
      </c>
      <c r="E1237" s="48" t="s">
        <v>299</v>
      </c>
      <c r="F1237" s="48" t="s">
        <v>90</v>
      </c>
      <c r="G1237" s="48" t="s">
        <v>305</v>
      </c>
      <c r="I1237" s="44" t="s">
        <v>783</v>
      </c>
      <c r="J1237" s="44">
        <f>YEAR(A1237)</f>
        <v>2023</v>
      </c>
    </row>
    <row r="1238" spans="1:11" ht="12" customHeight="1" x14ac:dyDescent="0.25">
      <c r="A1238" s="43">
        <v>45105</v>
      </c>
      <c r="B1238" s="47">
        <v>15559</v>
      </c>
      <c r="C1238" s="44" t="s">
        <v>750</v>
      </c>
      <c r="D1238" s="45">
        <v>17.7</v>
      </c>
      <c r="E1238" s="48" t="s">
        <v>197</v>
      </c>
      <c r="F1238" s="48" t="s">
        <v>96</v>
      </c>
      <c r="G1238" s="48" t="s">
        <v>93</v>
      </c>
      <c r="J1238" s="44">
        <f>YEAR(A1238)</f>
        <v>2023</v>
      </c>
      <c r="K1238" s="49" t="s">
        <v>751</v>
      </c>
    </row>
    <row r="1239" spans="1:11" ht="12" customHeight="1" x14ac:dyDescent="0.25">
      <c r="A1239" s="43">
        <v>45105</v>
      </c>
      <c r="B1239" s="47">
        <v>15559</v>
      </c>
      <c r="C1239" s="44" t="s">
        <v>750</v>
      </c>
      <c r="D1239" s="45">
        <v>-17.7</v>
      </c>
      <c r="E1239" s="48" t="s">
        <v>299</v>
      </c>
      <c r="F1239" s="48" t="s">
        <v>90</v>
      </c>
      <c r="G1239" s="48" t="s">
        <v>305</v>
      </c>
      <c r="I1239" s="44" t="s">
        <v>783</v>
      </c>
      <c r="J1239" s="44">
        <f>YEAR(A1239)</f>
        <v>2023</v>
      </c>
    </row>
    <row r="1240" spans="1:11" ht="12" customHeight="1" x14ac:dyDescent="0.25">
      <c r="A1240" s="43">
        <v>45106</v>
      </c>
      <c r="B1240" s="47">
        <v>15560</v>
      </c>
      <c r="C1240" s="44" t="s">
        <v>552</v>
      </c>
      <c r="D1240" s="45">
        <v>4.75</v>
      </c>
      <c r="E1240" s="48" t="s">
        <v>89</v>
      </c>
      <c r="F1240" s="48" t="s">
        <v>90</v>
      </c>
      <c r="G1240" s="48" t="s">
        <v>91</v>
      </c>
      <c r="J1240" s="44">
        <f>YEAR(A1240)</f>
        <v>2023</v>
      </c>
    </row>
    <row r="1241" spans="1:11" ht="12" customHeight="1" x14ac:dyDescent="0.25">
      <c r="A1241" s="43">
        <v>45106</v>
      </c>
      <c r="B1241" s="47">
        <v>15560</v>
      </c>
      <c r="C1241" s="44" t="s">
        <v>552</v>
      </c>
      <c r="D1241" s="45">
        <v>-27.32</v>
      </c>
      <c r="E1241" s="48" t="s">
        <v>299</v>
      </c>
      <c r="F1241" s="48" t="s">
        <v>90</v>
      </c>
      <c r="G1241" s="48" t="s">
        <v>305</v>
      </c>
      <c r="I1241" s="44" t="s">
        <v>811</v>
      </c>
      <c r="J1241" s="44">
        <f>YEAR(A1241)</f>
        <v>2023</v>
      </c>
    </row>
    <row r="1242" spans="1:11" ht="12" customHeight="1" x14ac:dyDescent="0.25">
      <c r="A1242" s="43">
        <v>45106</v>
      </c>
      <c r="B1242" s="47">
        <v>15560</v>
      </c>
      <c r="C1242" s="44" t="s">
        <v>552</v>
      </c>
      <c r="D1242" s="45">
        <v>19.989999999999998</v>
      </c>
      <c r="E1242" s="48" t="s">
        <v>197</v>
      </c>
      <c r="F1242" s="48" t="s">
        <v>96</v>
      </c>
      <c r="G1242" s="48" t="s">
        <v>93</v>
      </c>
      <c r="J1242" s="44">
        <f>YEAR(A1242)</f>
        <v>2023</v>
      </c>
      <c r="K1242" s="49" t="s">
        <v>498</v>
      </c>
    </row>
    <row r="1243" spans="1:11" ht="12" customHeight="1" x14ac:dyDescent="0.25">
      <c r="A1243" s="43">
        <v>45106</v>
      </c>
      <c r="B1243" s="47">
        <v>15560</v>
      </c>
      <c r="C1243" s="44" t="s">
        <v>552</v>
      </c>
      <c r="D1243" s="45">
        <v>2.58</v>
      </c>
      <c r="E1243" s="48" t="s">
        <v>197</v>
      </c>
      <c r="F1243" s="48" t="s">
        <v>96</v>
      </c>
      <c r="G1243" s="48" t="s">
        <v>91</v>
      </c>
      <c r="J1243" s="44">
        <f>YEAR(A1243)</f>
        <v>2023</v>
      </c>
    </row>
    <row r="1244" spans="1:11" ht="12" customHeight="1" x14ac:dyDescent="0.25">
      <c r="A1244" s="43">
        <v>45106</v>
      </c>
      <c r="B1244" s="47">
        <v>15561</v>
      </c>
      <c r="C1244" s="44" t="s">
        <v>492</v>
      </c>
      <c r="D1244" s="45">
        <v>41.18</v>
      </c>
      <c r="E1244" s="48" t="s">
        <v>299</v>
      </c>
      <c r="F1244" s="48" t="s">
        <v>321</v>
      </c>
      <c r="G1244" s="48" t="s">
        <v>99</v>
      </c>
      <c r="J1244" s="44">
        <f>YEAR(A1244)</f>
        <v>2023</v>
      </c>
      <c r="K1244" s="49" t="s">
        <v>752</v>
      </c>
    </row>
    <row r="1245" spans="1:11" ht="12" customHeight="1" x14ac:dyDescent="0.25">
      <c r="A1245" s="43">
        <v>45106</v>
      </c>
      <c r="B1245" s="47">
        <v>15561</v>
      </c>
      <c r="C1245" s="44" t="s">
        <v>492</v>
      </c>
      <c r="D1245" s="45">
        <v>-41.18</v>
      </c>
      <c r="E1245" s="48" t="s">
        <v>299</v>
      </c>
      <c r="F1245" s="48" t="s">
        <v>90</v>
      </c>
      <c r="G1245" s="48" t="s">
        <v>305</v>
      </c>
      <c r="I1245" s="44" t="s">
        <v>811</v>
      </c>
      <c r="J1245" s="44">
        <f>YEAR(A1245)</f>
        <v>2023</v>
      </c>
    </row>
    <row r="1246" spans="1:11" ht="12" customHeight="1" x14ac:dyDescent="0.25">
      <c r="A1246" s="43">
        <v>45106</v>
      </c>
      <c r="B1246" s="47">
        <v>15562</v>
      </c>
      <c r="C1246" s="44" t="s">
        <v>626</v>
      </c>
      <c r="D1246" s="45">
        <v>9.8000000000000007</v>
      </c>
      <c r="E1246" s="48" t="s">
        <v>105</v>
      </c>
      <c r="F1246" s="48" t="s">
        <v>90</v>
      </c>
      <c r="G1246" s="48" t="s">
        <v>91</v>
      </c>
      <c r="J1246" s="44">
        <f>YEAR(A1246)</f>
        <v>2023</v>
      </c>
    </row>
    <row r="1247" spans="1:11" ht="12" customHeight="1" x14ac:dyDescent="0.25">
      <c r="A1247" s="43">
        <v>45106</v>
      </c>
      <c r="B1247" s="47">
        <v>15562</v>
      </c>
      <c r="C1247" s="44" t="s">
        <v>626</v>
      </c>
      <c r="D1247" s="45">
        <v>-9.8000000000000007</v>
      </c>
      <c r="E1247" s="48" t="s">
        <v>299</v>
      </c>
      <c r="F1247" s="48" t="s">
        <v>90</v>
      </c>
      <c r="G1247" s="48" t="s">
        <v>305</v>
      </c>
      <c r="I1247" s="44" t="s">
        <v>811</v>
      </c>
      <c r="J1247" s="44">
        <f>YEAR(A1247)</f>
        <v>2023</v>
      </c>
    </row>
    <row r="1248" spans="1:11" ht="12" customHeight="1" x14ac:dyDescent="0.25">
      <c r="A1248" s="43">
        <v>45107</v>
      </c>
      <c r="B1248" s="47">
        <v>15563</v>
      </c>
      <c r="C1248" s="44" t="s">
        <v>448</v>
      </c>
      <c r="D1248" s="45">
        <v>10.9</v>
      </c>
      <c r="E1248" s="48" t="s">
        <v>180</v>
      </c>
      <c r="F1248" s="48" t="s">
        <v>90</v>
      </c>
      <c r="G1248" s="48" t="s">
        <v>91</v>
      </c>
      <c r="H1248" s="44" t="s">
        <v>442</v>
      </c>
      <c r="J1248" s="44">
        <f>YEAR(A1248)</f>
        <v>2023</v>
      </c>
    </row>
    <row r="1249" spans="1:10" ht="12" customHeight="1" x14ac:dyDescent="0.25">
      <c r="A1249" s="43">
        <v>45107</v>
      </c>
      <c r="B1249" s="47">
        <v>15563</v>
      </c>
      <c r="C1249" s="44" t="s">
        <v>448</v>
      </c>
      <c r="D1249" s="45">
        <v>-10.9</v>
      </c>
      <c r="E1249" s="48" t="s">
        <v>299</v>
      </c>
      <c r="F1249" s="48" t="s">
        <v>90</v>
      </c>
      <c r="G1249" s="48" t="s">
        <v>305</v>
      </c>
      <c r="I1249" s="44" t="s">
        <v>811</v>
      </c>
      <c r="J1249" s="44">
        <f>YEAR(A1249)</f>
        <v>2023</v>
      </c>
    </row>
    <row r="1250" spans="1:10" ht="12" customHeight="1" x14ac:dyDescent="0.25">
      <c r="A1250" s="43">
        <v>45108</v>
      </c>
      <c r="B1250" s="47">
        <v>15564</v>
      </c>
      <c r="C1250" s="44" t="s">
        <v>753</v>
      </c>
      <c r="D1250" s="45">
        <v>1.6</v>
      </c>
      <c r="E1250" s="48" t="s">
        <v>180</v>
      </c>
      <c r="F1250" s="48" t="s">
        <v>90</v>
      </c>
      <c r="G1250" s="48" t="s">
        <v>91</v>
      </c>
      <c r="H1250" s="44" t="s">
        <v>442</v>
      </c>
      <c r="J1250" s="44">
        <f>YEAR(A1250)</f>
        <v>2023</v>
      </c>
    </row>
    <row r="1251" spans="1:10" ht="12" customHeight="1" x14ac:dyDescent="0.25">
      <c r="A1251" s="43">
        <v>45108</v>
      </c>
      <c r="B1251" s="47">
        <v>15564</v>
      </c>
      <c r="C1251" s="44" t="s">
        <v>753</v>
      </c>
      <c r="D1251" s="45">
        <v>-1.6</v>
      </c>
      <c r="E1251" s="48" t="s">
        <v>299</v>
      </c>
      <c r="F1251" s="48" t="s">
        <v>90</v>
      </c>
      <c r="G1251" s="48" t="s">
        <v>305</v>
      </c>
      <c r="I1251" s="44" t="s">
        <v>811</v>
      </c>
      <c r="J1251" s="44">
        <f>YEAR(A1251)</f>
        <v>2023</v>
      </c>
    </row>
    <row r="1252" spans="1:10" ht="12" customHeight="1" x14ac:dyDescent="0.25">
      <c r="A1252" s="43">
        <v>45108</v>
      </c>
      <c r="B1252" s="47">
        <v>15565</v>
      </c>
      <c r="C1252" s="44" t="s">
        <v>446</v>
      </c>
      <c r="D1252" s="45">
        <v>14.75</v>
      </c>
      <c r="E1252" s="48" t="s">
        <v>89</v>
      </c>
      <c r="F1252" s="48" t="s">
        <v>90</v>
      </c>
      <c r="G1252" s="48" t="s">
        <v>91</v>
      </c>
      <c r="J1252" s="44">
        <f>YEAR(A1252)</f>
        <v>2023</v>
      </c>
    </row>
    <row r="1253" spans="1:10" ht="12" customHeight="1" x14ac:dyDescent="0.25">
      <c r="A1253" s="43">
        <v>45108</v>
      </c>
      <c r="B1253" s="47">
        <v>15565</v>
      </c>
      <c r="C1253" s="44" t="s">
        <v>446</v>
      </c>
      <c r="D1253" s="45">
        <v>-14.75</v>
      </c>
      <c r="E1253" s="48" t="s">
        <v>299</v>
      </c>
      <c r="F1253" s="48" t="s">
        <v>90</v>
      </c>
      <c r="G1253" s="48" t="s">
        <v>305</v>
      </c>
      <c r="I1253" s="44" t="s">
        <v>811</v>
      </c>
      <c r="J1253" s="44">
        <f>YEAR(A1253)</f>
        <v>2023</v>
      </c>
    </row>
    <row r="1254" spans="1:10" ht="12" customHeight="1" x14ac:dyDescent="0.25">
      <c r="A1254" s="43">
        <v>45111</v>
      </c>
      <c r="B1254" s="47">
        <v>15566</v>
      </c>
      <c r="C1254" s="44" t="s">
        <v>484</v>
      </c>
      <c r="D1254" s="45">
        <v>-21.1</v>
      </c>
      <c r="E1254" s="48" t="s">
        <v>299</v>
      </c>
      <c r="F1254" s="48" t="s">
        <v>90</v>
      </c>
      <c r="G1254" s="48" t="s">
        <v>91</v>
      </c>
      <c r="H1254" s="44">
        <v>4010</v>
      </c>
      <c r="I1254" s="44" t="s">
        <v>812</v>
      </c>
      <c r="J1254" s="44">
        <f>YEAR(A1254)</f>
        <v>2023</v>
      </c>
    </row>
    <row r="1255" spans="1:10" ht="12" customHeight="1" x14ac:dyDescent="0.25">
      <c r="A1255" s="43">
        <v>45111</v>
      </c>
      <c r="B1255" s="47">
        <v>15566</v>
      </c>
      <c r="C1255" s="44" t="s">
        <v>484</v>
      </c>
      <c r="D1255" s="45">
        <v>21.1</v>
      </c>
      <c r="E1255" s="48" t="s">
        <v>89</v>
      </c>
      <c r="F1255" s="48" t="s">
        <v>90</v>
      </c>
      <c r="G1255" s="48" t="s">
        <v>91</v>
      </c>
      <c r="J1255" s="44">
        <f>YEAR(A1255)</f>
        <v>2023</v>
      </c>
    </row>
    <row r="1256" spans="1:10" ht="12" customHeight="1" x14ac:dyDescent="0.25">
      <c r="A1256" s="43">
        <v>45111</v>
      </c>
      <c r="B1256" s="47">
        <v>15567</v>
      </c>
      <c r="C1256" s="44" t="s">
        <v>471</v>
      </c>
      <c r="D1256" s="45">
        <v>18</v>
      </c>
      <c r="E1256" s="48" t="s">
        <v>89</v>
      </c>
      <c r="F1256" s="48" t="s">
        <v>90</v>
      </c>
      <c r="G1256" s="48" t="s">
        <v>91</v>
      </c>
      <c r="J1256" s="44">
        <f>YEAR(A1256)</f>
        <v>2023</v>
      </c>
    </row>
    <row r="1257" spans="1:10" ht="12" customHeight="1" x14ac:dyDescent="0.25">
      <c r="A1257" s="43">
        <v>45111</v>
      </c>
      <c r="B1257" s="47">
        <v>15567</v>
      </c>
      <c r="C1257" s="44" t="s">
        <v>471</v>
      </c>
      <c r="D1257" s="45">
        <v>-18</v>
      </c>
      <c r="E1257" s="48" t="s">
        <v>299</v>
      </c>
      <c r="F1257" s="48" t="s">
        <v>90</v>
      </c>
      <c r="G1257" s="48" t="s">
        <v>305</v>
      </c>
      <c r="I1257" s="44" t="s">
        <v>811</v>
      </c>
      <c r="J1257" s="44">
        <f>YEAR(A1257)</f>
        <v>2023</v>
      </c>
    </row>
    <row r="1258" spans="1:10" ht="12" customHeight="1" x14ac:dyDescent="0.25">
      <c r="A1258" s="43">
        <v>45111</v>
      </c>
      <c r="B1258" s="47">
        <v>15568</v>
      </c>
      <c r="C1258" s="44" t="s">
        <v>475</v>
      </c>
      <c r="D1258" s="45">
        <v>61.85</v>
      </c>
      <c r="E1258" s="48" t="s">
        <v>89</v>
      </c>
      <c r="F1258" s="48" t="s">
        <v>90</v>
      </c>
      <c r="G1258" s="48" t="s">
        <v>91</v>
      </c>
      <c r="J1258" s="44">
        <f>YEAR(A1258)</f>
        <v>2023</v>
      </c>
    </row>
    <row r="1259" spans="1:10" ht="12" customHeight="1" x14ac:dyDescent="0.25">
      <c r="A1259" s="43">
        <v>45111</v>
      </c>
      <c r="B1259" s="47">
        <v>15568</v>
      </c>
      <c r="C1259" s="44" t="s">
        <v>475</v>
      </c>
      <c r="D1259" s="45">
        <v>-61.85</v>
      </c>
      <c r="E1259" s="48" t="s">
        <v>299</v>
      </c>
      <c r="F1259" s="48" t="s">
        <v>90</v>
      </c>
      <c r="G1259" s="48" t="s">
        <v>305</v>
      </c>
      <c r="I1259" s="44" t="s">
        <v>811</v>
      </c>
      <c r="J1259" s="44">
        <f>YEAR(A1259)</f>
        <v>2023</v>
      </c>
    </row>
    <row r="1260" spans="1:10" ht="12" customHeight="1" x14ac:dyDescent="0.25">
      <c r="A1260" s="43">
        <v>45111</v>
      </c>
      <c r="B1260" s="47">
        <v>15569</v>
      </c>
      <c r="C1260" s="44" t="s">
        <v>594</v>
      </c>
      <c r="D1260" s="45">
        <v>13.17</v>
      </c>
      <c r="E1260" s="48" t="s">
        <v>197</v>
      </c>
      <c r="F1260" s="48" t="s">
        <v>90</v>
      </c>
      <c r="G1260" s="48" t="s">
        <v>91</v>
      </c>
      <c r="J1260" s="44">
        <f>YEAR(A1260)</f>
        <v>2023</v>
      </c>
    </row>
    <row r="1261" spans="1:10" ht="12" customHeight="1" x14ac:dyDescent="0.25">
      <c r="A1261" s="43">
        <v>45111</v>
      </c>
      <c r="B1261" s="47">
        <v>15569</v>
      </c>
      <c r="C1261" s="44" t="s">
        <v>594</v>
      </c>
      <c r="D1261" s="45">
        <v>-13.17</v>
      </c>
      <c r="E1261" s="48" t="s">
        <v>299</v>
      </c>
      <c r="F1261" s="48" t="s">
        <v>90</v>
      </c>
      <c r="G1261" s="48" t="s">
        <v>305</v>
      </c>
      <c r="I1261" s="44" t="s">
        <v>811</v>
      </c>
      <c r="J1261" s="44">
        <f>YEAR(A1261)</f>
        <v>2023</v>
      </c>
    </row>
    <row r="1262" spans="1:10" ht="12" customHeight="1" x14ac:dyDescent="0.25">
      <c r="A1262" s="43">
        <v>45111</v>
      </c>
      <c r="B1262" s="47">
        <v>15570</v>
      </c>
      <c r="C1262" s="44" t="s">
        <v>446</v>
      </c>
      <c r="D1262" s="45">
        <v>4.99</v>
      </c>
      <c r="E1262" s="48" t="s">
        <v>89</v>
      </c>
      <c r="F1262" s="48" t="s">
        <v>90</v>
      </c>
      <c r="G1262" s="48" t="s">
        <v>91</v>
      </c>
      <c r="J1262" s="44">
        <f>YEAR(A1262)</f>
        <v>2023</v>
      </c>
    </row>
    <row r="1263" spans="1:10" ht="12" customHeight="1" x14ac:dyDescent="0.25">
      <c r="A1263" s="43">
        <v>45111</v>
      </c>
      <c r="B1263" s="47">
        <v>15570</v>
      </c>
      <c r="C1263" s="44" t="s">
        <v>446</v>
      </c>
      <c r="D1263" s="45">
        <v>-4.99</v>
      </c>
      <c r="E1263" s="48" t="s">
        <v>299</v>
      </c>
      <c r="F1263" s="48" t="s">
        <v>90</v>
      </c>
      <c r="G1263" s="48" t="s">
        <v>305</v>
      </c>
      <c r="I1263" s="44" t="s">
        <v>811</v>
      </c>
      <c r="J1263" s="44">
        <f>YEAR(A1263)</f>
        <v>2023</v>
      </c>
    </row>
    <row r="1264" spans="1:10" ht="12" customHeight="1" x14ac:dyDescent="0.25">
      <c r="A1264" s="43">
        <v>45111</v>
      </c>
      <c r="B1264" s="47">
        <v>15571</v>
      </c>
      <c r="C1264" s="44" t="s">
        <v>568</v>
      </c>
      <c r="D1264" s="45">
        <v>9.6999999999999993</v>
      </c>
      <c r="E1264" s="48" t="s">
        <v>89</v>
      </c>
      <c r="F1264" s="48" t="s">
        <v>90</v>
      </c>
      <c r="G1264" s="48" t="s">
        <v>91</v>
      </c>
      <c r="J1264" s="44">
        <f>YEAR(A1264)</f>
        <v>2023</v>
      </c>
    </row>
    <row r="1265" spans="1:10" ht="12" customHeight="1" x14ac:dyDescent="0.25">
      <c r="A1265" s="43">
        <v>45111</v>
      </c>
      <c r="B1265" s="47">
        <v>15571</v>
      </c>
      <c r="C1265" s="44" t="s">
        <v>568</v>
      </c>
      <c r="D1265" s="45">
        <v>-9.6999999999999993</v>
      </c>
      <c r="E1265" s="48" t="s">
        <v>299</v>
      </c>
      <c r="F1265" s="48" t="s">
        <v>90</v>
      </c>
      <c r="G1265" s="48" t="s">
        <v>305</v>
      </c>
      <c r="I1265" s="44" t="s">
        <v>811</v>
      </c>
      <c r="J1265" s="44">
        <f>YEAR(A1265)</f>
        <v>2023</v>
      </c>
    </row>
    <row r="1266" spans="1:10" ht="12" customHeight="1" x14ac:dyDescent="0.25">
      <c r="A1266" s="43">
        <v>45111</v>
      </c>
      <c r="B1266" s="47">
        <v>15572</v>
      </c>
      <c r="C1266" s="44" t="s">
        <v>483</v>
      </c>
      <c r="D1266" s="45">
        <v>227.29</v>
      </c>
      <c r="E1266" s="48" t="s">
        <v>105</v>
      </c>
      <c r="F1266" s="48" t="s">
        <v>90</v>
      </c>
      <c r="G1266" s="48" t="s">
        <v>91</v>
      </c>
      <c r="J1266" s="44">
        <f>YEAR(A1266)</f>
        <v>2023</v>
      </c>
    </row>
    <row r="1267" spans="1:10" ht="12" customHeight="1" x14ac:dyDescent="0.25">
      <c r="A1267" s="43">
        <v>45111</v>
      </c>
      <c r="B1267" s="47">
        <v>15572</v>
      </c>
      <c r="C1267" s="44" t="s">
        <v>483</v>
      </c>
      <c r="D1267" s="45">
        <v>-227.29</v>
      </c>
      <c r="E1267" s="48" t="s">
        <v>299</v>
      </c>
      <c r="F1267" s="48" t="s">
        <v>90</v>
      </c>
      <c r="G1267" s="48" t="s">
        <v>305</v>
      </c>
      <c r="I1267" s="44" t="s">
        <v>811</v>
      </c>
      <c r="J1267" s="44">
        <f>YEAR(A1267)</f>
        <v>2023</v>
      </c>
    </row>
    <row r="1268" spans="1:10" ht="12" customHeight="1" x14ac:dyDescent="0.25">
      <c r="A1268" s="43">
        <v>45111</v>
      </c>
      <c r="B1268" s="47">
        <v>15573</v>
      </c>
      <c r="C1268" s="44" t="s">
        <v>754</v>
      </c>
      <c r="D1268" s="45">
        <v>9.99</v>
      </c>
      <c r="E1268" s="48" t="s">
        <v>145</v>
      </c>
      <c r="F1268" s="48" t="s">
        <v>135</v>
      </c>
      <c r="G1268" s="48" t="s">
        <v>91</v>
      </c>
      <c r="J1268" s="44">
        <f>YEAR(A1268)</f>
        <v>2023</v>
      </c>
    </row>
    <row r="1269" spans="1:10" ht="12" customHeight="1" x14ac:dyDescent="0.25">
      <c r="A1269" s="43">
        <v>45111</v>
      </c>
      <c r="B1269" s="47">
        <v>15573</v>
      </c>
      <c r="C1269" s="44" t="s">
        <v>754</v>
      </c>
      <c r="D1269" s="45">
        <v>-9.99</v>
      </c>
      <c r="E1269" s="48" t="s">
        <v>299</v>
      </c>
      <c r="F1269" s="48" t="s">
        <v>90</v>
      </c>
      <c r="G1269" s="48" t="s">
        <v>305</v>
      </c>
      <c r="I1269" s="44" t="s">
        <v>811</v>
      </c>
      <c r="J1269" s="44">
        <f>YEAR(A1269)</f>
        <v>2023</v>
      </c>
    </row>
    <row r="1270" spans="1:10" ht="12" customHeight="1" x14ac:dyDescent="0.25">
      <c r="A1270" s="43">
        <v>45111</v>
      </c>
      <c r="B1270" s="47">
        <v>15574</v>
      </c>
      <c r="C1270" s="44" t="s">
        <v>755</v>
      </c>
      <c r="D1270" s="45">
        <v>9.6199999999999992</v>
      </c>
      <c r="E1270" s="48" t="s">
        <v>89</v>
      </c>
      <c r="F1270" s="48" t="s">
        <v>90</v>
      </c>
      <c r="G1270" s="48" t="s">
        <v>91</v>
      </c>
      <c r="J1270" s="44">
        <f>YEAR(A1270)</f>
        <v>2023</v>
      </c>
    </row>
    <row r="1271" spans="1:10" ht="12" customHeight="1" x14ac:dyDescent="0.25">
      <c r="A1271" s="43">
        <v>45111</v>
      </c>
      <c r="B1271" s="47">
        <v>15574</v>
      </c>
      <c r="C1271" s="44" t="s">
        <v>755</v>
      </c>
      <c r="D1271" s="45">
        <v>-9.6199999999999992</v>
      </c>
      <c r="E1271" s="48" t="s">
        <v>299</v>
      </c>
      <c r="F1271" s="48" t="s">
        <v>90</v>
      </c>
      <c r="G1271" s="48" t="s">
        <v>305</v>
      </c>
      <c r="I1271" s="44" t="s">
        <v>811</v>
      </c>
      <c r="J1271" s="44">
        <f>YEAR(A1271)</f>
        <v>2023</v>
      </c>
    </row>
    <row r="1272" spans="1:10" ht="12" customHeight="1" x14ac:dyDescent="0.25">
      <c r="A1272" s="43">
        <v>45111</v>
      </c>
      <c r="B1272" s="47">
        <v>15575</v>
      </c>
      <c r="C1272" s="44" t="s">
        <v>756</v>
      </c>
      <c r="D1272" s="45">
        <v>48</v>
      </c>
      <c r="E1272" s="48" t="s">
        <v>89</v>
      </c>
      <c r="F1272" s="48" t="s">
        <v>96</v>
      </c>
      <c r="G1272" s="48" t="s">
        <v>91</v>
      </c>
      <c r="J1272" s="44">
        <f>YEAR(A1272)</f>
        <v>2023</v>
      </c>
    </row>
    <row r="1273" spans="1:10" ht="12" customHeight="1" x14ac:dyDescent="0.25">
      <c r="A1273" s="43">
        <v>45111</v>
      </c>
      <c r="B1273" s="47">
        <v>15575</v>
      </c>
      <c r="C1273" s="44" t="s">
        <v>756</v>
      </c>
      <c r="D1273" s="45">
        <v>-48</v>
      </c>
      <c r="E1273" s="48" t="s">
        <v>299</v>
      </c>
      <c r="F1273" s="48" t="s">
        <v>90</v>
      </c>
      <c r="G1273" s="48" t="s">
        <v>305</v>
      </c>
      <c r="I1273" s="44" t="s">
        <v>811</v>
      </c>
      <c r="J1273" s="44">
        <f>YEAR(A1273)</f>
        <v>2023</v>
      </c>
    </row>
    <row r="1274" spans="1:10" ht="12" customHeight="1" x14ac:dyDescent="0.25">
      <c r="A1274" s="43">
        <v>45111</v>
      </c>
      <c r="B1274" s="47">
        <v>15576</v>
      </c>
      <c r="C1274" s="44" t="s">
        <v>505</v>
      </c>
      <c r="D1274" s="45">
        <v>192.93</v>
      </c>
      <c r="E1274" s="48" t="s">
        <v>89</v>
      </c>
      <c r="F1274" s="48" t="s">
        <v>90</v>
      </c>
      <c r="G1274" s="48" t="s">
        <v>91</v>
      </c>
      <c r="J1274" s="44">
        <f>YEAR(A1274)</f>
        <v>2023</v>
      </c>
    </row>
    <row r="1275" spans="1:10" ht="12" customHeight="1" x14ac:dyDescent="0.25">
      <c r="A1275" s="43">
        <v>45111</v>
      </c>
      <c r="B1275" s="47">
        <v>15576</v>
      </c>
      <c r="C1275" s="44" t="s">
        <v>505</v>
      </c>
      <c r="D1275" s="45">
        <v>-216.34</v>
      </c>
      <c r="E1275" s="48" t="s">
        <v>299</v>
      </c>
      <c r="F1275" s="48" t="s">
        <v>90</v>
      </c>
      <c r="G1275" s="48" t="s">
        <v>305</v>
      </c>
      <c r="I1275" s="44" t="s">
        <v>811</v>
      </c>
      <c r="J1275" s="44">
        <f>YEAR(A1275)</f>
        <v>2023</v>
      </c>
    </row>
    <row r="1276" spans="1:10" ht="12" customHeight="1" x14ac:dyDescent="0.25">
      <c r="A1276" s="43">
        <v>45111</v>
      </c>
      <c r="B1276" s="47">
        <v>15576</v>
      </c>
      <c r="C1276" s="44" t="s">
        <v>505</v>
      </c>
      <c r="D1276" s="45">
        <v>23.41</v>
      </c>
      <c r="E1276" s="48" t="s">
        <v>197</v>
      </c>
      <c r="F1276" s="48" t="s">
        <v>96</v>
      </c>
      <c r="G1276" s="48" t="s">
        <v>93</v>
      </c>
      <c r="J1276" s="44">
        <f>YEAR(A1276)</f>
        <v>2023</v>
      </c>
    </row>
    <row r="1277" spans="1:10" ht="12" customHeight="1" x14ac:dyDescent="0.25">
      <c r="A1277" s="151">
        <v>45111</v>
      </c>
      <c r="B1277" s="47">
        <v>15577</v>
      </c>
      <c r="C1277" s="44" t="s">
        <v>580</v>
      </c>
      <c r="D1277" s="45">
        <v>2</v>
      </c>
      <c r="E1277" s="48" t="s">
        <v>89</v>
      </c>
      <c r="F1277" s="48" t="s">
        <v>90</v>
      </c>
      <c r="G1277" s="48" t="s">
        <v>91</v>
      </c>
      <c r="J1277" s="44">
        <f>YEAR(A1277)</f>
        <v>2023</v>
      </c>
    </row>
    <row r="1278" spans="1:10" ht="12" customHeight="1" x14ac:dyDescent="0.25">
      <c r="A1278" s="43">
        <v>45111</v>
      </c>
      <c r="B1278" s="47">
        <v>15577</v>
      </c>
      <c r="C1278" s="44" t="s">
        <v>441</v>
      </c>
      <c r="D1278" s="45">
        <v>-22</v>
      </c>
      <c r="E1278" s="48" t="s">
        <v>299</v>
      </c>
      <c r="F1278" s="48" t="s">
        <v>101</v>
      </c>
      <c r="G1278" s="48" t="s">
        <v>91</v>
      </c>
      <c r="J1278" s="44">
        <f>YEAR(A1278)</f>
        <v>2023</v>
      </c>
    </row>
    <row r="1279" spans="1:10" ht="12" customHeight="1" x14ac:dyDescent="0.25">
      <c r="A1279" s="43">
        <v>45112</v>
      </c>
      <c r="B1279" s="47">
        <v>15577</v>
      </c>
      <c r="C1279" s="44" t="s">
        <v>441</v>
      </c>
      <c r="D1279" s="45">
        <v>20</v>
      </c>
      <c r="E1279" s="48" t="s">
        <v>180</v>
      </c>
      <c r="F1279" s="48" t="s">
        <v>128</v>
      </c>
      <c r="G1279" s="48" t="s">
        <v>94</v>
      </c>
      <c r="J1279" s="44">
        <f>YEAR(A1279)</f>
        <v>2023</v>
      </c>
    </row>
    <row r="1280" spans="1:10" ht="12" customHeight="1" x14ac:dyDescent="0.25">
      <c r="A1280" s="43">
        <v>45113</v>
      </c>
      <c r="B1280" s="47">
        <v>15578</v>
      </c>
      <c r="C1280" s="44" t="s">
        <v>484</v>
      </c>
      <c r="D1280" s="45">
        <v>-59.47</v>
      </c>
      <c r="E1280" s="48" t="s">
        <v>299</v>
      </c>
      <c r="F1280" s="48" t="s">
        <v>90</v>
      </c>
      <c r="G1280" s="48" t="s">
        <v>91</v>
      </c>
      <c r="H1280" s="44">
        <v>4011</v>
      </c>
      <c r="I1280" s="44" t="s">
        <v>812</v>
      </c>
      <c r="J1280" s="44">
        <f>YEAR(A1280)</f>
        <v>2023</v>
      </c>
    </row>
    <row r="1281" spans="1:10" ht="12" customHeight="1" x14ac:dyDescent="0.25">
      <c r="A1281" s="43">
        <v>45113</v>
      </c>
      <c r="B1281" s="47">
        <v>15578</v>
      </c>
      <c r="C1281" s="44" t="s">
        <v>484</v>
      </c>
      <c r="D1281" s="45">
        <v>59.47</v>
      </c>
      <c r="E1281" s="48" t="s">
        <v>89</v>
      </c>
      <c r="F1281" s="48" t="s">
        <v>90</v>
      </c>
      <c r="G1281" s="48" t="s">
        <v>91</v>
      </c>
      <c r="J1281" s="44">
        <f>YEAR(A1281)</f>
        <v>2023</v>
      </c>
    </row>
    <row r="1282" spans="1:10" ht="12" customHeight="1" x14ac:dyDescent="0.25">
      <c r="A1282" s="43">
        <v>45113</v>
      </c>
      <c r="B1282" s="47">
        <v>15579</v>
      </c>
      <c r="C1282" s="44" t="s">
        <v>458</v>
      </c>
      <c r="D1282" s="45">
        <v>113.1</v>
      </c>
      <c r="E1282" s="48" t="s">
        <v>89</v>
      </c>
      <c r="F1282" s="48" t="s">
        <v>90</v>
      </c>
      <c r="G1282" s="48" t="s">
        <v>91</v>
      </c>
      <c r="J1282" s="44">
        <f>YEAR(A1282)</f>
        <v>2023</v>
      </c>
    </row>
    <row r="1283" spans="1:10" ht="12" customHeight="1" x14ac:dyDescent="0.25">
      <c r="A1283" s="43">
        <v>45113</v>
      </c>
      <c r="B1283" s="47">
        <v>15579</v>
      </c>
      <c r="C1283" s="44" t="s">
        <v>458</v>
      </c>
      <c r="D1283" s="45">
        <v>-113.1</v>
      </c>
      <c r="E1283" s="48" t="s">
        <v>299</v>
      </c>
      <c r="F1283" s="48" t="s">
        <v>90</v>
      </c>
      <c r="G1283" s="48" t="s">
        <v>305</v>
      </c>
      <c r="I1283" s="44" t="s">
        <v>811</v>
      </c>
      <c r="J1283" s="44">
        <f>YEAR(A1283)</f>
        <v>2023</v>
      </c>
    </row>
    <row r="1284" spans="1:10" ht="12" customHeight="1" x14ac:dyDescent="0.25">
      <c r="A1284" s="43">
        <v>45113</v>
      </c>
      <c r="B1284" s="47">
        <v>15580</v>
      </c>
      <c r="C1284" s="44" t="s">
        <v>454</v>
      </c>
      <c r="D1284" s="45">
        <v>5</v>
      </c>
      <c r="E1284" s="48" t="s">
        <v>89</v>
      </c>
      <c r="F1284" s="48" t="s">
        <v>90</v>
      </c>
      <c r="G1284" s="48" t="s">
        <v>91</v>
      </c>
      <c r="J1284" s="44">
        <f>YEAR(A1284)</f>
        <v>2023</v>
      </c>
    </row>
    <row r="1285" spans="1:10" ht="12" customHeight="1" x14ac:dyDescent="0.25">
      <c r="A1285" s="43">
        <v>45113</v>
      </c>
      <c r="B1285" s="47">
        <v>15580</v>
      </c>
      <c r="C1285" s="44" t="s">
        <v>454</v>
      </c>
      <c r="D1285" s="45">
        <v>-5</v>
      </c>
      <c r="E1285" s="48" t="s">
        <v>299</v>
      </c>
      <c r="F1285" s="48" t="s">
        <v>90</v>
      </c>
      <c r="G1285" s="48" t="s">
        <v>305</v>
      </c>
      <c r="I1285" s="44" t="s">
        <v>811</v>
      </c>
      <c r="J1285" s="44">
        <f>YEAR(A1285)</f>
        <v>2023</v>
      </c>
    </row>
    <row r="1286" spans="1:10" ht="12" customHeight="1" x14ac:dyDescent="0.25">
      <c r="A1286" s="43">
        <v>45113</v>
      </c>
      <c r="B1286" s="47">
        <v>15581</v>
      </c>
      <c r="C1286" s="44" t="s">
        <v>455</v>
      </c>
      <c r="D1286" s="45">
        <v>62.91</v>
      </c>
      <c r="E1286" s="48" t="s">
        <v>180</v>
      </c>
      <c r="F1286" s="48" t="s">
        <v>96</v>
      </c>
      <c r="G1286" s="48" t="s">
        <v>186</v>
      </c>
      <c r="J1286" s="44">
        <f>YEAR(A1286)</f>
        <v>2023</v>
      </c>
    </row>
    <row r="1287" spans="1:10" ht="12" customHeight="1" x14ac:dyDescent="0.25">
      <c r="A1287" s="43">
        <v>45113</v>
      </c>
      <c r="B1287" s="47">
        <v>15581</v>
      </c>
      <c r="C1287" s="44" t="s">
        <v>455</v>
      </c>
      <c r="D1287" s="45">
        <v>-62.91</v>
      </c>
      <c r="E1287" s="48" t="s">
        <v>299</v>
      </c>
      <c r="F1287" s="48" t="s">
        <v>90</v>
      </c>
      <c r="G1287" s="48" t="s">
        <v>305</v>
      </c>
      <c r="I1287" s="44" t="s">
        <v>811</v>
      </c>
      <c r="J1287" s="44">
        <f>YEAR(A1287)</f>
        <v>2023</v>
      </c>
    </row>
    <row r="1288" spans="1:10" ht="12" customHeight="1" x14ac:dyDescent="0.25">
      <c r="A1288" s="43">
        <v>45113</v>
      </c>
      <c r="B1288" s="47">
        <v>15582</v>
      </c>
      <c r="C1288" s="44" t="s">
        <v>455</v>
      </c>
      <c r="D1288" s="45">
        <v>65.83</v>
      </c>
      <c r="E1288" s="48" t="s">
        <v>180</v>
      </c>
      <c r="F1288" s="48" t="s">
        <v>96</v>
      </c>
      <c r="G1288" s="48" t="s">
        <v>186</v>
      </c>
      <c r="J1288" s="44">
        <f>YEAR(A1288)</f>
        <v>2023</v>
      </c>
    </row>
    <row r="1289" spans="1:10" ht="12" customHeight="1" x14ac:dyDescent="0.25">
      <c r="A1289" s="43">
        <v>45113</v>
      </c>
      <c r="B1289" s="47">
        <v>15582</v>
      </c>
      <c r="C1289" s="44" t="s">
        <v>455</v>
      </c>
      <c r="D1289" s="45">
        <v>-92.75</v>
      </c>
      <c r="E1289" s="48" t="s">
        <v>299</v>
      </c>
      <c r="F1289" s="48" t="s">
        <v>90</v>
      </c>
      <c r="G1289" s="48" t="s">
        <v>305</v>
      </c>
      <c r="I1289" s="44" t="s">
        <v>811</v>
      </c>
      <c r="J1289" s="44">
        <f>YEAR(A1289)</f>
        <v>2023</v>
      </c>
    </row>
    <row r="1290" spans="1:10" ht="12" customHeight="1" x14ac:dyDescent="0.25">
      <c r="A1290" s="43">
        <v>45113</v>
      </c>
      <c r="B1290" s="47">
        <v>15582</v>
      </c>
      <c r="C1290" s="44" t="s">
        <v>455</v>
      </c>
      <c r="D1290" s="45">
        <f>4.26+7.77+1.48+1.74+2.63+4.46</f>
        <v>22.34</v>
      </c>
      <c r="E1290" s="48" t="s">
        <v>157</v>
      </c>
      <c r="F1290" s="48" t="s">
        <v>96</v>
      </c>
      <c r="G1290" s="48" t="s">
        <v>91</v>
      </c>
      <c r="J1290" s="44">
        <f>YEAR(A1290)</f>
        <v>2023</v>
      </c>
    </row>
    <row r="1291" spans="1:10" ht="12" customHeight="1" x14ac:dyDescent="0.25">
      <c r="A1291" s="43">
        <v>45113</v>
      </c>
      <c r="B1291" s="47">
        <v>15582</v>
      </c>
      <c r="C1291" s="44" t="s">
        <v>455</v>
      </c>
      <c r="D1291" s="45">
        <v>4.58</v>
      </c>
      <c r="E1291" s="48" t="s">
        <v>197</v>
      </c>
      <c r="F1291" s="48" t="s">
        <v>96</v>
      </c>
      <c r="G1291" s="48" t="s">
        <v>91</v>
      </c>
      <c r="J1291" s="44">
        <f>YEAR(A1291)</f>
        <v>2023</v>
      </c>
    </row>
    <row r="1292" spans="1:10" ht="12" customHeight="1" x14ac:dyDescent="0.25">
      <c r="A1292" s="43">
        <v>45113</v>
      </c>
      <c r="B1292" s="47">
        <v>15583</v>
      </c>
      <c r="C1292" s="44" t="s">
        <v>446</v>
      </c>
      <c r="D1292" s="45">
        <v>97.57</v>
      </c>
      <c r="E1292" s="48" t="s">
        <v>89</v>
      </c>
      <c r="F1292" s="48" t="s">
        <v>90</v>
      </c>
      <c r="G1292" s="48" t="s">
        <v>91</v>
      </c>
      <c r="J1292" s="44">
        <f>YEAR(A1292)</f>
        <v>2023</v>
      </c>
    </row>
    <row r="1293" spans="1:10" ht="12" customHeight="1" x14ac:dyDescent="0.25">
      <c r="A1293" s="43">
        <v>45113</v>
      </c>
      <c r="B1293" s="47">
        <v>15583</v>
      </c>
      <c r="C1293" s="44" t="s">
        <v>446</v>
      </c>
      <c r="D1293" s="45">
        <v>-97.57</v>
      </c>
      <c r="E1293" s="48" t="s">
        <v>299</v>
      </c>
      <c r="F1293" s="48" t="s">
        <v>90</v>
      </c>
      <c r="G1293" s="48" t="s">
        <v>305</v>
      </c>
      <c r="I1293" s="44" t="s">
        <v>811</v>
      </c>
      <c r="J1293" s="44">
        <f>YEAR(A1293)</f>
        <v>2023</v>
      </c>
    </row>
    <row r="1294" spans="1:10" ht="12" customHeight="1" x14ac:dyDescent="0.25">
      <c r="A1294" s="43">
        <v>45074</v>
      </c>
      <c r="B1294" s="47">
        <v>15584</v>
      </c>
      <c r="C1294" s="44" t="s">
        <v>486</v>
      </c>
      <c r="D1294" s="45">
        <v>57.87</v>
      </c>
      <c r="E1294" s="48" t="s">
        <v>180</v>
      </c>
      <c r="F1294" s="48" t="s">
        <v>96</v>
      </c>
      <c r="G1294" s="48" t="s">
        <v>186</v>
      </c>
      <c r="J1294" s="44">
        <f>YEAR(A1294)</f>
        <v>2023</v>
      </c>
    </row>
    <row r="1295" spans="1:10" ht="12" customHeight="1" x14ac:dyDescent="0.25">
      <c r="A1295" s="43">
        <v>45074</v>
      </c>
      <c r="B1295" s="47">
        <v>15584</v>
      </c>
      <c r="C1295" s="44" t="s">
        <v>757</v>
      </c>
      <c r="D1295" s="45">
        <v>27.2</v>
      </c>
      <c r="E1295" s="48" t="s">
        <v>145</v>
      </c>
      <c r="F1295" s="48" t="s">
        <v>128</v>
      </c>
      <c r="G1295" s="48" t="s">
        <v>115</v>
      </c>
      <c r="J1295" s="44">
        <f>YEAR(A1295)</f>
        <v>2023</v>
      </c>
    </row>
    <row r="1296" spans="1:10" ht="12" customHeight="1" x14ac:dyDescent="0.25">
      <c r="A1296" s="43">
        <v>45075</v>
      </c>
      <c r="B1296" s="47">
        <v>15584</v>
      </c>
      <c r="C1296" s="44" t="s">
        <v>469</v>
      </c>
      <c r="D1296" s="45">
        <v>4.1500000000000004</v>
      </c>
      <c r="E1296" s="48" t="s">
        <v>89</v>
      </c>
      <c r="F1296" s="48" t="s">
        <v>90</v>
      </c>
      <c r="G1296" s="48" t="s">
        <v>91</v>
      </c>
      <c r="J1296" s="44">
        <f>YEAR(A1296)</f>
        <v>2023</v>
      </c>
    </row>
    <row r="1297" spans="1:10" ht="12" customHeight="1" x14ac:dyDescent="0.25">
      <c r="A1297" s="43">
        <v>45075</v>
      </c>
      <c r="B1297" s="47">
        <v>15584</v>
      </c>
      <c r="C1297" s="44" t="s">
        <v>758</v>
      </c>
      <c r="D1297" s="45">
        <v>3.9</v>
      </c>
      <c r="E1297" s="48" t="s">
        <v>145</v>
      </c>
      <c r="F1297" s="48" t="s">
        <v>128</v>
      </c>
      <c r="G1297" s="48" t="s">
        <v>115</v>
      </c>
      <c r="J1297" s="44">
        <f>YEAR(A1297)</f>
        <v>2023</v>
      </c>
    </row>
    <row r="1298" spans="1:10" ht="12" customHeight="1" x14ac:dyDescent="0.25">
      <c r="A1298" s="43">
        <v>45079</v>
      </c>
      <c r="B1298" s="47">
        <v>15584</v>
      </c>
      <c r="C1298" s="44" t="s">
        <v>469</v>
      </c>
      <c r="D1298" s="45">
        <v>3.6</v>
      </c>
      <c r="E1298" s="48" t="s">
        <v>89</v>
      </c>
      <c r="F1298" s="48" t="s">
        <v>90</v>
      </c>
      <c r="G1298" s="48" t="s">
        <v>91</v>
      </c>
      <c r="J1298" s="44">
        <f>YEAR(A1298)</f>
        <v>2023</v>
      </c>
    </row>
    <row r="1299" spans="1:10" ht="12" customHeight="1" x14ac:dyDescent="0.25">
      <c r="A1299" s="43">
        <v>45080</v>
      </c>
      <c r="B1299" s="47">
        <v>15584</v>
      </c>
      <c r="C1299" s="44" t="s">
        <v>469</v>
      </c>
      <c r="D1299" s="45">
        <v>10.3</v>
      </c>
      <c r="E1299" s="48" t="s">
        <v>89</v>
      </c>
      <c r="F1299" s="48" t="s">
        <v>90</v>
      </c>
      <c r="G1299" s="48" t="s">
        <v>91</v>
      </c>
      <c r="J1299" s="44">
        <f>YEAR(A1299)</f>
        <v>2023</v>
      </c>
    </row>
    <row r="1300" spans="1:10" ht="12" customHeight="1" x14ac:dyDescent="0.25">
      <c r="A1300" s="43">
        <v>45080</v>
      </c>
      <c r="B1300" s="47">
        <v>15584</v>
      </c>
      <c r="C1300" s="44" t="s">
        <v>497</v>
      </c>
      <c r="D1300" s="45">
        <v>18.399999999999999</v>
      </c>
      <c r="E1300" s="48" t="s">
        <v>89</v>
      </c>
      <c r="F1300" s="48" t="s">
        <v>90</v>
      </c>
      <c r="G1300" s="48" t="s">
        <v>91</v>
      </c>
      <c r="J1300" s="44">
        <f>YEAR(A1300)</f>
        <v>2023</v>
      </c>
    </row>
    <row r="1301" spans="1:10" ht="12" customHeight="1" x14ac:dyDescent="0.25">
      <c r="A1301" s="43">
        <v>45094</v>
      </c>
      <c r="B1301" s="47">
        <v>15584</v>
      </c>
      <c r="C1301" s="44" t="s">
        <v>451</v>
      </c>
      <c r="D1301" s="45">
        <v>2.2999999999999998</v>
      </c>
      <c r="E1301" s="48" t="s">
        <v>89</v>
      </c>
      <c r="F1301" s="48" t="s">
        <v>90</v>
      </c>
      <c r="G1301" s="48" t="s">
        <v>91</v>
      </c>
      <c r="J1301" s="44">
        <f>YEAR(A1301)</f>
        <v>2023</v>
      </c>
    </row>
    <row r="1302" spans="1:10" ht="12" customHeight="1" x14ac:dyDescent="0.25">
      <c r="A1302" s="43">
        <v>45100</v>
      </c>
      <c r="B1302" s="47">
        <v>15584</v>
      </c>
      <c r="C1302" s="44" t="s">
        <v>469</v>
      </c>
      <c r="D1302" s="45">
        <v>4.5999999999999996</v>
      </c>
      <c r="E1302" s="48" t="s">
        <v>89</v>
      </c>
      <c r="F1302" s="48" t="s">
        <v>90</v>
      </c>
      <c r="G1302" s="48" t="s">
        <v>91</v>
      </c>
      <c r="J1302" s="44">
        <f>YEAR(A1302)</f>
        <v>2023</v>
      </c>
    </row>
    <row r="1303" spans="1:10" ht="12" customHeight="1" x14ac:dyDescent="0.25">
      <c r="A1303" s="43">
        <v>45100</v>
      </c>
      <c r="B1303" s="47">
        <v>15584</v>
      </c>
      <c r="C1303" s="44" t="s">
        <v>759</v>
      </c>
      <c r="D1303" s="45">
        <v>6.14</v>
      </c>
      <c r="E1303" s="48" t="s">
        <v>89</v>
      </c>
      <c r="F1303" s="48" t="s">
        <v>90</v>
      </c>
      <c r="G1303" s="48" t="s">
        <v>91</v>
      </c>
      <c r="J1303" s="44">
        <f>YEAR(A1303)</f>
        <v>2023</v>
      </c>
    </row>
    <row r="1304" spans="1:10" ht="12" customHeight="1" x14ac:dyDescent="0.25">
      <c r="A1304" s="43">
        <v>45101</v>
      </c>
      <c r="B1304" s="47">
        <v>15584</v>
      </c>
      <c r="C1304" s="44" t="s">
        <v>469</v>
      </c>
      <c r="D1304" s="45">
        <v>2.2999999999999998</v>
      </c>
      <c r="E1304" s="48" t="s">
        <v>89</v>
      </c>
      <c r="F1304" s="48" t="s">
        <v>90</v>
      </c>
      <c r="G1304" s="48" t="s">
        <v>91</v>
      </c>
      <c r="J1304" s="44">
        <f>YEAR(A1304)</f>
        <v>2023</v>
      </c>
    </row>
    <row r="1305" spans="1:10" ht="12" customHeight="1" x14ac:dyDescent="0.25">
      <c r="A1305" s="43">
        <v>45108</v>
      </c>
      <c r="B1305" s="47">
        <v>15584</v>
      </c>
      <c r="C1305" s="44" t="s">
        <v>591</v>
      </c>
      <c r="D1305" s="45">
        <v>16.39</v>
      </c>
      <c r="E1305" s="48" t="s">
        <v>89</v>
      </c>
      <c r="F1305" s="48" t="s">
        <v>90</v>
      </c>
      <c r="G1305" s="48" t="s">
        <v>91</v>
      </c>
      <c r="J1305" s="44">
        <f>YEAR(A1305)</f>
        <v>2023</v>
      </c>
    </row>
    <row r="1306" spans="1:10" ht="12" customHeight="1" x14ac:dyDescent="0.25">
      <c r="A1306" s="43">
        <v>45115</v>
      </c>
      <c r="B1306" s="47">
        <v>15584</v>
      </c>
      <c r="C1306" s="44" t="s">
        <v>469</v>
      </c>
      <c r="D1306" s="45">
        <v>7.9</v>
      </c>
      <c r="E1306" s="48" t="s">
        <v>89</v>
      </c>
      <c r="F1306" s="48" t="s">
        <v>90</v>
      </c>
      <c r="G1306" s="48" t="s">
        <v>91</v>
      </c>
      <c r="J1306" s="44">
        <f>YEAR(A1306)</f>
        <v>2023</v>
      </c>
    </row>
    <row r="1307" spans="1:10" ht="12" customHeight="1" x14ac:dyDescent="0.25">
      <c r="A1307" s="43">
        <v>45115</v>
      </c>
      <c r="B1307" s="47">
        <v>15584</v>
      </c>
      <c r="C1307" s="44" t="s">
        <v>760</v>
      </c>
      <c r="D1307" s="45">
        <v>260.5</v>
      </c>
      <c r="E1307" s="48" t="s">
        <v>89</v>
      </c>
      <c r="F1307" s="48" t="s">
        <v>96</v>
      </c>
      <c r="G1307" s="48" t="s">
        <v>91</v>
      </c>
      <c r="J1307" s="44">
        <f>YEAR(A1307)</f>
        <v>2023</v>
      </c>
    </row>
    <row r="1308" spans="1:10" ht="12" customHeight="1" x14ac:dyDescent="0.25">
      <c r="A1308" s="43">
        <v>45116</v>
      </c>
      <c r="B1308" s="47">
        <v>15584</v>
      </c>
      <c r="C1308" s="44" t="s">
        <v>450</v>
      </c>
      <c r="D1308" s="45">
        <v>-425.55</v>
      </c>
      <c r="E1308" s="48" t="s">
        <v>299</v>
      </c>
      <c r="F1308" s="48" t="s">
        <v>321</v>
      </c>
      <c r="G1308" s="48" t="s">
        <v>107</v>
      </c>
      <c r="J1308" s="44">
        <f>YEAR(A1308)</f>
        <v>2023</v>
      </c>
    </row>
    <row r="1309" spans="1:10" ht="12" customHeight="1" x14ac:dyDescent="0.25">
      <c r="A1309" s="43">
        <v>45116</v>
      </c>
      <c r="B1309" s="47">
        <v>15585</v>
      </c>
      <c r="C1309" s="44" t="s">
        <v>716</v>
      </c>
      <c r="D1309" s="45">
        <v>-425.55</v>
      </c>
      <c r="E1309" s="48" t="s">
        <v>299</v>
      </c>
      <c r="F1309" s="48" t="s">
        <v>90</v>
      </c>
      <c r="G1309" s="48" t="s">
        <v>91</v>
      </c>
      <c r="H1309" s="44" t="s">
        <v>402</v>
      </c>
      <c r="I1309" s="44" t="s">
        <v>785</v>
      </c>
      <c r="J1309" s="44">
        <f>YEAR(A1309)</f>
        <v>2023</v>
      </c>
    </row>
    <row r="1310" spans="1:10" ht="12" customHeight="1" x14ac:dyDescent="0.25">
      <c r="A1310" s="43">
        <v>45116</v>
      </c>
      <c r="B1310" s="47">
        <v>15585</v>
      </c>
      <c r="C1310" s="44" t="s">
        <v>716</v>
      </c>
      <c r="D1310" s="45">
        <v>425.55</v>
      </c>
      <c r="E1310" s="48" t="s">
        <v>299</v>
      </c>
      <c r="F1310" s="48" t="s">
        <v>321</v>
      </c>
      <c r="G1310" s="48" t="s">
        <v>107</v>
      </c>
      <c r="J1310" s="44">
        <f>YEAR(A1310)</f>
        <v>2023</v>
      </c>
    </row>
    <row r="1311" spans="1:10" ht="12" customHeight="1" x14ac:dyDescent="0.25">
      <c r="A1311" s="43">
        <v>45115</v>
      </c>
      <c r="B1311" s="47">
        <v>15586</v>
      </c>
      <c r="C1311" s="44" t="s">
        <v>484</v>
      </c>
      <c r="D1311" s="45">
        <v>-26.34</v>
      </c>
      <c r="E1311" s="48" t="s">
        <v>299</v>
      </c>
      <c r="F1311" s="48" t="s">
        <v>90</v>
      </c>
      <c r="G1311" s="48" t="s">
        <v>91</v>
      </c>
      <c r="H1311" s="44">
        <v>4012</v>
      </c>
      <c r="I1311" s="44" t="s">
        <v>812</v>
      </c>
      <c r="J1311" s="44">
        <f>YEAR(A1311)</f>
        <v>2023</v>
      </c>
    </row>
    <row r="1312" spans="1:10" ht="12" customHeight="1" x14ac:dyDescent="0.25">
      <c r="A1312" s="43">
        <v>45115</v>
      </c>
      <c r="B1312" s="47">
        <v>15586</v>
      </c>
      <c r="C1312" s="44" t="s">
        <v>484</v>
      </c>
      <c r="D1312" s="45">
        <v>26.34</v>
      </c>
      <c r="E1312" s="48" t="s">
        <v>89</v>
      </c>
      <c r="F1312" s="48" t="s">
        <v>90</v>
      </c>
      <c r="G1312" s="48" t="s">
        <v>91</v>
      </c>
      <c r="J1312" s="44">
        <f>YEAR(A1312)</f>
        <v>2023</v>
      </c>
    </row>
    <row r="1313" spans="1:10" ht="12" customHeight="1" x14ac:dyDescent="0.25">
      <c r="A1313" s="43">
        <v>45114</v>
      </c>
      <c r="B1313" s="47">
        <v>15587</v>
      </c>
      <c r="C1313" s="44" t="s">
        <v>761</v>
      </c>
      <c r="D1313" s="45">
        <v>8.5</v>
      </c>
      <c r="E1313" s="48" t="s">
        <v>180</v>
      </c>
      <c r="F1313" s="48" t="s">
        <v>90</v>
      </c>
      <c r="G1313" s="48" t="s">
        <v>91</v>
      </c>
      <c r="J1313" s="44">
        <f>YEAR(A1313)</f>
        <v>2023</v>
      </c>
    </row>
    <row r="1314" spans="1:10" ht="12" customHeight="1" x14ac:dyDescent="0.25">
      <c r="A1314" s="43">
        <v>45114</v>
      </c>
      <c r="B1314" s="47">
        <v>15587</v>
      </c>
      <c r="C1314" s="44" t="s">
        <v>761</v>
      </c>
      <c r="D1314" s="45">
        <v>-8.5</v>
      </c>
      <c r="E1314" s="48" t="s">
        <v>299</v>
      </c>
      <c r="F1314" s="48" t="s">
        <v>90</v>
      </c>
      <c r="G1314" s="48" t="s">
        <v>305</v>
      </c>
      <c r="I1314" s="44" t="s">
        <v>811</v>
      </c>
      <c r="J1314" s="44">
        <f>YEAR(A1314)</f>
        <v>2023</v>
      </c>
    </row>
    <row r="1315" spans="1:10" ht="12" customHeight="1" x14ac:dyDescent="0.25">
      <c r="A1315" s="43">
        <v>45114</v>
      </c>
      <c r="B1315" s="47">
        <v>15588</v>
      </c>
      <c r="C1315" s="44" t="s">
        <v>567</v>
      </c>
      <c r="D1315" s="45">
        <v>2.2000000000000002</v>
      </c>
      <c r="E1315" s="48" t="s">
        <v>180</v>
      </c>
      <c r="F1315" s="48" t="s">
        <v>90</v>
      </c>
      <c r="G1315" s="48" t="s">
        <v>91</v>
      </c>
      <c r="J1315" s="44">
        <f>YEAR(A1315)</f>
        <v>2023</v>
      </c>
    </row>
    <row r="1316" spans="1:10" ht="12" customHeight="1" x14ac:dyDescent="0.25">
      <c r="A1316" s="43">
        <v>45114</v>
      </c>
      <c r="B1316" s="47">
        <v>15588</v>
      </c>
      <c r="C1316" s="44" t="s">
        <v>567</v>
      </c>
      <c r="D1316" s="45">
        <v>-2.2000000000000002</v>
      </c>
      <c r="E1316" s="48" t="s">
        <v>299</v>
      </c>
      <c r="F1316" s="48" t="s">
        <v>90</v>
      </c>
      <c r="G1316" s="48" t="s">
        <v>305</v>
      </c>
      <c r="I1316" s="44" t="s">
        <v>811</v>
      </c>
      <c r="J1316" s="44">
        <f>YEAR(A1316)</f>
        <v>2023</v>
      </c>
    </row>
    <row r="1317" spans="1:10" ht="12" customHeight="1" x14ac:dyDescent="0.25">
      <c r="A1317" s="43">
        <v>45114</v>
      </c>
      <c r="B1317" s="47">
        <v>15589</v>
      </c>
      <c r="C1317" s="44" t="s">
        <v>567</v>
      </c>
      <c r="D1317" s="45">
        <v>17.899999999999999</v>
      </c>
      <c r="E1317" s="48" t="s">
        <v>180</v>
      </c>
      <c r="F1317" s="48" t="s">
        <v>90</v>
      </c>
      <c r="G1317" s="48" t="s">
        <v>91</v>
      </c>
      <c r="J1317" s="44">
        <f>YEAR(A1317)</f>
        <v>2023</v>
      </c>
    </row>
    <row r="1318" spans="1:10" ht="12" customHeight="1" x14ac:dyDescent="0.25">
      <c r="A1318" s="43">
        <v>45114</v>
      </c>
      <c r="B1318" s="47">
        <v>15589</v>
      </c>
      <c r="C1318" s="44" t="s">
        <v>567</v>
      </c>
      <c r="D1318" s="45">
        <v>-17.899999999999999</v>
      </c>
      <c r="E1318" s="48" t="s">
        <v>299</v>
      </c>
      <c r="F1318" s="48" t="s">
        <v>90</v>
      </c>
      <c r="G1318" s="48" t="s">
        <v>305</v>
      </c>
      <c r="I1318" s="44" t="s">
        <v>811</v>
      </c>
      <c r="J1318" s="44">
        <f>YEAR(A1318)</f>
        <v>2023</v>
      </c>
    </row>
    <row r="1319" spans="1:10" ht="12" customHeight="1" x14ac:dyDescent="0.25">
      <c r="A1319" s="43">
        <v>45114</v>
      </c>
      <c r="B1319" s="47">
        <v>15590</v>
      </c>
      <c r="C1319" s="44" t="s">
        <v>460</v>
      </c>
      <c r="D1319" s="45">
        <v>29.5</v>
      </c>
      <c r="E1319" s="48" t="s">
        <v>89</v>
      </c>
      <c r="F1319" s="48" t="s">
        <v>90</v>
      </c>
      <c r="G1319" s="48" t="s">
        <v>91</v>
      </c>
      <c r="J1319" s="44">
        <f>YEAR(A1319)</f>
        <v>2023</v>
      </c>
    </row>
    <row r="1320" spans="1:10" ht="12" customHeight="1" x14ac:dyDescent="0.25">
      <c r="A1320" s="43">
        <v>45114</v>
      </c>
      <c r="B1320" s="47">
        <v>15590</v>
      </c>
      <c r="C1320" s="44" t="s">
        <v>460</v>
      </c>
      <c r="D1320" s="45">
        <v>-29.5</v>
      </c>
      <c r="E1320" s="48" t="s">
        <v>299</v>
      </c>
      <c r="F1320" s="48" t="s">
        <v>90</v>
      </c>
      <c r="G1320" s="48" t="s">
        <v>305</v>
      </c>
      <c r="I1320" s="44" t="s">
        <v>811</v>
      </c>
      <c r="J1320" s="44">
        <f>YEAR(A1320)</f>
        <v>2023</v>
      </c>
    </row>
    <row r="1321" spans="1:10" ht="12" customHeight="1" x14ac:dyDescent="0.25">
      <c r="A1321" s="43">
        <v>45115</v>
      </c>
      <c r="B1321" s="47">
        <v>15591</v>
      </c>
      <c r="C1321" s="44" t="s">
        <v>458</v>
      </c>
      <c r="D1321" s="45">
        <v>158.74</v>
      </c>
      <c r="E1321" s="48" t="s">
        <v>89</v>
      </c>
      <c r="F1321" s="48" t="s">
        <v>90</v>
      </c>
      <c r="G1321" s="48" t="s">
        <v>91</v>
      </c>
      <c r="J1321" s="44">
        <f>YEAR(A1321)</f>
        <v>2023</v>
      </c>
    </row>
    <row r="1322" spans="1:10" ht="12" customHeight="1" x14ac:dyDescent="0.25">
      <c r="A1322" s="43">
        <v>45115</v>
      </c>
      <c r="B1322" s="47">
        <v>15591</v>
      </c>
      <c r="C1322" s="44" t="s">
        <v>458</v>
      </c>
      <c r="D1322" s="45">
        <v>-158.74</v>
      </c>
      <c r="E1322" s="48" t="s">
        <v>299</v>
      </c>
      <c r="F1322" s="48" t="s">
        <v>90</v>
      </c>
      <c r="G1322" s="48" t="s">
        <v>305</v>
      </c>
      <c r="I1322" s="44" t="s">
        <v>811</v>
      </c>
      <c r="J1322" s="44">
        <f>YEAR(A1322)</f>
        <v>2023</v>
      </c>
    </row>
    <row r="1323" spans="1:10" ht="12" customHeight="1" x14ac:dyDescent="0.25">
      <c r="A1323" s="43">
        <v>45115</v>
      </c>
      <c r="B1323" s="47">
        <v>15592</v>
      </c>
      <c r="C1323" s="44" t="s">
        <v>591</v>
      </c>
      <c r="D1323" s="45">
        <v>26.34</v>
      </c>
      <c r="E1323" s="48" t="s">
        <v>89</v>
      </c>
      <c r="F1323" s="48" t="s">
        <v>90</v>
      </c>
      <c r="G1323" s="48" t="s">
        <v>91</v>
      </c>
      <c r="J1323" s="44">
        <f>YEAR(A1323)</f>
        <v>2023</v>
      </c>
    </row>
    <row r="1324" spans="1:10" ht="12" customHeight="1" x14ac:dyDescent="0.25">
      <c r="A1324" s="43">
        <v>45115</v>
      </c>
      <c r="B1324" s="47">
        <v>15592</v>
      </c>
      <c r="C1324" s="44" t="s">
        <v>441</v>
      </c>
      <c r="D1324" s="45">
        <v>-26.34</v>
      </c>
      <c r="E1324" s="48" t="s">
        <v>299</v>
      </c>
      <c r="F1324" s="48" t="s">
        <v>101</v>
      </c>
      <c r="G1324" s="48" t="s">
        <v>91</v>
      </c>
      <c r="J1324" s="44">
        <f>YEAR(A1324)</f>
        <v>2023</v>
      </c>
    </row>
    <row r="1325" spans="1:10" ht="12" customHeight="1" x14ac:dyDescent="0.25">
      <c r="A1325" s="43">
        <v>45115</v>
      </c>
      <c r="B1325" s="47">
        <v>15593</v>
      </c>
      <c r="C1325" s="44" t="s">
        <v>762</v>
      </c>
      <c r="D1325" s="45">
        <v>51.4</v>
      </c>
      <c r="E1325" s="48" t="s">
        <v>89</v>
      </c>
      <c r="F1325" s="48" t="s">
        <v>90</v>
      </c>
      <c r="G1325" s="48" t="s">
        <v>91</v>
      </c>
      <c r="J1325" s="44">
        <f>YEAR(A1325)</f>
        <v>2023</v>
      </c>
    </row>
    <row r="1326" spans="1:10" ht="12" customHeight="1" x14ac:dyDescent="0.25">
      <c r="A1326" s="43">
        <v>45115</v>
      </c>
      <c r="B1326" s="47">
        <v>15593</v>
      </c>
      <c r="C1326" s="44" t="s">
        <v>762</v>
      </c>
      <c r="D1326" s="45">
        <v>-51.4</v>
      </c>
      <c r="E1326" s="48" t="s">
        <v>299</v>
      </c>
      <c r="F1326" s="48" t="s">
        <v>90</v>
      </c>
      <c r="G1326" s="48" t="s">
        <v>305</v>
      </c>
      <c r="I1326" s="44" t="s">
        <v>811</v>
      </c>
      <c r="J1326" s="44">
        <f>YEAR(A1326)</f>
        <v>2023</v>
      </c>
    </row>
    <row r="1327" spans="1:10" ht="12" customHeight="1" x14ac:dyDescent="0.25">
      <c r="A1327" s="43">
        <v>45115</v>
      </c>
      <c r="B1327" s="47">
        <v>15594</v>
      </c>
      <c r="C1327" s="44" t="s">
        <v>318</v>
      </c>
      <c r="D1327" s="45">
        <v>40</v>
      </c>
      <c r="E1327" s="48" t="s">
        <v>145</v>
      </c>
      <c r="F1327" s="48" t="s">
        <v>116</v>
      </c>
      <c r="G1327" s="48" t="s">
        <v>91</v>
      </c>
      <c r="J1327" s="44">
        <f>YEAR(A1327)</f>
        <v>2023</v>
      </c>
    </row>
    <row r="1328" spans="1:10" ht="12" customHeight="1" x14ac:dyDescent="0.25">
      <c r="A1328" s="43">
        <v>45115</v>
      </c>
      <c r="B1328" s="47">
        <v>15594</v>
      </c>
      <c r="C1328" s="44" t="s">
        <v>318</v>
      </c>
      <c r="D1328" s="45">
        <v>-52</v>
      </c>
      <c r="E1328" s="48" t="s">
        <v>299</v>
      </c>
      <c r="F1328" s="48" t="s">
        <v>90</v>
      </c>
      <c r="G1328" s="48" t="s">
        <v>305</v>
      </c>
      <c r="I1328" s="44" t="s">
        <v>811</v>
      </c>
      <c r="J1328" s="44">
        <f>YEAR(A1328)</f>
        <v>2023</v>
      </c>
    </row>
    <row r="1329" spans="1:11" ht="12" customHeight="1" x14ac:dyDescent="0.25">
      <c r="A1329" s="43">
        <v>45115</v>
      </c>
      <c r="B1329" s="47">
        <v>15594</v>
      </c>
      <c r="C1329" s="44" t="s">
        <v>318</v>
      </c>
      <c r="D1329" s="45">
        <v>8</v>
      </c>
      <c r="E1329" s="48" t="s">
        <v>105</v>
      </c>
      <c r="F1329" s="48" t="s">
        <v>90</v>
      </c>
      <c r="G1329" s="48" t="s">
        <v>91</v>
      </c>
      <c r="J1329" s="44">
        <f>YEAR(A1329)</f>
        <v>2023</v>
      </c>
    </row>
    <row r="1330" spans="1:11" ht="12" customHeight="1" x14ac:dyDescent="0.25">
      <c r="A1330" s="43">
        <v>45115</v>
      </c>
      <c r="B1330" s="47">
        <v>15594</v>
      </c>
      <c r="C1330" s="44" t="s">
        <v>318</v>
      </c>
      <c r="D1330" s="45">
        <v>4</v>
      </c>
      <c r="E1330" s="48" t="s">
        <v>566</v>
      </c>
      <c r="F1330" s="48" t="s">
        <v>90</v>
      </c>
      <c r="G1330" s="48" t="s">
        <v>95</v>
      </c>
      <c r="J1330" s="44">
        <f>YEAR(A1330)</f>
        <v>2023</v>
      </c>
    </row>
    <row r="1331" spans="1:11" ht="12" customHeight="1" x14ac:dyDescent="0.25">
      <c r="A1331" s="43">
        <v>45115</v>
      </c>
      <c r="B1331" s="47">
        <v>15595</v>
      </c>
      <c r="C1331" s="44" t="s">
        <v>473</v>
      </c>
      <c r="D1331" s="45">
        <v>2.2000000000000002</v>
      </c>
      <c r="E1331" s="48" t="s">
        <v>180</v>
      </c>
      <c r="F1331" s="48" t="s">
        <v>90</v>
      </c>
      <c r="G1331" s="48" t="s">
        <v>91</v>
      </c>
      <c r="J1331" s="44">
        <f>YEAR(A1331)</f>
        <v>2023</v>
      </c>
    </row>
    <row r="1332" spans="1:11" ht="12" customHeight="1" x14ac:dyDescent="0.25">
      <c r="A1332" s="43">
        <v>45115</v>
      </c>
      <c r="B1332" s="47">
        <v>15595</v>
      </c>
      <c r="C1332" s="44" t="s">
        <v>473</v>
      </c>
      <c r="D1332" s="45">
        <v>-2.2000000000000002</v>
      </c>
      <c r="E1332" s="48" t="s">
        <v>299</v>
      </c>
      <c r="F1332" s="48" t="s">
        <v>90</v>
      </c>
      <c r="G1332" s="48" t="s">
        <v>305</v>
      </c>
      <c r="I1332" s="44" t="s">
        <v>811</v>
      </c>
      <c r="J1332" s="44">
        <f>YEAR(A1332)</f>
        <v>2023</v>
      </c>
    </row>
    <row r="1333" spans="1:11" ht="12" customHeight="1" x14ac:dyDescent="0.25">
      <c r="A1333" s="43">
        <v>45115</v>
      </c>
      <c r="B1333" s="47">
        <v>15596</v>
      </c>
      <c r="C1333" s="44" t="s">
        <v>763</v>
      </c>
      <c r="D1333" s="45">
        <v>10</v>
      </c>
      <c r="E1333" s="48" t="s">
        <v>105</v>
      </c>
      <c r="F1333" s="48" t="s">
        <v>90</v>
      </c>
      <c r="G1333" s="48" t="s">
        <v>95</v>
      </c>
      <c r="J1333" s="44">
        <f>YEAR(A1333)</f>
        <v>2023</v>
      </c>
    </row>
    <row r="1334" spans="1:11" ht="12" customHeight="1" x14ac:dyDescent="0.25">
      <c r="A1334" s="43">
        <v>45115</v>
      </c>
      <c r="B1334" s="47">
        <v>15596</v>
      </c>
      <c r="C1334" s="44" t="s">
        <v>763</v>
      </c>
      <c r="D1334" s="45">
        <v>-10</v>
      </c>
      <c r="E1334" s="48" t="s">
        <v>299</v>
      </c>
      <c r="F1334" s="48" t="s">
        <v>90</v>
      </c>
      <c r="G1334" s="48" t="s">
        <v>305</v>
      </c>
      <c r="I1334" s="44" t="s">
        <v>811</v>
      </c>
      <c r="J1334" s="44">
        <f>YEAR(A1334)</f>
        <v>2023</v>
      </c>
    </row>
    <row r="1335" spans="1:11" ht="12" customHeight="1" x14ac:dyDescent="0.25">
      <c r="A1335" s="43">
        <v>45115</v>
      </c>
      <c r="B1335" s="47">
        <v>15597</v>
      </c>
      <c r="C1335" s="44" t="s">
        <v>763</v>
      </c>
      <c r="D1335" s="45">
        <v>97.83</v>
      </c>
      <c r="E1335" s="48" t="s">
        <v>105</v>
      </c>
      <c r="F1335" s="48" t="s">
        <v>90</v>
      </c>
      <c r="G1335" s="48" t="s">
        <v>94</v>
      </c>
      <c r="J1335" s="44">
        <f>YEAR(A1335)</f>
        <v>2023</v>
      </c>
    </row>
    <row r="1336" spans="1:11" ht="12" customHeight="1" x14ac:dyDescent="0.25">
      <c r="A1336" s="43">
        <v>45115</v>
      </c>
      <c r="B1336" s="47">
        <v>15597</v>
      </c>
      <c r="C1336" s="44" t="s">
        <v>763</v>
      </c>
      <c r="D1336" s="45">
        <v>-97.83</v>
      </c>
      <c r="E1336" s="48" t="s">
        <v>299</v>
      </c>
      <c r="F1336" s="48" t="s">
        <v>90</v>
      </c>
      <c r="G1336" s="48" t="s">
        <v>305</v>
      </c>
      <c r="I1336" s="44" t="s">
        <v>811</v>
      </c>
      <c r="J1336" s="44">
        <f>YEAR(A1336)</f>
        <v>2023</v>
      </c>
    </row>
    <row r="1337" spans="1:11" ht="12" customHeight="1" x14ac:dyDescent="0.25">
      <c r="A1337" s="43">
        <v>45115</v>
      </c>
      <c r="B1337" s="47">
        <v>15598</v>
      </c>
      <c r="C1337" s="44" t="s">
        <v>483</v>
      </c>
      <c r="D1337" s="45">
        <v>29.75</v>
      </c>
      <c r="E1337" s="48" t="s">
        <v>566</v>
      </c>
      <c r="F1337" s="48" t="s">
        <v>90</v>
      </c>
      <c r="G1337" s="48" t="s">
        <v>91</v>
      </c>
      <c r="J1337" s="44">
        <f>YEAR(A1337)</f>
        <v>2023</v>
      </c>
    </row>
    <row r="1338" spans="1:11" ht="12" customHeight="1" x14ac:dyDescent="0.25">
      <c r="A1338" s="43">
        <v>45115</v>
      </c>
      <c r="B1338" s="47">
        <v>15598</v>
      </c>
      <c r="C1338" s="44" t="s">
        <v>483</v>
      </c>
      <c r="D1338" s="45">
        <v>-29.75</v>
      </c>
      <c r="E1338" s="48" t="s">
        <v>299</v>
      </c>
      <c r="F1338" s="48" t="s">
        <v>90</v>
      </c>
      <c r="G1338" s="48" t="s">
        <v>305</v>
      </c>
      <c r="I1338" s="44" t="s">
        <v>811</v>
      </c>
      <c r="J1338" s="44">
        <f>YEAR(A1338)</f>
        <v>2023</v>
      </c>
    </row>
    <row r="1339" spans="1:11" ht="12" customHeight="1" x14ac:dyDescent="0.25">
      <c r="A1339" s="43">
        <v>45117</v>
      </c>
      <c r="B1339" s="47">
        <v>15599</v>
      </c>
      <c r="C1339" s="44" t="s">
        <v>453</v>
      </c>
      <c r="D1339" s="45">
        <v>5.8</v>
      </c>
      <c r="E1339" s="48" t="s">
        <v>89</v>
      </c>
      <c r="F1339" s="48" t="s">
        <v>90</v>
      </c>
      <c r="G1339" s="48" t="s">
        <v>91</v>
      </c>
      <c r="J1339" s="44">
        <f>YEAR(A1339)</f>
        <v>2023</v>
      </c>
    </row>
    <row r="1340" spans="1:11" ht="12" customHeight="1" x14ac:dyDescent="0.25">
      <c r="A1340" s="43">
        <v>45117</v>
      </c>
      <c r="B1340" s="47">
        <v>15599</v>
      </c>
      <c r="C1340" s="44" t="s">
        <v>453</v>
      </c>
      <c r="D1340" s="45">
        <v>-5.8</v>
      </c>
      <c r="E1340" s="48" t="s">
        <v>299</v>
      </c>
      <c r="F1340" s="48" t="s">
        <v>90</v>
      </c>
      <c r="G1340" s="48" t="s">
        <v>305</v>
      </c>
      <c r="I1340" s="44" t="s">
        <v>811</v>
      </c>
      <c r="J1340" s="44">
        <f>YEAR(A1340)</f>
        <v>2023</v>
      </c>
    </row>
    <row r="1341" spans="1:11" ht="12" customHeight="1" x14ac:dyDescent="0.25">
      <c r="A1341" s="43">
        <v>45117</v>
      </c>
      <c r="B1341" s="47">
        <v>15600</v>
      </c>
      <c r="C1341" s="44" t="s">
        <v>764</v>
      </c>
      <c r="D1341" s="45">
        <v>82.6</v>
      </c>
      <c r="E1341" s="48" t="s">
        <v>145</v>
      </c>
      <c r="F1341" s="48" t="s">
        <v>135</v>
      </c>
      <c r="G1341" s="48" t="s">
        <v>91</v>
      </c>
      <c r="J1341" s="44">
        <f>YEAR(A1341)</f>
        <v>2023</v>
      </c>
      <c r="K1341" s="49" t="s">
        <v>765</v>
      </c>
    </row>
    <row r="1342" spans="1:11" ht="12" customHeight="1" x14ac:dyDescent="0.25">
      <c r="A1342" s="43">
        <v>45117</v>
      </c>
      <c r="B1342" s="47">
        <v>15600</v>
      </c>
      <c r="C1342" s="44" t="s">
        <v>764</v>
      </c>
      <c r="D1342" s="45">
        <v>-82.6</v>
      </c>
      <c r="E1342" s="48" t="s">
        <v>299</v>
      </c>
      <c r="F1342" s="48" t="s">
        <v>90</v>
      </c>
      <c r="G1342" s="48" t="s">
        <v>305</v>
      </c>
      <c r="I1342" s="44" t="s">
        <v>811</v>
      </c>
      <c r="J1342" s="44">
        <f>YEAR(A1342)</f>
        <v>2023</v>
      </c>
    </row>
    <row r="1343" spans="1:11" ht="12" customHeight="1" x14ac:dyDescent="0.25">
      <c r="A1343" s="43">
        <v>45117</v>
      </c>
      <c r="B1343" s="47">
        <v>15601</v>
      </c>
      <c r="C1343" s="44" t="s">
        <v>47</v>
      </c>
      <c r="D1343" s="45">
        <v>70.989999999999995</v>
      </c>
      <c r="E1343" s="48" t="s">
        <v>180</v>
      </c>
      <c r="F1343" s="48" t="s">
        <v>96</v>
      </c>
      <c r="G1343" s="48" t="s">
        <v>186</v>
      </c>
      <c r="J1343" s="44">
        <f>YEAR(A1343)</f>
        <v>2023</v>
      </c>
    </row>
    <row r="1344" spans="1:11" ht="12" customHeight="1" x14ac:dyDescent="0.25">
      <c r="A1344" s="43">
        <v>45117</v>
      </c>
      <c r="B1344" s="47">
        <v>15601</v>
      </c>
      <c r="C1344" s="44" t="s">
        <v>47</v>
      </c>
      <c r="D1344" s="45">
        <v>-70.989999999999995</v>
      </c>
      <c r="E1344" s="48" t="s">
        <v>299</v>
      </c>
      <c r="F1344" s="48" t="s">
        <v>90</v>
      </c>
      <c r="G1344" s="48" t="s">
        <v>305</v>
      </c>
      <c r="I1344" s="44" t="s">
        <v>811</v>
      </c>
      <c r="J1344" s="44">
        <f>YEAR(A1344)</f>
        <v>2023</v>
      </c>
    </row>
    <row r="1345" spans="1:11" ht="12" customHeight="1" x14ac:dyDescent="0.25">
      <c r="A1345" s="43">
        <v>45117</v>
      </c>
      <c r="B1345" s="47">
        <v>15602</v>
      </c>
      <c r="C1345" s="44" t="s">
        <v>766</v>
      </c>
      <c r="D1345" s="45">
        <v>153</v>
      </c>
      <c r="E1345" s="48" t="s">
        <v>105</v>
      </c>
      <c r="F1345" s="48" t="s">
        <v>90</v>
      </c>
      <c r="G1345" s="48" t="s">
        <v>95</v>
      </c>
      <c r="J1345" s="44">
        <f>YEAR(A1345)</f>
        <v>2023</v>
      </c>
    </row>
    <row r="1346" spans="1:11" ht="12" customHeight="1" x14ac:dyDescent="0.25">
      <c r="A1346" s="43">
        <v>45117</v>
      </c>
      <c r="B1346" s="47">
        <v>15602</v>
      </c>
      <c r="C1346" s="44" t="s">
        <v>766</v>
      </c>
      <c r="D1346" s="45">
        <v>-153</v>
      </c>
      <c r="E1346" s="48" t="s">
        <v>299</v>
      </c>
      <c r="F1346" s="48" t="s">
        <v>90</v>
      </c>
      <c r="G1346" s="48" t="s">
        <v>305</v>
      </c>
      <c r="I1346" s="44" t="s">
        <v>811</v>
      </c>
      <c r="J1346" s="44">
        <f>YEAR(A1346)</f>
        <v>2023</v>
      </c>
    </row>
    <row r="1347" spans="1:11" ht="12" customHeight="1" x14ac:dyDescent="0.25">
      <c r="A1347" s="43">
        <v>45117</v>
      </c>
      <c r="B1347" s="47">
        <v>15603</v>
      </c>
      <c r="C1347" s="44" t="s">
        <v>448</v>
      </c>
      <c r="D1347" s="45">
        <v>10.9</v>
      </c>
      <c r="E1347" s="48" t="s">
        <v>180</v>
      </c>
      <c r="F1347" s="48" t="s">
        <v>90</v>
      </c>
      <c r="G1347" s="48" t="s">
        <v>91</v>
      </c>
      <c r="J1347" s="44">
        <f>YEAR(A1347)</f>
        <v>2023</v>
      </c>
    </row>
    <row r="1348" spans="1:11" ht="12" customHeight="1" x14ac:dyDescent="0.25">
      <c r="A1348" s="43">
        <v>45117</v>
      </c>
      <c r="B1348" s="47">
        <v>15603</v>
      </c>
      <c r="C1348" s="44" t="s">
        <v>448</v>
      </c>
      <c r="D1348" s="45">
        <v>-10.9</v>
      </c>
      <c r="E1348" s="48" t="s">
        <v>299</v>
      </c>
      <c r="F1348" s="48" t="s">
        <v>90</v>
      </c>
      <c r="G1348" s="48" t="s">
        <v>305</v>
      </c>
      <c r="I1348" s="44" t="s">
        <v>811</v>
      </c>
      <c r="J1348" s="44">
        <f>YEAR(A1348)</f>
        <v>2023</v>
      </c>
    </row>
    <row r="1349" spans="1:11" ht="12" customHeight="1" x14ac:dyDescent="0.25">
      <c r="A1349" s="43">
        <v>45120</v>
      </c>
      <c r="B1349" s="47">
        <v>15604</v>
      </c>
      <c r="C1349" s="44" t="s">
        <v>512</v>
      </c>
      <c r="D1349" s="45">
        <v>-1258.9000000000001</v>
      </c>
      <c r="E1349" s="48" t="s">
        <v>244</v>
      </c>
      <c r="F1349" s="48" t="s">
        <v>90</v>
      </c>
      <c r="G1349" s="48" t="s">
        <v>114</v>
      </c>
      <c r="J1349" s="44">
        <f>YEAR(A1349)</f>
        <v>2023</v>
      </c>
    </row>
    <row r="1350" spans="1:11" ht="12" customHeight="1" x14ac:dyDescent="0.25">
      <c r="A1350" s="43">
        <v>45120</v>
      </c>
      <c r="B1350" s="47">
        <v>15604</v>
      </c>
      <c r="C1350" s="44" t="s">
        <v>512</v>
      </c>
      <c r="D1350" s="45">
        <v>1258.9000000000001</v>
      </c>
      <c r="E1350" s="48" t="s">
        <v>299</v>
      </c>
      <c r="F1350" s="48" t="s">
        <v>90</v>
      </c>
      <c r="G1350" s="48" t="s">
        <v>91</v>
      </c>
      <c r="H1350" s="44" t="s">
        <v>398</v>
      </c>
      <c r="I1350" s="44" t="s">
        <v>814</v>
      </c>
      <c r="J1350" s="44">
        <f>YEAR(A1350)</f>
        <v>2023</v>
      </c>
    </row>
    <row r="1351" spans="1:11" ht="12" customHeight="1" x14ac:dyDescent="0.25">
      <c r="A1351" s="43">
        <v>45121</v>
      </c>
      <c r="B1351" s="47">
        <v>15605</v>
      </c>
      <c r="C1351" s="44" t="s">
        <v>767</v>
      </c>
      <c r="D1351" s="45">
        <v>161.91999999999999</v>
      </c>
      <c r="E1351" s="48" t="s">
        <v>244</v>
      </c>
      <c r="F1351" s="48" t="s">
        <v>90</v>
      </c>
      <c r="G1351" s="48" t="s">
        <v>114</v>
      </c>
      <c r="J1351" s="44">
        <f>YEAR(A1351)</f>
        <v>2023</v>
      </c>
    </row>
    <row r="1352" spans="1:11" ht="12" customHeight="1" x14ac:dyDescent="0.25">
      <c r="A1352" s="43">
        <v>45121</v>
      </c>
      <c r="B1352" s="47">
        <v>15605</v>
      </c>
      <c r="C1352" s="44" t="s">
        <v>768</v>
      </c>
      <c r="D1352" s="45">
        <v>-161.91999999999999</v>
      </c>
      <c r="E1352" s="48" t="s">
        <v>299</v>
      </c>
      <c r="F1352" s="48" t="s">
        <v>90</v>
      </c>
      <c r="G1352" s="48" t="s">
        <v>91</v>
      </c>
      <c r="H1352" s="44" t="s">
        <v>402</v>
      </c>
      <c r="I1352" s="44" t="s">
        <v>812</v>
      </c>
      <c r="J1352" s="44">
        <f>YEAR(A1352)</f>
        <v>2023</v>
      </c>
    </row>
    <row r="1353" spans="1:11" ht="12" customHeight="1" x14ac:dyDescent="0.25">
      <c r="A1353" s="43">
        <v>45117</v>
      </c>
      <c r="B1353" s="47">
        <v>15606</v>
      </c>
      <c r="C1353" s="44" t="s">
        <v>474</v>
      </c>
      <c r="D1353" s="45">
        <v>5.66</v>
      </c>
      <c r="E1353" s="48" t="s">
        <v>180</v>
      </c>
      <c r="F1353" s="48" t="s">
        <v>90</v>
      </c>
      <c r="G1353" s="48" t="s">
        <v>91</v>
      </c>
      <c r="J1353" s="44">
        <f>YEAR(A1353)</f>
        <v>2023</v>
      </c>
    </row>
    <row r="1354" spans="1:11" ht="12" customHeight="1" x14ac:dyDescent="0.25">
      <c r="A1354" s="43">
        <v>45118</v>
      </c>
      <c r="B1354" s="47">
        <v>15606</v>
      </c>
      <c r="C1354" s="44" t="s">
        <v>769</v>
      </c>
      <c r="D1354" s="45">
        <v>4</v>
      </c>
      <c r="E1354" s="48" t="s">
        <v>180</v>
      </c>
      <c r="F1354" s="48" t="s">
        <v>90</v>
      </c>
      <c r="G1354" s="48" t="s">
        <v>91</v>
      </c>
      <c r="J1354" s="44">
        <f>YEAR(A1354)</f>
        <v>2023</v>
      </c>
    </row>
    <row r="1355" spans="1:11" ht="12" customHeight="1" x14ac:dyDescent="0.25">
      <c r="A1355" s="43">
        <v>45118</v>
      </c>
      <c r="B1355" s="47">
        <v>15606</v>
      </c>
      <c r="C1355" s="44" t="s">
        <v>441</v>
      </c>
      <c r="D1355" s="45">
        <v>-260.66000000000003</v>
      </c>
      <c r="E1355" s="48" t="s">
        <v>299</v>
      </c>
      <c r="F1355" s="48" t="s">
        <v>101</v>
      </c>
      <c r="G1355" s="48" t="s">
        <v>91</v>
      </c>
      <c r="J1355" s="44">
        <f>YEAR(A1355)</f>
        <v>2023</v>
      </c>
    </row>
    <row r="1356" spans="1:11" ht="12" customHeight="1" x14ac:dyDescent="0.25">
      <c r="A1356" s="43">
        <v>45118</v>
      </c>
      <c r="B1356" s="47">
        <v>15606</v>
      </c>
      <c r="C1356" s="44" t="s">
        <v>769</v>
      </c>
      <c r="D1356" s="45">
        <v>3</v>
      </c>
      <c r="E1356" s="48" t="s">
        <v>180</v>
      </c>
      <c r="F1356" s="48" t="s">
        <v>90</v>
      </c>
      <c r="G1356" s="48" t="s">
        <v>91</v>
      </c>
      <c r="J1356" s="44">
        <f>YEAR(A1356)</f>
        <v>2023</v>
      </c>
    </row>
    <row r="1357" spans="1:11" ht="12" customHeight="1" x14ac:dyDescent="0.25">
      <c r="A1357" s="43">
        <v>45122</v>
      </c>
      <c r="B1357" s="47">
        <v>15606</v>
      </c>
      <c r="C1357" s="44" t="s">
        <v>771</v>
      </c>
      <c r="D1357" s="45">
        <v>20</v>
      </c>
      <c r="E1357" s="48" t="s">
        <v>145</v>
      </c>
      <c r="F1357" s="48" t="s">
        <v>135</v>
      </c>
      <c r="G1357" s="48" t="s">
        <v>91</v>
      </c>
      <c r="J1357" s="44">
        <f>YEAR(A1357)</f>
        <v>2023</v>
      </c>
    </row>
    <row r="1358" spans="1:11" ht="12" customHeight="1" x14ac:dyDescent="0.25">
      <c r="A1358" s="43">
        <v>45122</v>
      </c>
      <c r="B1358" s="47">
        <v>15606</v>
      </c>
      <c r="C1358" s="44" t="s">
        <v>770</v>
      </c>
      <c r="D1358" s="45">
        <v>160</v>
      </c>
      <c r="E1358" s="48" t="s">
        <v>145</v>
      </c>
      <c r="F1358" s="48" t="s">
        <v>135</v>
      </c>
      <c r="G1358" s="48" t="s">
        <v>91</v>
      </c>
      <c r="J1358" s="44">
        <f>YEAR(A1358)</f>
        <v>2023</v>
      </c>
      <c r="K1358" s="49" t="s">
        <v>772</v>
      </c>
    </row>
    <row r="1359" spans="1:11" ht="12" customHeight="1" x14ac:dyDescent="0.25">
      <c r="A1359" s="43">
        <v>45124</v>
      </c>
      <c r="B1359" s="47">
        <v>15606</v>
      </c>
      <c r="C1359" s="44" t="s">
        <v>582</v>
      </c>
      <c r="D1359" s="45">
        <v>68</v>
      </c>
      <c r="E1359" s="48" t="s">
        <v>197</v>
      </c>
      <c r="F1359" s="48" t="s">
        <v>90</v>
      </c>
      <c r="G1359" s="48" t="s">
        <v>95</v>
      </c>
      <c r="J1359" s="44">
        <f>YEAR(A1359)</f>
        <v>2023</v>
      </c>
    </row>
    <row r="1360" spans="1:11" ht="12" customHeight="1" x14ac:dyDescent="0.25">
      <c r="A1360" s="43">
        <v>45121</v>
      </c>
      <c r="B1360" s="47">
        <v>15607</v>
      </c>
      <c r="C1360" s="44" t="s">
        <v>773</v>
      </c>
      <c r="D1360" s="45">
        <v>20</v>
      </c>
      <c r="E1360" s="48" t="s">
        <v>145</v>
      </c>
      <c r="F1360" s="48" t="s">
        <v>116</v>
      </c>
      <c r="G1360" s="48" t="s">
        <v>95</v>
      </c>
      <c r="J1360" s="44">
        <f>YEAR(A1360)</f>
        <v>2023</v>
      </c>
    </row>
    <row r="1361" spans="1:11" ht="12" customHeight="1" x14ac:dyDescent="0.25">
      <c r="A1361" s="43">
        <v>45121</v>
      </c>
      <c r="B1361" s="47">
        <v>15607</v>
      </c>
      <c r="C1361" s="44" t="s">
        <v>773</v>
      </c>
      <c r="D1361" s="45">
        <v>-20</v>
      </c>
      <c r="E1361" s="48" t="s">
        <v>299</v>
      </c>
      <c r="F1361" s="48" t="s">
        <v>101</v>
      </c>
      <c r="G1361" s="48" t="s">
        <v>91</v>
      </c>
      <c r="J1361" s="44">
        <f>YEAR(A1361)</f>
        <v>2023</v>
      </c>
    </row>
    <row r="1362" spans="1:11" ht="12" customHeight="1" x14ac:dyDescent="0.25">
      <c r="A1362" s="43">
        <v>45122</v>
      </c>
      <c r="B1362" s="47">
        <v>15608</v>
      </c>
      <c r="C1362" s="44" t="s">
        <v>553</v>
      </c>
      <c r="D1362" s="45">
        <v>250</v>
      </c>
      <c r="E1362" s="48" t="s">
        <v>299</v>
      </c>
      <c r="F1362" s="48" t="s">
        <v>101</v>
      </c>
      <c r="G1362" s="48" t="s">
        <v>91</v>
      </c>
      <c r="J1362" s="44">
        <f>YEAR(A1362)</f>
        <v>2023</v>
      </c>
      <c r="K1362" s="49" t="s">
        <v>774</v>
      </c>
    </row>
    <row r="1363" spans="1:11" ht="12" customHeight="1" x14ac:dyDescent="0.25">
      <c r="A1363" s="43">
        <v>45122</v>
      </c>
      <c r="B1363" s="47">
        <v>15608</v>
      </c>
      <c r="C1363" s="44" t="s">
        <v>553</v>
      </c>
      <c r="D1363" s="45">
        <v>-250</v>
      </c>
      <c r="E1363" s="48" t="s">
        <v>299</v>
      </c>
      <c r="F1363" s="48" t="s">
        <v>90</v>
      </c>
      <c r="G1363" s="48" t="s">
        <v>91</v>
      </c>
      <c r="H1363" s="44" t="s">
        <v>442</v>
      </c>
      <c r="I1363" s="44" t="s">
        <v>812</v>
      </c>
      <c r="J1363" s="44">
        <f>YEAR(A1363)</f>
        <v>2023</v>
      </c>
    </row>
    <row r="1364" spans="1:11" ht="12" customHeight="1" x14ac:dyDescent="0.25">
      <c r="A1364" s="43">
        <v>45118</v>
      </c>
      <c r="B1364" s="47">
        <v>15609</v>
      </c>
      <c r="C1364" s="44" t="s">
        <v>472</v>
      </c>
      <c r="D1364" s="45">
        <v>111.9</v>
      </c>
      <c r="E1364" s="48" t="s">
        <v>197</v>
      </c>
      <c r="F1364" s="48" t="s">
        <v>96</v>
      </c>
      <c r="G1364" s="48" t="s">
        <v>91</v>
      </c>
      <c r="J1364" s="44">
        <f>YEAR(A1364)</f>
        <v>2023</v>
      </c>
    </row>
    <row r="1365" spans="1:11" ht="12" customHeight="1" x14ac:dyDescent="0.25">
      <c r="A1365" s="43">
        <v>45118</v>
      </c>
      <c r="B1365" s="47">
        <v>15609</v>
      </c>
      <c r="C1365" s="44" t="s">
        <v>472</v>
      </c>
      <c r="D1365" s="45">
        <v>-111.9</v>
      </c>
      <c r="E1365" s="48" t="s">
        <v>299</v>
      </c>
      <c r="F1365" s="48" t="s">
        <v>90</v>
      </c>
      <c r="G1365" s="48" t="s">
        <v>305</v>
      </c>
      <c r="I1365" s="44" t="s">
        <v>811</v>
      </c>
      <c r="J1365" s="44">
        <f>YEAR(A1365)</f>
        <v>2023</v>
      </c>
    </row>
    <row r="1366" spans="1:11" ht="12" customHeight="1" x14ac:dyDescent="0.25">
      <c r="A1366" s="43">
        <v>45118</v>
      </c>
      <c r="B1366" s="47">
        <v>15610</v>
      </c>
      <c r="C1366" s="44" t="s">
        <v>473</v>
      </c>
      <c r="D1366" s="45">
        <v>3.5</v>
      </c>
      <c r="E1366" s="48" t="s">
        <v>180</v>
      </c>
      <c r="F1366" s="48" t="s">
        <v>90</v>
      </c>
      <c r="G1366" s="48" t="s">
        <v>91</v>
      </c>
      <c r="H1366" s="44" t="s">
        <v>442</v>
      </c>
      <c r="J1366" s="44">
        <f>YEAR(A1366)</f>
        <v>2023</v>
      </c>
    </row>
    <row r="1367" spans="1:11" ht="12" customHeight="1" x14ac:dyDescent="0.25">
      <c r="A1367" s="43">
        <v>45118</v>
      </c>
      <c r="B1367" s="47">
        <v>15610</v>
      </c>
      <c r="C1367" s="44" t="s">
        <v>473</v>
      </c>
      <c r="D1367" s="45">
        <v>-3.5</v>
      </c>
      <c r="E1367" s="48" t="s">
        <v>299</v>
      </c>
      <c r="F1367" s="48" t="s">
        <v>90</v>
      </c>
      <c r="G1367" s="48" t="s">
        <v>305</v>
      </c>
      <c r="I1367" s="44" t="s">
        <v>811</v>
      </c>
      <c r="J1367" s="44">
        <f>YEAR(A1367)</f>
        <v>2023</v>
      </c>
    </row>
    <row r="1368" spans="1:11" ht="12" customHeight="1" x14ac:dyDescent="0.25">
      <c r="A1368" s="43">
        <v>45118</v>
      </c>
      <c r="B1368" s="47">
        <v>15611</v>
      </c>
      <c r="C1368" s="44" t="s">
        <v>737</v>
      </c>
      <c r="D1368" s="45">
        <v>29</v>
      </c>
      <c r="E1368" s="48" t="s">
        <v>105</v>
      </c>
      <c r="F1368" s="48" t="s">
        <v>90</v>
      </c>
      <c r="G1368" s="48" t="s">
        <v>99</v>
      </c>
      <c r="J1368" s="44">
        <f>YEAR(A1368)</f>
        <v>2023</v>
      </c>
    </row>
    <row r="1369" spans="1:11" ht="12" customHeight="1" x14ac:dyDescent="0.25">
      <c r="A1369" s="43">
        <v>45118</v>
      </c>
      <c r="B1369" s="47">
        <v>15611</v>
      </c>
      <c r="C1369" s="44" t="s">
        <v>737</v>
      </c>
      <c r="D1369" s="45">
        <v>-39.799999999999997</v>
      </c>
      <c r="E1369" s="48" t="s">
        <v>299</v>
      </c>
      <c r="F1369" s="48" t="s">
        <v>90</v>
      </c>
      <c r="G1369" s="48" t="s">
        <v>305</v>
      </c>
      <c r="I1369" s="44" t="s">
        <v>811</v>
      </c>
      <c r="J1369" s="44">
        <f>YEAR(A1369)</f>
        <v>2023</v>
      </c>
    </row>
    <row r="1370" spans="1:11" ht="12" customHeight="1" x14ac:dyDescent="0.25">
      <c r="A1370" s="43">
        <v>45118</v>
      </c>
      <c r="B1370" s="47">
        <v>15611</v>
      </c>
      <c r="C1370" s="44" t="s">
        <v>737</v>
      </c>
      <c r="D1370" s="45">
        <v>10.8</v>
      </c>
      <c r="E1370" s="48" t="s">
        <v>105</v>
      </c>
      <c r="F1370" s="48" t="s">
        <v>90</v>
      </c>
      <c r="G1370" s="48" t="s">
        <v>99</v>
      </c>
      <c r="J1370" s="44">
        <f>YEAR(A1370)</f>
        <v>2023</v>
      </c>
    </row>
    <row r="1371" spans="1:11" ht="12" customHeight="1" x14ac:dyDescent="0.25">
      <c r="A1371" s="43">
        <v>45118</v>
      </c>
      <c r="B1371" s="47">
        <v>15612</v>
      </c>
      <c r="C1371" s="44" t="s">
        <v>581</v>
      </c>
      <c r="D1371" s="45">
        <v>54.8</v>
      </c>
      <c r="E1371" s="48" t="s">
        <v>105</v>
      </c>
      <c r="F1371" s="48" t="s">
        <v>90</v>
      </c>
      <c r="G1371" s="48" t="s">
        <v>91</v>
      </c>
      <c r="J1371" s="44">
        <f>YEAR(A1371)</f>
        <v>2023</v>
      </c>
    </row>
    <row r="1372" spans="1:11" ht="12" customHeight="1" x14ac:dyDescent="0.25">
      <c r="A1372" s="43">
        <v>45118</v>
      </c>
      <c r="B1372" s="47">
        <v>15612</v>
      </c>
      <c r="C1372" s="44" t="s">
        <v>626</v>
      </c>
      <c r="D1372" s="45">
        <v>-54.8</v>
      </c>
      <c r="E1372" s="48" t="s">
        <v>299</v>
      </c>
      <c r="F1372" s="48" t="s">
        <v>90</v>
      </c>
      <c r="G1372" s="48" t="s">
        <v>305</v>
      </c>
      <c r="I1372" s="44" t="s">
        <v>811</v>
      </c>
      <c r="J1372" s="44">
        <f>YEAR(A1372)</f>
        <v>2023</v>
      </c>
    </row>
    <row r="1373" spans="1:11" ht="12" customHeight="1" x14ac:dyDescent="0.25">
      <c r="A1373" s="43">
        <v>45118</v>
      </c>
      <c r="B1373" s="47">
        <v>15613</v>
      </c>
      <c r="C1373" s="44" t="s">
        <v>775</v>
      </c>
      <c r="D1373" s="45">
        <v>149.69999999999999</v>
      </c>
      <c r="E1373" s="48" t="s">
        <v>89</v>
      </c>
      <c r="F1373" s="48" t="s">
        <v>96</v>
      </c>
      <c r="G1373" s="48" t="s">
        <v>91</v>
      </c>
      <c r="J1373" s="44">
        <f>YEAR(A1373)</f>
        <v>2023</v>
      </c>
      <c r="K1373" s="49" t="s">
        <v>776</v>
      </c>
    </row>
    <row r="1374" spans="1:11" ht="12" customHeight="1" x14ac:dyDescent="0.25">
      <c r="A1374" s="43">
        <v>45118</v>
      </c>
      <c r="B1374" s="47">
        <v>15613</v>
      </c>
      <c r="C1374" s="44" t="s">
        <v>775</v>
      </c>
      <c r="D1374" s="45">
        <v>-149.69999999999999</v>
      </c>
      <c r="E1374" s="48" t="s">
        <v>299</v>
      </c>
      <c r="F1374" s="48" t="s">
        <v>90</v>
      </c>
      <c r="G1374" s="48" t="s">
        <v>305</v>
      </c>
      <c r="I1374" s="44" t="s">
        <v>811</v>
      </c>
      <c r="J1374" s="44">
        <f>YEAR(A1374)</f>
        <v>2023</v>
      </c>
    </row>
    <row r="1375" spans="1:11" ht="12" customHeight="1" x14ac:dyDescent="0.25">
      <c r="A1375" s="43">
        <v>45119</v>
      </c>
      <c r="B1375" s="47">
        <v>15614</v>
      </c>
      <c r="C1375" s="44" t="s">
        <v>444</v>
      </c>
      <c r="D1375" s="45">
        <v>25.81</v>
      </c>
      <c r="E1375" s="48" t="s">
        <v>89</v>
      </c>
      <c r="F1375" s="48" t="s">
        <v>90</v>
      </c>
      <c r="G1375" s="48" t="s">
        <v>91</v>
      </c>
      <c r="J1375" s="44">
        <f>YEAR(A1375)</f>
        <v>2023</v>
      </c>
    </row>
    <row r="1376" spans="1:11" ht="12" customHeight="1" x14ac:dyDescent="0.25">
      <c r="A1376" s="43">
        <v>45119</v>
      </c>
      <c r="B1376" s="47">
        <v>15614</v>
      </c>
      <c r="C1376" s="44" t="s">
        <v>444</v>
      </c>
      <c r="D1376" s="45">
        <f>22.09+7.79+5.89+9.59</f>
        <v>45.36</v>
      </c>
      <c r="E1376" s="48" t="s">
        <v>157</v>
      </c>
      <c r="F1376" s="48" t="s">
        <v>96</v>
      </c>
      <c r="G1376" s="48" t="s">
        <v>91</v>
      </c>
      <c r="J1376" s="44">
        <f>YEAR(A1376)</f>
        <v>2023</v>
      </c>
    </row>
    <row r="1377" spans="1:10" ht="12" customHeight="1" x14ac:dyDescent="0.25">
      <c r="A1377" s="43">
        <v>45119</v>
      </c>
      <c r="B1377" s="47">
        <v>15614</v>
      </c>
      <c r="C1377" s="44" t="s">
        <v>444</v>
      </c>
      <c r="D1377" s="45">
        <v>11.89</v>
      </c>
      <c r="E1377" s="48" t="s">
        <v>197</v>
      </c>
      <c r="F1377" s="48" t="s">
        <v>96</v>
      </c>
      <c r="G1377" s="48" t="s">
        <v>91</v>
      </c>
      <c r="J1377" s="44">
        <f>YEAR(A1377)</f>
        <v>2023</v>
      </c>
    </row>
    <row r="1378" spans="1:10" ht="12" customHeight="1" x14ac:dyDescent="0.25">
      <c r="A1378" s="43">
        <v>45119</v>
      </c>
      <c r="B1378" s="47">
        <v>15614</v>
      </c>
      <c r="C1378" s="44" t="s">
        <v>444</v>
      </c>
      <c r="D1378" s="45">
        <v>7.65</v>
      </c>
      <c r="E1378" s="48" t="s">
        <v>197</v>
      </c>
      <c r="F1378" s="48" t="s">
        <v>96</v>
      </c>
      <c r="G1378" s="48" t="s">
        <v>93</v>
      </c>
      <c r="J1378" s="44">
        <f>YEAR(A1378)</f>
        <v>2023</v>
      </c>
    </row>
    <row r="1379" spans="1:10" ht="12" customHeight="1" x14ac:dyDescent="0.25">
      <c r="A1379" s="43">
        <v>45119</v>
      </c>
      <c r="B1379" s="47">
        <v>15614</v>
      </c>
      <c r="C1379" s="44" t="s">
        <v>444</v>
      </c>
      <c r="D1379" s="45">
        <v>-90.71</v>
      </c>
      <c r="E1379" s="48" t="s">
        <v>299</v>
      </c>
      <c r="F1379" s="48" t="s">
        <v>90</v>
      </c>
      <c r="G1379" s="48" t="s">
        <v>91</v>
      </c>
      <c r="H1379" s="44" t="s">
        <v>459</v>
      </c>
      <c r="I1379" s="44" t="s">
        <v>812</v>
      </c>
      <c r="J1379" s="44">
        <f>YEAR(A1379)</f>
        <v>2023</v>
      </c>
    </row>
    <row r="1380" spans="1:10" ht="12" customHeight="1" x14ac:dyDescent="0.25">
      <c r="A1380" s="43">
        <v>45120</v>
      </c>
      <c r="B1380" s="47">
        <v>15615</v>
      </c>
      <c r="C1380" s="44" t="s">
        <v>503</v>
      </c>
      <c r="D1380" s="45">
        <v>122.08</v>
      </c>
      <c r="E1380" s="48" t="s">
        <v>89</v>
      </c>
      <c r="F1380" s="48" t="s">
        <v>90</v>
      </c>
      <c r="G1380" s="48" t="s">
        <v>91</v>
      </c>
      <c r="J1380" s="44">
        <f>YEAR(A1380)</f>
        <v>2023</v>
      </c>
    </row>
    <row r="1381" spans="1:10" ht="12" customHeight="1" x14ac:dyDescent="0.25">
      <c r="A1381" s="43">
        <v>45120</v>
      </c>
      <c r="B1381" s="47">
        <v>15615</v>
      </c>
      <c r="C1381" s="44" t="s">
        <v>503</v>
      </c>
      <c r="D1381" s="45">
        <v>-122.08</v>
      </c>
      <c r="E1381" s="48" t="s">
        <v>299</v>
      </c>
      <c r="F1381" s="48" t="s">
        <v>90</v>
      </c>
      <c r="G1381" s="48" t="s">
        <v>305</v>
      </c>
      <c r="I1381" s="44" t="s">
        <v>811</v>
      </c>
      <c r="J1381" s="44">
        <f>YEAR(A1381)</f>
        <v>2023</v>
      </c>
    </row>
    <row r="1382" spans="1:10" ht="12" customHeight="1" x14ac:dyDescent="0.25">
      <c r="A1382" s="43">
        <v>45120</v>
      </c>
      <c r="B1382" s="47">
        <v>15616</v>
      </c>
      <c r="C1382" s="44" t="s">
        <v>463</v>
      </c>
      <c r="D1382" s="45">
        <v>58.47</v>
      </c>
      <c r="E1382" s="48" t="s">
        <v>89</v>
      </c>
      <c r="F1382" s="48" t="s">
        <v>90</v>
      </c>
      <c r="G1382" s="48" t="s">
        <v>91</v>
      </c>
      <c r="J1382" s="44">
        <f>YEAR(A1382)</f>
        <v>2023</v>
      </c>
    </row>
    <row r="1383" spans="1:10" ht="12" customHeight="1" x14ac:dyDescent="0.25">
      <c r="A1383" s="43">
        <v>45120</v>
      </c>
      <c r="B1383" s="47">
        <v>15616</v>
      </c>
      <c r="C1383" s="44" t="s">
        <v>463</v>
      </c>
      <c r="D1383" s="45">
        <v>-58.47</v>
      </c>
      <c r="E1383" s="48" t="s">
        <v>299</v>
      </c>
      <c r="F1383" s="48" t="s">
        <v>90</v>
      </c>
      <c r="G1383" s="48" t="s">
        <v>305</v>
      </c>
      <c r="I1383" s="44" t="s">
        <v>811</v>
      </c>
      <c r="J1383" s="44">
        <f>YEAR(A1383)</f>
        <v>2023</v>
      </c>
    </row>
    <row r="1384" spans="1:10" ht="12" customHeight="1" x14ac:dyDescent="0.25">
      <c r="A1384" s="43">
        <v>45120</v>
      </c>
      <c r="B1384" s="47">
        <v>15617</v>
      </c>
      <c r="C1384" s="44" t="s">
        <v>552</v>
      </c>
      <c r="D1384" s="45">
        <v>28.21</v>
      </c>
      <c r="E1384" s="48" t="s">
        <v>89</v>
      </c>
      <c r="F1384" s="48" t="s">
        <v>90</v>
      </c>
      <c r="G1384" s="48" t="s">
        <v>91</v>
      </c>
      <c r="J1384" s="44">
        <f>YEAR(A1384)</f>
        <v>2023</v>
      </c>
    </row>
    <row r="1385" spans="1:10" ht="12" customHeight="1" x14ac:dyDescent="0.25">
      <c r="A1385" s="43">
        <v>45120</v>
      </c>
      <c r="B1385" s="47">
        <v>15617</v>
      </c>
      <c r="C1385" s="44" t="s">
        <v>552</v>
      </c>
      <c r="D1385" s="45">
        <v>-28.21</v>
      </c>
      <c r="E1385" s="48" t="s">
        <v>299</v>
      </c>
      <c r="F1385" s="48" t="s">
        <v>90</v>
      </c>
      <c r="G1385" s="48" t="s">
        <v>305</v>
      </c>
      <c r="I1385" s="44" t="s">
        <v>811</v>
      </c>
      <c r="J1385" s="44">
        <f>YEAR(A1385)</f>
        <v>2023</v>
      </c>
    </row>
    <row r="1386" spans="1:10" ht="12" customHeight="1" x14ac:dyDescent="0.25">
      <c r="A1386" s="43">
        <v>45120</v>
      </c>
      <c r="B1386" s="47">
        <v>15618</v>
      </c>
      <c r="C1386" s="44" t="s">
        <v>557</v>
      </c>
      <c r="D1386" s="45">
        <v>78.3</v>
      </c>
      <c r="E1386" s="48" t="s">
        <v>145</v>
      </c>
      <c r="F1386" s="48" t="s">
        <v>116</v>
      </c>
      <c r="G1386" s="48" t="s">
        <v>91</v>
      </c>
      <c r="J1386" s="44">
        <f>YEAR(A1386)</f>
        <v>2023</v>
      </c>
    </row>
    <row r="1387" spans="1:10" ht="12" customHeight="1" x14ac:dyDescent="0.25">
      <c r="A1387" s="43">
        <v>45120</v>
      </c>
      <c r="B1387" s="47">
        <v>15618</v>
      </c>
      <c r="C1387" s="44" t="s">
        <v>557</v>
      </c>
      <c r="D1387" s="45">
        <v>-78.3</v>
      </c>
      <c r="E1387" s="48" t="s">
        <v>299</v>
      </c>
      <c r="F1387" s="48" t="s">
        <v>90</v>
      </c>
      <c r="G1387" s="48" t="s">
        <v>305</v>
      </c>
      <c r="I1387" s="44" t="s">
        <v>811</v>
      </c>
      <c r="J1387" s="44">
        <f>YEAR(A1387)</f>
        <v>2023</v>
      </c>
    </row>
    <row r="1388" spans="1:10" ht="12" customHeight="1" x14ac:dyDescent="0.25">
      <c r="A1388" s="43">
        <v>45120</v>
      </c>
      <c r="B1388" s="47">
        <v>15619</v>
      </c>
      <c r="C1388" s="44" t="s">
        <v>444</v>
      </c>
      <c r="D1388" s="45">
        <v>6.79</v>
      </c>
      <c r="E1388" s="48" t="s">
        <v>89</v>
      </c>
      <c r="F1388" s="48" t="s">
        <v>90</v>
      </c>
      <c r="G1388" s="48" t="s">
        <v>91</v>
      </c>
      <c r="J1388" s="44">
        <f>YEAR(A1388)</f>
        <v>2023</v>
      </c>
    </row>
    <row r="1389" spans="1:10" ht="12" customHeight="1" x14ac:dyDescent="0.25">
      <c r="A1389" s="43">
        <v>45120</v>
      </c>
      <c r="B1389" s="47">
        <v>15619</v>
      </c>
      <c r="C1389" s="44" t="s">
        <v>444</v>
      </c>
      <c r="D1389" s="45">
        <v>-6.79</v>
      </c>
      <c r="E1389" s="48" t="s">
        <v>299</v>
      </c>
      <c r="F1389" s="48" t="s">
        <v>90</v>
      </c>
      <c r="G1389" s="48" t="s">
        <v>91</v>
      </c>
      <c r="H1389" s="44" t="s">
        <v>459</v>
      </c>
      <c r="I1389" s="44" t="s">
        <v>812</v>
      </c>
      <c r="J1389" s="44">
        <f>YEAR(A1389)</f>
        <v>2023</v>
      </c>
    </row>
    <row r="1390" spans="1:10" ht="12" customHeight="1" x14ac:dyDescent="0.25">
      <c r="A1390" s="43">
        <v>45120</v>
      </c>
      <c r="B1390" s="47">
        <v>15620</v>
      </c>
      <c r="C1390" s="44" t="s">
        <v>725</v>
      </c>
      <c r="D1390" s="45">
        <v>17.600000000000001</v>
      </c>
      <c r="E1390" s="48" t="s">
        <v>145</v>
      </c>
      <c r="F1390" s="48" t="s">
        <v>135</v>
      </c>
      <c r="G1390" s="48" t="s">
        <v>91</v>
      </c>
      <c r="J1390" s="44">
        <f>YEAR(A1390)</f>
        <v>2023</v>
      </c>
    </row>
    <row r="1391" spans="1:10" ht="12" customHeight="1" x14ac:dyDescent="0.25">
      <c r="A1391" s="43">
        <v>45120</v>
      </c>
      <c r="B1391" s="47">
        <v>15620</v>
      </c>
      <c r="C1391" s="44" t="s">
        <v>725</v>
      </c>
      <c r="D1391" s="45">
        <v>-17.600000000000001</v>
      </c>
      <c r="E1391" s="48" t="s">
        <v>299</v>
      </c>
      <c r="F1391" s="48" t="s">
        <v>90</v>
      </c>
      <c r="G1391" s="48" t="s">
        <v>305</v>
      </c>
      <c r="I1391" s="44" t="s">
        <v>811</v>
      </c>
      <c r="J1391" s="44">
        <f>YEAR(A1391)</f>
        <v>2023</v>
      </c>
    </row>
    <row r="1392" spans="1:10" ht="12" customHeight="1" x14ac:dyDescent="0.25">
      <c r="A1392" s="43">
        <v>45125</v>
      </c>
      <c r="B1392" s="47">
        <v>15621</v>
      </c>
      <c r="C1392" s="44" t="s">
        <v>777</v>
      </c>
      <c r="D1392" s="45">
        <v>39</v>
      </c>
      <c r="E1392" s="48" t="s">
        <v>145</v>
      </c>
      <c r="F1392" s="48" t="s">
        <v>116</v>
      </c>
      <c r="G1392" s="48" t="s">
        <v>91</v>
      </c>
      <c r="J1392" s="44">
        <f>YEAR(A1392)</f>
        <v>2023</v>
      </c>
    </row>
    <row r="1393" spans="1:11" ht="12" customHeight="1" x14ac:dyDescent="0.25">
      <c r="A1393" s="43">
        <v>45125</v>
      </c>
      <c r="B1393" s="47">
        <v>15621</v>
      </c>
      <c r="C1393" s="44" t="s">
        <v>777</v>
      </c>
      <c r="D1393" s="45">
        <v>-39</v>
      </c>
      <c r="E1393" s="48" t="s">
        <v>299</v>
      </c>
      <c r="F1393" s="48" t="s">
        <v>90</v>
      </c>
      <c r="G1393" s="48" t="s">
        <v>305</v>
      </c>
      <c r="I1393" s="44" t="s">
        <v>811</v>
      </c>
      <c r="J1393" s="44">
        <f>YEAR(A1393)</f>
        <v>2023</v>
      </c>
    </row>
    <row r="1394" spans="1:11" ht="12" customHeight="1" x14ac:dyDescent="0.25">
      <c r="A1394" s="43">
        <v>45125</v>
      </c>
      <c r="B1394" s="47">
        <v>15622</v>
      </c>
      <c r="C1394" s="44" t="s">
        <v>777</v>
      </c>
      <c r="D1394" s="45">
        <v>82.2</v>
      </c>
      <c r="E1394" s="48" t="s">
        <v>105</v>
      </c>
      <c r="F1394" s="48" t="s">
        <v>90</v>
      </c>
      <c r="G1394" s="48" t="s">
        <v>95</v>
      </c>
      <c r="J1394" s="44">
        <f>YEAR(A1394)</f>
        <v>2023</v>
      </c>
    </row>
    <row r="1395" spans="1:11" ht="12" customHeight="1" x14ac:dyDescent="0.25">
      <c r="A1395" s="43">
        <v>45125</v>
      </c>
      <c r="B1395" s="47">
        <v>15622</v>
      </c>
      <c r="C1395" s="44" t="s">
        <v>777</v>
      </c>
      <c r="D1395" s="45">
        <v>-82.2</v>
      </c>
      <c r="E1395" s="48" t="s">
        <v>299</v>
      </c>
      <c r="F1395" s="48" t="s">
        <v>90</v>
      </c>
      <c r="G1395" s="48" t="s">
        <v>305</v>
      </c>
      <c r="I1395" s="44" t="s">
        <v>811</v>
      </c>
      <c r="J1395" s="44">
        <f>YEAR(A1395)</f>
        <v>2023</v>
      </c>
    </row>
    <row r="1396" spans="1:11" ht="12" customHeight="1" x14ac:dyDescent="0.25">
      <c r="A1396" s="43">
        <v>45125</v>
      </c>
      <c r="B1396" s="47">
        <v>15623</v>
      </c>
      <c r="C1396" s="44" t="s">
        <v>778</v>
      </c>
      <c r="D1396" s="45">
        <v>2.6</v>
      </c>
      <c r="E1396" s="48" t="s">
        <v>180</v>
      </c>
      <c r="F1396" s="48" t="s">
        <v>90</v>
      </c>
      <c r="G1396" s="48" t="s">
        <v>91</v>
      </c>
      <c r="H1396" s="44" t="s">
        <v>442</v>
      </c>
      <c r="J1396" s="44">
        <f>YEAR(A1396)</f>
        <v>2023</v>
      </c>
    </row>
    <row r="1397" spans="1:11" ht="12" customHeight="1" x14ac:dyDescent="0.25">
      <c r="A1397" s="43">
        <v>45125</v>
      </c>
      <c r="B1397" s="47">
        <v>15623</v>
      </c>
      <c r="C1397" s="44" t="s">
        <v>778</v>
      </c>
      <c r="D1397" s="45">
        <v>-2.6</v>
      </c>
      <c r="E1397" s="48" t="s">
        <v>299</v>
      </c>
      <c r="F1397" s="48" t="s">
        <v>90</v>
      </c>
      <c r="G1397" s="48" t="s">
        <v>305</v>
      </c>
      <c r="I1397" s="44" t="s">
        <v>811</v>
      </c>
      <c r="J1397" s="44">
        <f>YEAR(A1397)</f>
        <v>2023</v>
      </c>
    </row>
    <row r="1398" spans="1:11" ht="12" customHeight="1" x14ac:dyDescent="0.25">
      <c r="A1398" s="43">
        <v>45125</v>
      </c>
      <c r="B1398" s="47">
        <v>15624</v>
      </c>
      <c r="C1398" s="44" t="s">
        <v>444</v>
      </c>
      <c r="D1398" s="45">
        <v>-89.06</v>
      </c>
      <c r="E1398" s="48" t="s">
        <v>299</v>
      </c>
      <c r="F1398" s="48" t="s">
        <v>90</v>
      </c>
      <c r="G1398" s="48" t="s">
        <v>91</v>
      </c>
      <c r="H1398" s="44" t="s">
        <v>459</v>
      </c>
      <c r="I1398" s="44" t="s">
        <v>812</v>
      </c>
      <c r="J1398" s="44">
        <f>YEAR(A1398)</f>
        <v>2023</v>
      </c>
    </row>
    <row r="1399" spans="1:11" ht="12" customHeight="1" x14ac:dyDescent="0.25">
      <c r="A1399" s="43">
        <v>45125</v>
      </c>
      <c r="B1399" s="47">
        <v>15624</v>
      </c>
      <c r="C1399" s="44" t="s">
        <v>444</v>
      </c>
      <c r="D1399" s="45">
        <v>74.14</v>
      </c>
      <c r="E1399" s="48" t="s">
        <v>89</v>
      </c>
      <c r="F1399" s="48" t="s">
        <v>90</v>
      </c>
      <c r="G1399" s="48" t="s">
        <v>91</v>
      </c>
      <c r="J1399" s="44">
        <f>YEAR(A1399)</f>
        <v>2023</v>
      </c>
    </row>
    <row r="1400" spans="1:11" ht="12" customHeight="1" x14ac:dyDescent="0.25">
      <c r="A1400" s="43">
        <v>45125</v>
      </c>
      <c r="B1400" s="47">
        <v>15624</v>
      </c>
      <c r="C1400" s="44" t="s">
        <v>444</v>
      </c>
      <c r="D1400" s="45">
        <v>3.09</v>
      </c>
      <c r="E1400" s="48" t="s">
        <v>197</v>
      </c>
      <c r="F1400" s="48" t="s">
        <v>96</v>
      </c>
      <c r="G1400" s="48" t="s">
        <v>91</v>
      </c>
      <c r="J1400" s="44">
        <f>YEAR(A1400)</f>
        <v>2023</v>
      </c>
    </row>
    <row r="1401" spans="1:11" ht="12" customHeight="1" x14ac:dyDescent="0.25">
      <c r="A1401" s="43">
        <v>45125</v>
      </c>
      <c r="B1401" s="47">
        <v>15624</v>
      </c>
      <c r="C1401" s="44" t="s">
        <v>444</v>
      </c>
      <c r="D1401" s="45">
        <f>12.59+7.33</f>
        <v>19.920000000000002</v>
      </c>
      <c r="E1401" s="48" t="s">
        <v>157</v>
      </c>
      <c r="F1401" s="48" t="s">
        <v>96</v>
      </c>
      <c r="G1401" s="48" t="s">
        <v>91</v>
      </c>
      <c r="J1401" s="44">
        <f>YEAR(A1401)</f>
        <v>2023</v>
      </c>
    </row>
    <row r="1402" spans="1:11" ht="12" customHeight="1" x14ac:dyDescent="0.25">
      <c r="A1402" s="43">
        <v>45125</v>
      </c>
      <c r="B1402" s="47">
        <v>15624</v>
      </c>
      <c r="C1402" s="44" t="s">
        <v>506</v>
      </c>
      <c r="D1402" s="45">
        <v>-8.09</v>
      </c>
      <c r="E1402" s="48" t="s">
        <v>294</v>
      </c>
      <c r="F1402" s="48" t="s">
        <v>90</v>
      </c>
      <c r="G1402" s="48" t="s">
        <v>91</v>
      </c>
      <c r="H1402" s="44" t="s">
        <v>442</v>
      </c>
      <c r="J1402" s="44">
        <f>YEAR(A1402)</f>
        <v>2023</v>
      </c>
      <c r="K1402" s="49" t="s">
        <v>1081</v>
      </c>
    </row>
    <row r="1403" spans="1:11" ht="12" customHeight="1" x14ac:dyDescent="0.25">
      <c r="A1403" s="43">
        <v>45126</v>
      </c>
      <c r="B1403" s="47">
        <v>15625</v>
      </c>
      <c r="C1403" s="44" t="s">
        <v>552</v>
      </c>
      <c r="D1403" s="45">
        <v>17.84</v>
      </c>
      <c r="E1403" s="48" t="s">
        <v>89</v>
      </c>
      <c r="F1403" s="48" t="s">
        <v>90</v>
      </c>
      <c r="G1403" s="48" t="s">
        <v>91</v>
      </c>
      <c r="J1403" s="44">
        <f>YEAR(A1403)</f>
        <v>2023</v>
      </c>
    </row>
    <row r="1404" spans="1:11" ht="12" customHeight="1" x14ac:dyDescent="0.25">
      <c r="A1404" s="43">
        <v>45126</v>
      </c>
      <c r="B1404" s="47">
        <v>15625</v>
      </c>
      <c r="C1404" s="44" t="s">
        <v>552</v>
      </c>
      <c r="D1404" s="45">
        <v>-17.84</v>
      </c>
      <c r="E1404" s="48" t="s">
        <v>299</v>
      </c>
      <c r="F1404" s="48" t="s">
        <v>90</v>
      </c>
      <c r="G1404" s="48" t="s">
        <v>305</v>
      </c>
      <c r="I1404" s="44" t="s">
        <v>811</v>
      </c>
      <c r="J1404" s="44">
        <f>YEAR(A1404)</f>
        <v>2023</v>
      </c>
    </row>
    <row r="1405" spans="1:11" ht="12" customHeight="1" x14ac:dyDescent="0.25">
      <c r="A1405" s="43">
        <v>45130</v>
      </c>
      <c r="B1405" s="47">
        <v>15626</v>
      </c>
      <c r="C1405" s="44" t="s">
        <v>452</v>
      </c>
      <c r="D1405" s="45">
        <v>-349.31</v>
      </c>
      <c r="E1405" s="48" t="s">
        <v>299</v>
      </c>
      <c r="F1405" s="48" t="s">
        <v>90</v>
      </c>
      <c r="G1405" s="48" t="s">
        <v>91</v>
      </c>
      <c r="H1405" s="44" t="s">
        <v>402</v>
      </c>
      <c r="I1405" s="44" t="s">
        <v>812</v>
      </c>
      <c r="J1405" s="44">
        <f>YEAR(A1405)</f>
        <v>2023</v>
      </c>
    </row>
    <row r="1406" spans="1:11" ht="12" customHeight="1" x14ac:dyDescent="0.25">
      <c r="A1406" s="43">
        <v>45121</v>
      </c>
      <c r="B1406" s="47">
        <v>15626</v>
      </c>
      <c r="C1406" s="44" t="s">
        <v>469</v>
      </c>
      <c r="D1406" s="45">
        <v>10.35</v>
      </c>
      <c r="E1406" s="48" t="s">
        <v>89</v>
      </c>
      <c r="F1406" s="48" t="s">
        <v>90</v>
      </c>
      <c r="G1406" s="48" t="s">
        <v>91</v>
      </c>
      <c r="J1406" s="44">
        <f>YEAR(A1406)</f>
        <v>2023</v>
      </c>
    </row>
    <row r="1407" spans="1:11" ht="12" customHeight="1" x14ac:dyDescent="0.25">
      <c r="A1407" s="43">
        <v>45122</v>
      </c>
      <c r="B1407" s="47">
        <v>15626</v>
      </c>
      <c r="C1407" s="44" t="s">
        <v>449</v>
      </c>
      <c r="D1407" s="45">
        <v>29.79</v>
      </c>
      <c r="E1407" s="48" t="s">
        <v>89</v>
      </c>
      <c r="F1407" s="48" t="s">
        <v>90</v>
      </c>
      <c r="G1407" s="48" t="s">
        <v>91</v>
      </c>
      <c r="J1407" s="44">
        <f>YEAR(A1407)</f>
        <v>2023</v>
      </c>
    </row>
    <row r="1408" spans="1:11" ht="12" customHeight="1" x14ac:dyDescent="0.25">
      <c r="A1408" s="43">
        <v>45123</v>
      </c>
      <c r="B1408" s="47">
        <v>15626</v>
      </c>
      <c r="C1408" s="44" t="s">
        <v>448</v>
      </c>
      <c r="D1408" s="45">
        <v>2.1</v>
      </c>
      <c r="E1408" s="48" t="s">
        <v>180</v>
      </c>
      <c r="F1408" s="48" t="s">
        <v>90</v>
      </c>
      <c r="G1408" s="48" t="s">
        <v>91</v>
      </c>
      <c r="H1408" s="44" t="s">
        <v>442</v>
      </c>
      <c r="J1408" s="44">
        <f>YEAR(A1408)</f>
        <v>2023</v>
      </c>
    </row>
    <row r="1409" spans="1:10" ht="12" customHeight="1" x14ac:dyDescent="0.25">
      <c r="A1409" s="43">
        <v>45128</v>
      </c>
      <c r="B1409" s="47">
        <v>15626</v>
      </c>
      <c r="C1409" s="44" t="s">
        <v>779</v>
      </c>
      <c r="D1409" s="45">
        <v>66.55</v>
      </c>
      <c r="E1409" s="48" t="s">
        <v>180</v>
      </c>
      <c r="F1409" s="48" t="s">
        <v>96</v>
      </c>
      <c r="G1409" s="48" t="s">
        <v>186</v>
      </c>
      <c r="J1409" s="44">
        <f>YEAR(A1409)</f>
        <v>2023</v>
      </c>
    </row>
    <row r="1410" spans="1:10" ht="12" customHeight="1" x14ac:dyDescent="0.25">
      <c r="A1410" s="43">
        <v>45129</v>
      </c>
      <c r="B1410" s="47">
        <v>15626</v>
      </c>
      <c r="C1410" s="44" t="s">
        <v>469</v>
      </c>
      <c r="D1410" s="45">
        <v>4.5999999999999996</v>
      </c>
      <c r="E1410" s="48" t="s">
        <v>89</v>
      </c>
      <c r="F1410" s="48" t="s">
        <v>90</v>
      </c>
      <c r="G1410" s="48" t="s">
        <v>91</v>
      </c>
      <c r="J1410" s="44">
        <f>YEAR(A1410)</f>
        <v>2023</v>
      </c>
    </row>
    <row r="1411" spans="1:10" ht="12" customHeight="1" x14ac:dyDescent="0.25">
      <c r="A1411" s="43">
        <v>45129</v>
      </c>
      <c r="B1411" s="47">
        <v>15626</v>
      </c>
      <c r="C1411" s="44" t="s">
        <v>780</v>
      </c>
      <c r="D1411" s="45">
        <v>179</v>
      </c>
      <c r="E1411" s="48" t="s">
        <v>89</v>
      </c>
      <c r="F1411" s="48" t="s">
        <v>96</v>
      </c>
      <c r="G1411" s="48" t="s">
        <v>91</v>
      </c>
      <c r="J1411" s="44">
        <f>YEAR(A1411)</f>
        <v>2023</v>
      </c>
    </row>
    <row r="1412" spans="1:10" ht="12" customHeight="1" x14ac:dyDescent="0.25">
      <c r="A1412" s="43">
        <v>45130</v>
      </c>
      <c r="B1412" s="47">
        <v>15626</v>
      </c>
      <c r="C1412" s="44" t="s">
        <v>572</v>
      </c>
      <c r="D1412" s="45">
        <v>56.92</v>
      </c>
      <c r="E1412" s="48" t="s">
        <v>180</v>
      </c>
      <c r="F1412" s="48" t="s">
        <v>96</v>
      </c>
      <c r="G1412" s="48" t="s">
        <v>555</v>
      </c>
      <c r="J1412" s="44">
        <f>YEAR(A1412)</f>
        <v>2023</v>
      </c>
    </row>
    <row r="1413" spans="1:10" ht="12" customHeight="1" x14ac:dyDescent="0.25">
      <c r="A1413" s="43">
        <v>45085</v>
      </c>
      <c r="B1413" s="47">
        <v>15627</v>
      </c>
      <c r="C1413" s="44" t="s">
        <v>443</v>
      </c>
      <c r="D1413" s="45">
        <v>3.75</v>
      </c>
      <c r="E1413" s="48" t="s">
        <v>89</v>
      </c>
      <c r="F1413" s="48" t="s">
        <v>90</v>
      </c>
      <c r="G1413" s="48" t="s">
        <v>91</v>
      </c>
      <c r="J1413" s="44">
        <f>YEAR(A1413)</f>
        <v>2023</v>
      </c>
    </row>
    <row r="1414" spans="1:10" ht="12" customHeight="1" x14ac:dyDescent="0.25">
      <c r="A1414" s="43">
        <v>45085</v>
      </c>
      <c r="B1414" s="47">
        <v>15627</v>
      </c>
      <c r="C1414" s="44" t="s">
        <v>443</v>
      </c>
      <c r="D1414" s="45">
        <v>-3.75</v>
      </c>
      <c r="E1414" s="48" t="s">
        <v>299</v>
      </c>
      <c r="F1414" s="48" t="s">
        <v>90</v>
      </c>
      <c r="G1414" s="48" t="s">
        <v>305</v>
      </c>
      <c r="I1414" s="44" t="s">
        <v>783</v>
      </c>
      <c r="J1414" s="44">
        <f>YEAR(A1414)</f>
        <v>2023</v>
      </c>
    </row>
    <row r="1415" spans="1:10" ht="12" customHeight="1" x14ac:dyDescent="0.25">
      <c r="A1415" s="43">
        <v>45112</v>
      </c>
      <c r="B1415" s="47">
        <v>15628</v>
      </c>
      <c r="C1415" s="44" t="s">
        <v>417</v>
      </c>
      <c r="D1415" s="45">
        <v>-1278.58</v>
      </c>
      <c r="E1415" s="48" t="s">
        <v>299</v>
      </c>
      <c r="F1415" s="48" t="s">
        <v>90</v>
      </c>
      <c r="G1415" s="48" t="s">
        <v>91</v>
      </c>
      <c r="I1415" s="44" t="s">
        <v>785</v>
      </c>
      <c r="J1415" s="44">
        <f>YEAR(A1415)</f>
        <v>2023</v>
      </c>
    </row>
    <row r="1416" spans="1:10" ht="12" customHeight="1" x14ac:dyDescent="0.25">
      <c r="A1416" s="43">
        <v>45112</v>
      </c>
      <c r="B1416" s="47">
        <v>15628</v>
      </c>
      <c r="C1416" s="44" t="s">
        <v>417</v>
      </c>
      <c r="D1416" s="45">
        <v>1278.58</v>
      </c>
      <c r="E1416" s="48" t="s">
        <v>299</v>
      </c>
      <c r="F1416" s="48" t="s">
        <v>90</v>
      </c>
      <c r="G1416" s="48" t="s">
        <v>305</v>
      </c>
      <c r="I1416" s="44" t="s">
        <v>784</v>
      </c>
      <c r="J1416" s="44">
        <f>YEAR(A1416)</f>
        <v>2023</v>
      </c>
    </row>
    <row r="1417" spans="1:10" ht="12" customHeight="1" x14ac:dyDescent="0.25">
      <c r="A1417" s="43">
        <v>45110</v>
      </c>
      <c r="B1417" s="47">
        <v>15629</v>
      </c>
      <c r="C1417" s="44" t="s">
        <v>409</v>
      </c>
      <c r="D1417" s="45">
        <v>-3300</v>
      </c>
      <c r="E1417" s="48" t="s">
        <v>214</v>
      </c>
      <c r="F1417" s="48" t="s">
        <v>90</v>
      </c>
      <c r="G1417" s="48" t="s">
        <v>107</v>
      </c>
      <c r="J1417" s="44">
        <f>YEAR(A1417)</f>
        <v>2023</v>
      </c>
    </row>
    <row r="1418" spans="1:10" ht="12" customHeight="1" x14ac:dyDescent="0.25">
      <c r="A1418" s="43">
        <v>45110</v>
      </c>
      <c r="B1418" s="47">
        <v>15629</v>
      </c>
      <c r="C1418" s="44" t="s">
        <v>409</v>
      </c>
      <c r="D1418" s="45">
        <v>3300</v>
      </c>
      <c r="E1418" s="48" t="s">
        <v>299</v>
      </c>
      <c r="F1418" s="48" t="s">
        <v>90</v>
      </c>
      <c r="G1418" s="48" t="s">
        <v>91</v>
      </c>
      <c r="H1418" s="44" t="s">
        <v>398</v>
      </c>
      <c r="I1418" s="44" t="s">
        <v>786</v>
      </c>
      <c r="J1418" s="44">
        <f>YEAR(A1418)</f>
        <v>2023</v>
      </c>
    </row>
    <row r="1419" spans="1:10" ht="12" customHeight="1" x14ac:dyDescent="0.25">
      <c r="A1419" s="43">
        <v>45094</v>
      </c>
      <c r="B1419" s="47">
        <v>15630</v>
      </c>
      <c r="C1419" s="44" t="s">
        <v>390</v>
      </c>
      <c r="D1419" s="45">
        <v>6.3</v>
      </c>
      <c r="E1419" s="48" t="s">
        <v>124</v>
      </c>
      <c r="F1419" s="48" t="s">
        <v>128</v>
      </c>
      <c r="G1419" s="48" t="s">
        <v>91</v>
      </c>
      <c r="J1419" s="44">
        <f>YEAR(A1419)</f>
        <v>2023</v>
      </c>
    </row>
    <row r="1420" spans="1:10" ht="12" customHeight="1" x14ac:dyDescent="0.25">
      <c r="A1420" s="43">
        <v>45094</v>
      </c>
      <c r="B1420" s="47">
        <v>15630</v>
      </c>
      <c r="C1420" s="44" t="s">
        <v>390</v>
      </c>
      <c r="D1420" s="45">
        <v>-6.3</v>
      </c>
      <c r="E1420" s="48" t="s">
        <v>299</v>
      </c>
      <c r="F1420" s="48" t="s">
        <v>90</v>
      </c>
      <c r="G1420" s="48" t="s">
        <v>91</v>
      </c>
      <c r="H1420" s="44" t="s">
        <v>391</v>
      </c>
      <c r="I1420" s="44" t="s">
        <v>785</v>
      </c>
      <c r="J1420" s="44">
        <f>YEAR(A1420)</f>
        <v>2023</v>
      </c>
    </row>
    <row r="1421" spans="1:10" ht="12" customHeight="1" x14ac:dyDescent="0.25">
      <c r="A1421" s="43">
        <v>45094</v>
      </c>
      <c r="B1421" s="47">
        <v>15630</v>
      </c>
      <c r="C1421" s="44" t="s">
        <v>393</v>
      </c>
      <c r="D1421" s="45">
        <v>16.100000000000001</v>
      </c>
      <c r="E1421" s="48" t="s">
        <v>124</v>
      </c>
      <c r="F1421" s="48" t="s">
        <v>128</v>
      </c>
      <c r="G1421" s="48" t="s">
        <v>91</v>
      </c>
      <c r="J1421" s="44">
        <f>YEAR(A1421)</f>
        <v>2023</v>
      </c>
    </row>
    <row r="1422" spans="1:10" ht="12" customHeight="1" x14ac:dyDescent="0.25">
      <c r="A1422" s="43">
        <v>45094</v>
      </c>
      <c r="B1422" s="47">
        <v>15630</v>
      </c>
      <c r="C1422" s="44" t="s">
        <v>393</v>
      </c>
      <c r="D1422" s="45">
        <v>-16.100000000000001</v>
      </c>
      <c r="E1422" s="48" t="s">
        <v>299</v>
      </c>
      <c r="F1422" s="48" t="s">
        <v>90</v>
      </c>
      <c r="G1422" s="48" t="s">
        <v>91</v>
      </c>
      <c r="H1422" s="44" t="s">
        <v>391</v>
      </c>
      <c r="I1422" s="44" t="s">
        <v>785</v>
      </c>
      <c r="J1422" s="44">
        <f>YEAR(A1422)</f>
        <v>2023</v>
      </c>
    </row>
    <row r="1423" spans="1:10" ht="12" customHeight="1" x14ac:dyDescent="0.25">
      <c r="A1423" s="43">
        <v>45094</v>
      </c>
      <c r="B1423" s="47">
        <v>15630</v>
      </c>
      <c r="C1423" s="44" t="s">
        <v>394</v>
      </c>
      <c r="D1423" s="45">
        <v>0.49</v>
      </c>
      <c r="E1423" s="48" t="s">
        <v>124</v>
      </c>
      <c r="F1423" s="48" t="s">
        <v>128</v>
      </c>
      <c r="G1423" s="48" t="s">
        <v>91</v>
      </c>
      <c r="J1423" s="44">
        <f>YEAR(A1423)</f>
        <v>2023</v>
      </c>
    </row>
    <row r="1424" spans="1:10" ht="12" customHeight="1" x14ac:dyDescent="0.25">
      <c r="A1424" s="43">
        <v>45094</v>
      </c>
      <c r="B1424" s="47">
        <v>15630</v>
      </c>
      <c r="C1424" s="44" t="s">
        <v>394</v>
      </c>
      <c r="D1424" s="45">
        <v>-0.49</v>
      </c>
      <c r="E1424" s="48" t="s">
        <v>299</v>
      </c>
      <c r="F1424" s="48" t="s">
        <v>90</v>
      </c>
      <c r="G1424" s="48" t="s">
        <v>91</v>
      </c>
      <c r="H1424" s="44" t="s">
        <v>391</v>
      </c>
      <c r="I1424" s="44" t="s">
        <v>785</v>
      </c>
      <c r="J1424" s="44">
        <f>YEAR(A1424)</f>
        <v>2023</v>
      </c>
    </row>
    <row r="1425" spans="1:10" ht="12" customHeight="1" x14ac:dyDescent="0.25">
      <c r="A1425" s="43">
        <v>45094</v>
      </c>
      <c r="B1425" s="47">
        <v>15630</v>
      </c>
      <c r="C1425" s="44" t="s">
        <v>395</v>
      </c>
      <c r="D1425" s="45">
        <v>0.7</v>
      </c>
      <c r="E1425" s="48" t="s">
        <v>124</v>
      </c>
      <c r="F1425" s="48" t="s">
        <v>128</v>
      </c>
      <c r="G1425" s="48" t="s">
        <v>91</v>
      </c>
      <c r="J1425" s="44">
        <f>YEAR(A1425)</f>
        <v>2023</v>
      </c>
    </row>
    <row r="1426" spans="1:10" ht="12" customHeight="1" x14ac:dyDescent="0.25">
      <c r="A1426" s="43">
        <v>45094</v>
      </c>
      <c r="B1426" s="47">
        <v>15630</v>
      </c>
      <c r="C1426" s="44" t="s">
        <v>395</v>
      </c>
      <c r="D1426" s="45">
        <v>-0.7</v>
      </c>
      <c r="E1426" s="48" t="s">
        <v>299</v>
      </c>
      <c r="F1426" s="48" t="s">
        <v>90</v>
      </c>
      <c r="G1426" s="48" t="s">
        <v>91</v>
      </c>
      <c r="H1426" s="44" t="s">
        <v>391</v>
      </c>
      <c r="I1426" s="44" t="s">
        <v>785</v>
      </c>
      <c r="J1426" s="44">
        <f>YEAR(A1426)</f>
        <v>2023</v>
      </c>
    </row>
    <row r="1427" spans="1:10" ht="12" customHeight="1" x14ac:dyDescent="0.25">
      <c r="A1427" s="43">
        <v>45134</v>
      </c>
      <c r="B1427" s="47">
        <v>15631</v>
      </c>
      <c r="C1427" s="44" t="s">
        <v>396</v>
      </c>
      <c r="D1427" s="45">
        <v>31.39</v>
      </c>
      <c r="E1427" s="48" t="s">
        <v>157</v>
      </c>
      <c r="F1427" s="48" t="s">
        <v>155</v>
      </c>
      <c r="G1427" s="48" t="s">
        <v>94</v>
      </c>
      <c r="J1427" s="44">
        <f>YEAR(A1427)</f>
        <v>2023</v>
      </c>
    </row>
    <row r="1428" spans="1:10" ht="12" customHeight="1" x14ac:dyDescent="0.25">
      <c r="A1428" s="43">
        <v>45134</v>
      </c>
      <c r="B1428" s="47">
        <v>15631</v>
      </c>
      <c r="C1428" s="44" t="s">
        <v>396</v>
      </c>
      <c r="D1428" s="45">
        <v>-31.39</v>
      </c>
      <c r="E1428" s="48" t="s">
        <v>299</v>
      </c>
      <c r="F1428" s="48" t="s">
        <v>90</v>
      </c>
      <c r="G1428" s="48" t="s">
        <v>91</v>
      </c>
      <c r="H1428" s="44" t="s">
        <v>391</v>
      </c>
      <c r="I1428" s="44" t="s">
        <v>785</v>
      </c>
      <c r="J1428" s="44">
        <f>YEAR(A1428)</f>
        <v>2023</v>
      </c>
    </row>
    <row r="1429" spans="1:10" ht="12" customHeight="1" x14ac:dyDescent="0.25">
      <c r="A1429" s="43">
        <v>45104</v>
      </c>
      <c r="B1429" s="47">
        <v>15632</v>
      </c>
      <c r="C1429" s="44" t="s">
        <v>787</v>
      </c>
      <c r="D1429" s="45">
        <v>19.989999999999998</v>
      </c>
      <c r="E1429" s="48" t="s">
        <v>157</v>
      </c>
      <c r="F1429" s="48" t="s">
        <v>155</v>
      </c>
      <c r="G1429" s="48" t="s">
        <v>99</v>
      </c>
      <c r="J1429" s="44">
        <f>YEAR(A1429)</f>
        <v>2023</v>
      </c>
    </row>
    <row r="1430" spans="1:10" ht="12" customHeight="1" x14ac:dyDescent="0.25">
      <c r="A1430" s="43">
        <v>45104</v>
      </c>
      <c r="B1430" s="47">
        <v>15632</v>
      </c>
      <c r="C1430" s="44" t="s">
        <v>787</v>
      </c>
      <c r="D1430" s="45">
        <v>-19.989999999999998</v>
      </c>
      <c r="E1430" s="48" t="s">
        <v>299</v>
      </c>
      <c r="F1430" s="48" t="s">
        <v>90</v>
      </c>
      <c r="G1430" s="48" t="s">
        <v>91</v>
      </c>
      <c r="H1430" s="44" t="s">
        <v>391</v>
      </c>
      <c r="I1430" s="44" t="s">
        <v>785</v>
      </c>
      <c r="J1430" s="44">
        <f>YEAR(A1430)</f>
        <v>2023</v>
      </c>
    </row>
    <row r="1431" spans="1:10" ht="12" customHeight="1" x14ac:dyDescent="0.25">
      <c r="A1431" s="43">
        <v>45110</v>
      </c>
      <c r="B1431" s="47">
        <v>15633</v>
      </c>
      <c r="C1431" s="44" t="s">
        <v>400</v>
      </c>
      <c r="D1431" s="45">
        <v>19.989999999999998</v>
      </c>
      <c r="E1431" s="48" t="s">
        <v>157</v>
      </c>
      <c r="F1431" s="48" t="s">
        <v>155</v>
      </c>
      <c r="G1431" s="48" t="s">
        <v>95</v>
      </c>
      <c r="J1431" s="44">
        <f>YEAR(A1431)</f>
        <v>2023</v>
      </c>
    </row>
    <row r="1432" spans="1:10" ht="12" customHeight="1" x14ac:dyDescent="0.25">
      <c r="A1432" s="43">
        <v>45110</v>
      </c>
      <c r="B1432" s="47">
        <v>15633</v>
      </c>
      <c r="C1432" s="44" t="s">
        <v>400</v>
      </c>
      <c r="D1432" s="45">
        <v>-19.989999999999998</v>
      </c>
      <c r="E1432" s="48" t="s">
        <v>299</v>
      </c>
      <c r="F1432" s="48" t="s">
        <v>90</v>
      </c>
      <c r="G1432" s="48" t="s">
        <v>91</v>
      </c>
      <c r="H1432" s="44" t="s">
        <v>391</v>
      </c>
      <c r="I1432" s="44" t="s">
        <v>785</v>
      </c>
      <c r="J1432" s="44">
        <f>YEAR(A1432)</f>
        <v>2023</v>
      </c>
    </row>
    <row r="1433" spans="1:10" ht="12" customHeight="1" x14ac:dyDescent="0.25">
      <c r="A1433" s="43">
        <v>45110</v>
      </c>
      <c r="B1433" s="47">
        <v>15633</v>
      </c>
      <c r="C1433" s="44" t="s">
        <v>399</v>
      </c>
      <c r="D1433" s="45">
        <v>19.989999999999998</v>
      </c>
      <c r="E1433" s="48" t="s">
        <v>157</v>
      </c>
      <c r="F1433" s="48" t="s">
        <v>155</v>
      </c>
      <c r="G1433" s="48" t="s">
        <v>98</v>
      </c>
      <c r="J1433" s="44">
        <f>YEAR(A1433)</f>
        <v>2023</v>
      </c>
    </row>
    <row r="1434" spans="1:10" ht="12" customHeight="1" x14ac:dyDescent="0.25">
      <c r="A1434" s="43">
        <v>45110</v>
      </c>
      <c r="B1434" s="47">
        <v>15633</v>
      </c>
      <c r="C1434" s="44" t="s">
        <v>399</v>
      </c>
      <c r="D1434" s="45">
        <v>-19.989999999999998</v>
      </c>
      <c r="E1434" s="48" t="s">
        <v>299</v>
      </c>
      <c r="F1434" s="48" t="s">
        <v>90</v>
      </c>
      <c r="G1434" s="48" t="s">
        <v>91</v>
      </c>
      <c r="H1434" s="44" t="s">
        <v>391</v>
      </c>
      <c r="I1434" s="44" t="s">
        <v>785</v>
      </c>
      <c r="J1434" s="44">
        <f>YEAR(A1434)</f>
        <v>2023</v>
      </c>
    </row>
    <row r="1435" spans="1:10" ht="12" customHeight="1" x14ac:dyDescent="0.25">
      <c r="A1435" s="43">
        <v>45098</v>
      </c>
      <c r="B1435" s="47">
        <v>15634</v>
      </c>
      <c r="C1435" s="44" t="s">
        <v>225</v>
      </c>
      <c r="D1435" s="45">
        <v>-23</v>
      </c>
      <c r="E1435" s="48" t="s">
        <v>222</v>
      </c>
      <c r="F1435" s="48" t="s">
        <v>90</v>
      </c>
      <c r="G1435" s="48" t="s">
        <v>225</v>
      </c>
      <c r="J1435" s="44">
        <f>YEAR(A1435)</f>
        <v>2023</v>
      </c>
    </row>
    <row r="1436" spans="1:10" ht="12" customHeight="1" x14ac:dyDescent="0.25">
      <c r="A1436" s="43">
        <v>45098</v>
      </c>
      <c r="B1436" s="47">
        <v>15634</v>
      </c>
      <c r="C1436" s="44" t="s">
        <v>225</v>
      </c>
      <c r="D1436" s="45">
        <v>23</v>
      </c>
      <c r="E1436" s="48" t="s">
        <v>299</v>
      </c>
      <c r="F1436" s="48" t="s">
        <v>90</v>
      </c>
      <c r="G1436" s="48" t="s">
        <v>91</v>
      </c>
      <c r="H1436" s="44" t="s">
        <v>398</v>
      </c>
      <c r="I1436" s="44" t="s">
        <v>786</v>
      </c>
      <c r="J1436" s="44">
        <f>YEAR(A1436)</f>
        <v>2023</v>
      </c>
    </row>
    <row r="1437" spans="1:10" ht="12" customHeight="1" x14ac:dyDescent="0.25">
      <c r="A1437" s="43">
        <v>45096</v>
      </c>
      <c r="B1437" s="47">
        <v>15635</v>
      </c>
      <c r="C1437" s="44" t="s">
        <v>405</v>
      </c>
      <c r="D1437" s="45">
        <v>-38.97</v>
      </c>
      <c r="E1437" s="48" t="s">
        <v>299</v>
      </c>
      <c r="F1437" s="48" t="s">
        <v>90</v>
      </c>
      <c r="G1437" s="48" t="s">
        <v>91</v>
      </c>
      <c r="H1437" s="44" t="s">
        <v>391</v>
      </c>
      <c r="I1437" s="44" t="s">
        <v>785</v>
      </c>
      <c r="J1437" s="44">
        <f>YEAR(A1437)</f>
        <v>2023</v>
      </c>
    </row>
    <row r="1438" spans="1:10" ht="12" customHeight="1" x14ac:dyDescent="0.25">
      <c r="A1438" s="43">
        <v>45096</v>
      </c>
      <c r="B1438" s="47">
        <v>15635</v>
      </c>
      <c r="C1438" s="44" t="s">
        <v>405</v>
      </c>
      <c r="D1438" s="45">
        <v>38.97</v>
      </c>
      <c r="E1438" s="48" t="s">
        <v>157</v>
      </c>
      <c r="F1438" s="48" t="s">
        <v>137</v>
      </c>
      <c r="G1438" s="48" t="s">
        <v>115</v>
      </c>
      <c r="J1438" s="44">
        <f>YEAR(A1438)</f>
        <v>2023</v>
      </c>
    </row>
    <row r="1439" spans="1:10" ht="12" customHeight="1" x14ac:dyDescent="0.25">
      <c r="A1439" s="43">
        <v>45103</v>
      </c>
      <c r="B1439" s="47">
        <v>15636</v>
      </c>
      <c r="C1439" s="44" t="s">
        <v>403</v>
      </c>
      <c r="D1439" s="45">
        <v>-89.34</v>
      </c>
      <c r="E1439" s="48" t="s">
        <v>299</v>
      </c>
      <c r="F1439" s="48" t="s">
        <v>90</v>
      </c>
      <c r="G1439" s="48" t="s">
        <v>91</v>
      </c>
      <c r="H1439" s="44" t="s">
        <v>391</v>
      </c>
      <c r="I1439" s="44" t="s">
        <v>785</v>
      </c>
      <c r="J1439" s="44">
        <f>YEAR(A1439)</f>
        <v>2023</v>
      </c>
    </row>
    <row r="1440" spans="1:10" ht="12" customHeight="1" x14ac:dyDescent="0.25">
      <c r="A1440" s="43">
        <v>45103</v>
      </c>
      <c r="B1440" s="47">
        <v>15636</v>
      </c>
      <c r="C1440" s="44" t="s">
        <v>403</v>
      </c>
      <c r="D1440" s="45">
        <v>89.34</v>
      </c>
      <c r="E1440" s="48" t="s">
        <v>157</v>
      </c>
      <c r="F1440" s="48" t="s">
        <v>137</v>
      </c>
      <c r="G1440" s="48" t="s">
        <v>91</v>
      </c>
      <c r="J1440" s="44">
        <f>YEAR(A1440)</f>
        <v>2023</v>
      </c>
    </row>
    <row r="1441" spans="1:11" ht="12" customHeight="1" x14ac:dyDescent="0.25">
      <c r="A1441" s="43">
        <v>45104</v>
      </c>
      <c r="B1441" s="47">
        <v>15637</v>
      </c>
      <c r="C1441" s="44" t="s">
        <v>404</v>
      </c>
      <c r="D1441" s="45">
        <v>-81.38</v>
      </c>
      <c r="E1441" s="48" t="s">
        <v>299</v>
      </c>
      <c r="F1441" s="48" t="s">
        <v>90</v>
      </c>
      <c r="G1441" s="48" t="s">
        <v>91</v>
      </c>
      <c r="H1441" s="44" t="s">
        <v>391</v>
      </c>
      <c r="I1441" s="44" t="s">
        <v>785</v>
      </c>
      <c r="J1441" s="44">
        <f>YEAR(A1441)</f>
        <v>2023</v>
      </c>
    </row>
    <row r="1442" spans="1:11" ht="12" customHeight="1" x14ac:dyDescent="0.25">
      <c r="A1442" s="43">
        <v>45104</v>
      </c>
      <c r="B1442" s="47">
        <v>15637</v>
      </c>
      <c r="C1442" s="44" t="s">
        <v>404</v>
      </c>
      <c r="D1442" s="45">
        <v>81.38</v>
      </c>
      <c r="E1442" s="48" t="s">
        <v>157</v>
      </c>
      <c r="F1442" s="48" t="s">
        <v>137</v>
      </c>
      <c r="G1442" s="48" t="s">
        <v>91</v>
      </c>
      <c r="J1442" s="44">
        <f>YEAR(A1442)</f>
        <v>2023</v>
      </c>
    </row>
    <row r="1443" spans="1:11" ht="12" customHeight="1" x14ac:dyDescent="0.25">
      <c r="A1443" s="43">
        <v>45098</v>
      </c>
      <c r="B1443" s="47">
        <v>15638</v>
      </c>
      <c r="C1443" s="44" t="s">
        <v>407</v>
      </c>
      <c r="D1443" s="45">
        <v>14.99</v>
      </c>
      <c r="E1443" s="48" t="s">
        <v>157</v>
      </c>
      <c r="F1443" s="48" t="s">
        <v>116</v>
      </c>
      <c r="G1443" s="48" t="s">
        <v>91</v>
      </c>
      <c r="J1443" s="44">
        <f>YEAR(A1443)</f>
        <v>2023</v>
      </c>
    </row>
    <row r="1444" spans="1:11" ht="12" customHeight="1" x14ac:dyDescent="0.25">
      <c r="A1444" s="43">
        <v>45098</v>
      </c>
      <c r="B1444" s="47">
        <v>15638</v>
      </c>
      <c r="C1444" s="44" t="s">
        <v>407</v>
      </c>
      <c r="D1444" s="45">
        <v>-14.99</v>
      </c>
      <c r="E1444" s="48" t="s">
        <v>299</v>
      </c>
      <c r="F1444" s="48" t="s">
        <v>90</v>
      </c>
      <c r="G1444" s="48" t="s">
        <v>91</v>
      </c>
      <c r="H1444" s="44" t="s">
        <v>391</v>
      </c>
      <c r="I1444" s="44" t="s">
        <v>785</v>
      </c>
      <c r="J1444" s="44">
        <f>YEAR(A1444)</f>
        <v>2023</v>
      </c>
    </row>
    <row r="1445" spans="1:11" ht="12" customHeight="1" x14ac:dyDescent="0.25">
      <c r="A1445" s="43">
        <v>45114</v>
      </c>
      <c r="B1445" s="47">
        <v>15639</v>
      </c>
      <c r="C1445" s="44" t="s">
        <v>440</v>
      </c>
      <c r="D1445" s="45">
        <v>282.66000000000003</v>
      </c>
      <c r="E1445" s="48" t="s">
        <v>124</v>
      </c>
      <c r="F1445" s="48" t="s">
        <v>90</v>
      </c>
      <c r="G1445" s="48" t="s">
        <v>91</v>
      </c>
      <c r="J1445" s="44">
        <f>YEAR(A1445)</f>
        <v>2023</v>
      </c>
    </row>
    <row r="1446" spans="1:11" ht="12" customHeight="1" x14ac:dyDescent="0.25">
      <c r="A1446" s="43">
        <v>45114</v>
      </c>
      <c r="B1446" s="47">
        <v>15639</v>
      </c>
      <c r="C1446" s="44" t="s">
        <v>440</v>
      </c>
      <c r="D1446" s="45">
        <v>-282.66000000000003</v>
      </c>
      <c r="E1446" s="48" t="s">
        <v>299</v>
      </c>
      <c r="F1446" s="48" t="s">
        <v>90</v>
      </c>
      <c r="G1446" s="48" t="s">
        <v>91</v>
      </c>
      <c r="H1446" s="44" t="s">
        <v>391</v>
      </c>
      <c r="I1446" s="44" t="s">
        <v>785</v>
      </c>
      <c r="J1446" s="44">
        <f>YEAR(A1446)</f>
        <v>2023</v>
      </c>
    </row>
    <row r="1447" spans="1:11" ht="12" customHeight="1" x14ac:dyDescent="0.25">
      <c r="A1447" s="43">
        <v>45117</v>
      </c>
      <c r="B1447" s="47">
        <v>15640</v>
      </c>
      <c r="C1447" s="44" t="s">
        <v>606</v>
      </c>
      <c r="D1447" s="45">
        <v>247</v>
      </c>
      <c r="E1447" s="48" t="s">
        <v>222</v>
      </c>
      <c r="F1447" s="48" t="s">
        <v>90</v>
      </c>
      <c r="G1447" s="48" t="s">
        <v>577</v>
      </c>
      <c r="J1447" s="44">
        <f>YEAR(A1447)</f>
        <v>2023</v>
      </c>
    </row>
    <row r="1448" spans="1:11" ht="12" customHeight="1" x14ac:dyDescent="0.25">
      <c r="A1448" s="43">
        <v>45117</v>
      </c>
      <c r="B1448" s="47">
        <v>15640</v>
      </c>
      <c r="C1448" s="44" t="s">
        <v>606</v>
      </c>
      <c r="D1448" s="45">
        <v>-247</v>
      </c>
      <c r="E1448" s="48" t="s">
        <v>299</v>
      </c>
      <c r="F1448" s="48" t="s">
        <v>90</v>
      </c>
      <c r="G1448" s="48" t="s">
        <v>91</v>
      </c>
      <c r="H1448" s="44" t="s">
        <v>391</v>
      </c>
      <c r="I1448" s="44" t="s">
        <v>785</v>
      </c>
      <c r="J1448" s="44">
        <f>YEAR(A1448)</f>
        <v>2023</v>
      </c>
    </row>
    <row r="1449" spans="1:11" ht="12" customHeight="1" x14ac:dyDescent="0.25">
      <c r="A1449" s="43">
        <v>45105</v>
      </c>
      <c r="B1449" s="47">
        <v>15641</v>
      </c>
      <c r="C1449" s="44" t="s">
        <v>560</v>
      </c>
      <c r="D1449" s="45">
        <v>-375.72</v>
      </c>
      <c r="E1449" s="48" t="s">
        <v>214</v>
      </c>
      <c r="F1449" s="48" t="s">
        <v>128</v>
      </c>
      <c r="G1449" s="48" t="s">
        <v>99</v>
      </c>
      <c r="J1449" s="44">
        <f>YEAR(A1449)</f>
        <v>2023</v>
      </c>
    </row>
    <row r="1450" spans="1:11" ht="12" customHeight="1" x14ac:dyDescent="0.25">
      <c r="A1450" s="43">
        <v>45105</v>
      </c>
      <c r="B1450" s="47">
        <v>15641</v>
      </c>
      <c r="C1450" s="44" t="s">
        <v>560</v>
      </c>
      <c r="D1450" s="45">
        <v>59.12</v>
      </c>
      <c r="E1450" s="48" t="s">
        <v>110</v>
      </c>
      <c r="F1450" s="48" t="s">
        <v>90</v>
      </c>
      <c r="G1450" s="48" t="s">
        <v>91</v>
      </c>
      <c r="J1450" s="44">
        <f>YEAR(A1450)</f>
        <v>2023</v>
      </c>
    </row>
    <row r="1451" spans="1:11" ht="12" customHeight="1" x14ac:dyDescent="0.25">
      <c r="A1451" s="43">
        <v>45105</v>
      </c>
      <c r="B1451" s="47">
        <v>15641</v>
      </c>
      <c r="C1451" s="44" t="s">
        <v>560</v>
      </c>
      <c r="D1451" s="45">
        <v>316.60000000000002</v>
      </c>
      <c r="E1451" s="48" t="s">
        <v>299</v>
      </c>
      <c r="F1451" s="48" t="s">
        <v>90</v>
      </c>
      <c r="G1451" s="48" t="s">
        <v>91</v>
      </c>
      <c r="H1451" s="44" t="s">
        <v>398</v>
      </c>
      <c r="I1451" s="44" t="s">
        <v>786</v>
      </c>
      <c r="J1451" s="44">
        <f>YEAR(A1451)</f>
        <v>2023</v>
      </c>
    </row>
    <row r="1452" spans="1:11" ht="12" customHeight="1" x14ac:dyDescent="0.25">
      <c r="A1452" s="43">
        <v>45112</v>
      </c>
      <c r="B1452" s="47">
        <v>15642</v>
      </c>
      <c r="C1452" s="44" t="s">
        <v>410</v>
      </c>
      <c r="D1452" s="45">
        <v>-715.89</v>
      </c>
      <c r="E1452" s="48" t="s">
        <v>214</v>
      </c>
      <c r="F1452" s="48" t="s">
        <v>128</v>
      </c>
      <c r="G1452" s="48" t="s">
        <v>99</v>
      </c>
      <c r="J1452" s="44">
        <f>YEAR(A1452)</f>
        <v>2023</v>
      </c>
    </row>
    <row r="1453" spans="1:11" ht="12" customHeight="1" x14ac:dyDescent="0.25">
      <c r="A1453" s="43">
        <v>45112</v>
      </c>
      <c r="B1453" s="47">
        <v>15642</v>
      </c>
      <c r="C1453" s="44" t="s">
        <v>411</v>
      </c>
      <c r="D1453" s="45">
        <v>112.65</v>
      </c>
      <c r="E1453" s="48" t="s">
        <v>110</v>
      </c>
      <c r="F1453" s="48" t="s">
        <v>90</v>
      </c>
      <c r="G1453" s="48" t="s">
        <v>91</v>
      </c>
      <c r="J1453" s="44">
        <f>YEAR(A1453)</f>
        <v>2023</v>
      </c>
    </row>
    <row r="1454" spans="1:11" ht="12" customHeight="1" x14ac:dyDescent="0.25">
      <c r="A1454" s="43">
        <v>45112</v>
      </c>
      <c r="B1454" s="47">
        <v>15642</v>
      </c>
      <c r="C1454" s="44" t="s">
        <v>410</v>
      </c>
      <c r="D1454" s="45">
        <v>603.24</v>
      </c>
      <c r="E1454" s="48" t="s">
        <v>299</v>
      </c>
      <c r="F1454" s="48" t="s">
        <v>90</v>
      </c>
      <c r="G1454" s="48" t="s">
        <v>91</v>
      </c>
      <c r="H1454" s="44" t="s">
        <v>398</v>
      </c>
      <c r="I1454" s="44" t="s">
        <v>786</v>
      </c>
      <c r="J1454" s="44">
        <f>YEAR(A1454)</f>
        <v>2023</v>
      </c>
    </row>
    <row r="1455" spans="1:11" ht="12" customHeight="1" x14ac:dyDescent="0.25">
      <c r="A1455" s="43">
        <v>45114</v>
      </c>
      <c r="B1455" s="47">
        <v>15643</v>
      </c>
      <c r="C1455" s="44" t="s">
        <v>788</v>
      </c>
      <c r="D1455" s="45">
        <v>-40</v>
      </c>
      <c r="E1455" s="48" t="s">
        <v>145</v>
      </c>
      <c r="F1455" s="48" t="s">
        <v>116</v>
      </c>
      <c r="G1455" s="48" t="s">
        <v>95</v>
      </c>
      <c r="J1455" s="44">
        <f>YEAR(A1455)</f>
        <v>2023</v>
      </c>
      <c r="K1455" s="49" t="s">
        <v>793</v>
      </c>
    </row>
    <row r="1456" spans="1:11" ht="11.5" customHeight="1" x14ac:dyDescent="0.25">
      <c r="A1456" s="43">
        <v>45114</v>
      </c>
      <c r="B1456" s="47">
        <v>15643</v>
      </c>
      <c r="C1456" s="44" t="s">
        <v>788</v>
      </c>
      <c r="D1456" s="45">
        <v>40</v>
      </c>
      <c r="E1456" s="48" t="s">
        <v>299</v>
      </c>
      <c r="F1456" s="48" t="s">
        <v>90</v>
      </c>
      <c r="G1456" s="48" t="s">
        <v>91</v>
      </c>
      <c r="H1456" s="44" t="s">
        <v>398</v>
      </c>
      <c r="I1456" s="44" t="s">
        <v>786</v>
      </c>
      <c r="J1456" s="44">
        <f>YEAR(A1456)</f>
        <v>2023</v>
      </c>
    </row>
    <row r="1457" spans="1:10" ht="12" customHeight="1" x14ac:dyDescent="0.25">
      <c r="A1457" s="43">
        <v>45123</v>
      </c>
      <c r="B1457" s="47">
        <v>15644</v>
      </c>
      <c r="C1457" s="152" t="s">
        <v>789</v>
      </c>
      <c r="D1457" s="45">
        <v>-1000</v>
      </c>
      <c r="E1457" s="48" t="s">
        <v>299</v>
      </c>
      <c r="F1457" s="48" t="s">
        <v>90</v>
      </c>
      <c r="G1457" s="48" t="s">
        <v>91</v>
      </c>
      <c r="H1457" s="44">
        <v>4014</v>
      </c>
      <c r="I1457" s="44" t="s">
        <v>812</v>
      </c>
      <c r="J1457" s="44">
        <f>YEAR(A1457)</f>
        <v>2023</v>
      </c>
    </row>
    <row r="1458" spans="1:10" ht="12" customHeight="1" x14ac:dyDescent="0.25">
      <c r="A1458" s="43">
        <v>45123</v>
      </c>
      <c r="B1458" s="47">
        <v>15644</v>
      </c>
      <c r="C1458" s="152" t="s">
        <v>789</v>
      </c>
      <c r="D1458" s="45">
        <v>500</v>
      </c>
      <c r="E1458" s="48" t="s">
        <v>145</v>
      </c>
      <c r="F1458" s="48" t="s">
        <v>135</v>
      </c>
      <c r="G1458" s="48" t="s">
        <v>91</v>
      </c>
      <c r="J1458" s="44">
        <f>YEAR(A1458)</f>
        <v>2023</v>
      </c>
    </row>
    <row r="1459" spans="1:10" ht="12" customHeight="1" x14ac:dyDescent="0.25">
      <c r="A1459" s="43">
        <v>45123</v>
      </c>
      <c r="B1459" s="47">
        <v>15644</v>
      </c>
      <c r="C1459" s="152" t="s">
        <v>789</v>
      </c>
      <c r="D1459" s="45">
        <v>500</v>
      </c>
      <c r="E1459" s="48" t="s">
        <v>299</v>
      </c>
      <c r="F1459" s="48" t="s">
        <v>321</v>
      </c>
      <c r="G1459" s="48" t="s">
        <v>99</v>
      </c>
      <c r="I1459" s="44">
        <v>20230723</v>
      </c>
      <c r="J1459" s="44">
        <f>YEAR(A1459)</f>
        <v>2023</v>
      </c>
    </row>
    <row r="1460" spans="1:10" ht="12" customHeight="1" x14ac:dyDescent="0.25">
      <c r="A1460" s="43">
        <v>45124</v>
      </c>
      <c r="B1460" s="47">
        <v>15645</v>
      </c>
      <c r="C1460" s="44" t="s">
        <v>790</v>
      </c>
      <c r="D1460" s="45">
        <v>-30</v>
      </c>
      <c r="E1460" s="48" t="s">
        <v>299</v>
      </c>
      <c r="F1460" s="48" t="s">
        <v>90</v>
      </c>
      <c r="G1460" s="48" t="s">
        <v>91</v>
      </c>
      <c r="H1460" s="44">
        <v>4015</v>
      </c>
      <c r="I1460" s="44" t="s">
        <v>812</v>
      </c>
      <c r="J1460" s="44">
        <f>YEAR(A1460)</f>
        <v>2023</v>
      </c>
    </row>
    <row r="1461" spans="1:10" ht="12" customHeight="1" x14ac:dyDescent="0.25">
      <c r="A1461" s="43">
        <v>45124</v>
      </c>
      <c r="B1461" s="47">
        <v>15645</v>
      </c>
      <c r="C1461" s="44" t="s">
        <v>790</v>
      </c>
      <c r="D1461" s="45">
        <v>30</v>
      </c>
      <c r="E1461" s="48" t="s">
        <v>197</v>
      </c>
      <c r="F1461" s="48" t="s">
        <v>90</v>
      </c>
      <c r="G1461" s="48" t="s">
        <v>99</v>
      </c>
      <c r="J1461" s="44">
        <f>YEAR(A1461)</f>
        <v>2023</v>
      </c>
    </row>
    <row r="1462" spans="1:10" ht="12" customHeight="1" x14ac:dyDescent="0.25">
      <c r="A1462" s="43">
        <v>45127</v>
      </c>
      <c r="B1462" s="47">
        <v>15646</v>
      </c>
      <c r="C1462" s="44" t="s">
        <v>738</v>
      </c>
      <c r="D1462" s="45">
        <v>-6.3</v>
      </c>
      <c r="E1462" s="48" t="s">
        <v>299</v>
      </c>
      <c r="F1462" s="48" t="s">
        <v>90</v>
      </c>
      <c r="G1462" s="48" t="s">
        <v>91</v>
      </c>
      <c r="H1462" s="44">
        <v>4016</v>
      </c>
      <c r="I1462" s="44" t="s">
        <v>812</v>
      </c>
      <c r="J1462" s="44">
        <f>YEAR(A1462)</f>
        <v>2023</v>
      </c>
    </row>
    <row r="1463" spans="1:10" ht="12" customHeight="1" x14ac:dyDescent="0.25">
      <c r="A1463" s="43">
        <v>45127</v>
      </c>
      <c r="B1463" s="47">
        <v>15646</v>
      </c>
      <c r="C1463" s="44" t="s">
        <v>738</v>
      </c>
      <c r="D1463" s="45">
        <v>6.3</v>
      </c>
      <c r="E1463" s="48" t="s">
        <v>197</v>
      </c>
      <c r="F1463" s="48" t="s">
        <v>90</v>
      </c>
      <c r="G1463" s="48" t="s">
        <v>99</v>
      </c>
      <c r="J1463" s="44">
        <f>YEAR(A1463)</f>
        <v>2023</v>
      </c>
    </row>
    <row r="1464" spans="1:10" ht="12" customHeight="1" x14ac:dyDescent="0.25">
      <c r="A1464" s="43">
        <v>45127</v>
      </c>
      <c r="B1464" s="47">
        <v>15647</v>
      </c>
      <c r="C1464" s="44" t="s">
        <v>511</v>
      </c>
      <c r="D1464" s="45">
        <v>-216.2</v>
      </c>
      <c r="E1464" s="48" t="s">
        <v>299</v>
      </c>
      <c r="F1464" s="48" t="s">
        <v>90</v>
      </c>
      <c r="G1464" s="48" t="s">
        <v>91</v>
      </c>
      <c r="H1464" s="44">
        <v>4017</v>
      </c>
      <c r="I1464" s="44" t="s">
        <v>812</v>
      </c>
      <c r="J1464" s="44">
        <f>YEAR(A1464)</f>
        <v>2023</v>
      </c>
    </row>
    <row r="1465" spans="1:10" ht="12" customHeight="1" x14ac:dyDescent="0.25">
      <c r="A1465" s="43">
        <v>45127</v>
      </c>
      <c r="B1465" s="47">
        <v>15647</v>
      </c>
      <c r="C1465" s="44" t="s">
        <v>511</v>
      </c>
      <c r="D1465" s="45">
        <v>216.2</v>
      </c>
      <c r="E1465" s="48" t="s">
        <v>197</v>
      </c>
      <c r="F1465" s="48" t="s">
        <v>90</v>
      </c>
      <c r="G1465" s="48" t="s">
        <v>99</v>
      </c>
      <c r="J1465" s="44">
        <f>YEAR(A1465)</f>
        <v>2023</v>
      </c>
    </row>
    <row r="1466" spans="1:10" ht="12" customHeight="1" x14ac:dyDescent="0.25">
      <c r="A1466" s="43">
        <v>45129</v>
      </c>
      <c r="B1466" s="47">
        <v>15648</v>
      </c>
      <c r="C1466" s="44" t="s">
        <v>99</v>
      </c>
      <c r="D1466" s="45">
        <v>-10</v>
      </c>
      <c r="E1466" s="48" t="s">
        <v>299</v>
      </c>
      <c r="F1466" s="48" t="s">
        <v>90</v>
      </c>
      <c r="G1466" s="48" t="s">
        <v>91</v>
      </c>
      <c r="H1466" s="44">
        <v>4018</v>
      </c>
      <c r="I1466" s="44" t="s">
        <v>987</v>
      </c>
      <c r="J1466" s="44">
        <f>YEAR(A1466)</f>
        <v>2023</v>
      </c>
    </row>
    <row r="1467" spans="1:10" ht="12" customHeight="1" x14ac:dyDescent="0.25">
      <c r="A1467" s="43">
        <v>45129</v>
      </c>
      <c r="B1467" s="47">
        <v>15648</v>
      </c>
      <c r="C1467" s="152" t="s">
        <v>99</v>
      </c>
      <c r="D1467" s="45">
        <v>10</v>
      </c>
      <c r="E1467" s="48" t="s">
        <v>299</v>
      </c>
      <c r="F1467" s="48" t="s">
        <v>321</v>
      </c>
      <c r="G1467" s="48" t="s">
        <v>99</v>
      </c>
      <c r="I1467" s="44">
        <v>20230723</v>
      </c>
      <c r="J1467" s="44">
        <f>YEAR(A1467)</f>
        <v>2023</v>
      </c>
    </row>
    <row r="1468" spans="1:10" ht="12" customHeight="1" x14ac:dyDescent="0.25">
      <c r="A1468" s="43">
        <v>45130</v>
      </c>
      <c r="B1468" s="47">
        <v>15649</v>
      </c>
      <c r="C1468" s="44" t="s">
        <v>484</v>
      </c>
      <c r="D1468" s="45">
        <v>-22.1</v>
      </c>
      <c r="E1468" s="48" t="s">
        <v>299</v>
      </c>
      <c r="F1468" s="48" t="s">
        <v>90</v>
      </c>
      <c r="G1468" s="48" t="s">
        <v>91</v>
      </c>
      <c r="H1468" s="44">
        <v>4019</v>
      </c>
      <c r="I1468" s="44" t="s">
        <v>812</v>
      </c>
      <c r="J1468" s="44">
        <f>YEAR(A1468)</f>
        <v>2023</v>
      </c>
    </row>
    <row r="1469" spans="1:10" ht="12" customHeight="1" x14ac:dyDescent="0.25">
      <c r="A1469" s="43">
        <v>45130</v>
      </c>
      <c r="B1469" s="47">
        <v>15649</v>
      </c>
      <c r="C1469" s="44" t="s">
        <v>484</v>
      </c>
      <c r="D1469" s="45">
        <v>22.1</v>
      </c>
      <c r="E1469" s="48" t="s">
        <v>89</v>
      </c>
      <c r="F1469" s="48" t="s">
        <v>90</v>
      </c>
      <c r="G1469" s="48" t="s">
        <v>91</v>
      </c>
      <c r="J1469" s="44">
        <f>YEAR(A1469)</f>
        <v>2023</v>
      </c>
    </row>
    <row r="1470" spans="1:10" ht="12" customHeight="1" x14ac:dyDescent="0.25">
      <c r="A1470" s="43">
        <v>45126</v>
      </c>
      <c r="B1470" s="47">
        <v>15650</v>
      </c>
      <c r="C1470" s="44" t="s">
        <v>468</v>
      </c>
      <c r="D1470" s="45">
        <v>34.090000000000003</v>
      </c>
      <c r="E1470" s="48" t="s">
        <v>197</v>
      </c>
      <c r="F1470" s="48" t="s">
        <v>90</v>
      </c>
      <c r="G1470" s="48" t="s">
        <v>91</v>
      </c>
      <c r="J1470" s="44">
        <f>YEAR(A1470)</f>
        <v>2023</v>
      </c>
    </row>
    <row r="1471" spans="1:10" ht="12" customHeight="1" x14ac:dyDescent="0.25">
      <c r="A1471" s="43">
        <v>45126</v>
      </c>
      <c r="B1471" s="47">
        <v>15650</v>
      </c>
      <c r="C1471" s="44" t="s">
        <v>468</v>
      </c>
      <c r="D1471" s="45">
        <v>-34.090000000000003</v>
      </c>
      <c r="E1471" s="48" t="s">
        <v>299</v>
      </c>
      <c r="F1471" s="48" t="s">
        <v>90</v>
      </c>
      <c r="G1471" s="48" t="s">
        <v>305</v>
      </c>
      <c r="I1471" s="44" t="s">
        <v>811</v>
      </c>
      <c r="J1471" s="44">
        <f>YEAR(A1471)</f>
        <v>2023</v>
      </c>
    </row>
    <row r="1472" spans="1:10" ht="12" customHeight="1" x14ac:dyDescent="0.25">
      <c r="A1472" s="43">
        <v>45120</v>
      </c>
      <c r="B1472" s="47">
        <v>15651</v>
      </c>
      <c r="C1472" s="44" t="s">
        <v>474</v>
      </c>
      <c r="D1472" s="45">
        <v>4.9000000000000004</v>
      </c>
      <c r="E1472" s="48" t="s">
        <v>89</v>
      </c>
      <c r="F1472" s="48" t="s">
        <v>90</v>
      </c>
      <c r="G1472" s="48" t="s">
        <v>91</v>
      </c>
      <c r="J1472" s="44">
        <f>YEAR(A1472)</f>
        <v>2023</v>
      </c>
    </row>
    <row r="1473" spans="1:11" ht="12" customHeight="1" x14ac:dyDescent="0.25">
      <c r="A1473" s="43">
        <v>45121</v>
      </c>
      <c r="B1473" s="47">
        <v>15651</v>
      </c>
      <c r="C1473" s="44" t="s">
        <v>773</v>
      </c>
      <c r="D1473" s="45">
        <v>-40</v>
      </c>
      <c r="E1473" s="48" t="s">
        <v>145</v>
      </c>
      <c r="F1473" s="48" t="s">
        <v>116</v>
      </c>
      <c r="G1473" s="48" t="s">
        <v>95</v>
      </c>
      <c r="J1473" s="44">
        <f>YEAR(A1473)</f>
        <v>2023</v>
      </c>
      <c r="K1473" s="49" t="s">
        <v>793</v>
      </c>
    </row>
    <row r="1474" spans="1:11" ht="12" customHeight="1" x14ac:dyDescent="0.25">
      <c r="A1474" s="43">
        <v>45127</v>
      </c>
      <c r="B1474" s="47">
        <v>15651</v>
      </c>
      <c r="C1474" s="44" t="s">
        <v>769</v>
      </c>
      <c r="D1474" s="45">
        <v>2</v>
      </c>
      <c r="E1474" s="48" t="s">
        <v>180</v>
      </c>
      <c r="F1474" s="48" t="s">
        <v>90</v>
      </c>
      <c r="G1474" s="48" t="s">
        <v>91</v>
      </c>
      <c r="J1474" s="44">
        <f>YEAR(A1474)</f>
        <v>2023</v>
      </c>
    </row>
    <row r="1475" spans="1:11" ht="12" customHeight="1" x14ac:dyDescent="0.25">
      <c r="A1475" s="43">
        <v>45127</v>
      </c>
      <c r="B1475" s="47">
        <v>15651</v>
      </c>
      <c r="C1475" s="44" t="s">
        <v>441</v>
      </c>
      <c r="D1475" s="45">
        <v>-90.9</v>
      </c>
      <c r="E1475" s="48" t="s">
        <v>299</v>
      </c>
      <c r="F1475" s="48" t="s">
        <v>101</v>
      </c>
      <c r="G1475" s="48" t="s">
        <v>91</v>
      </c>
      <c r="J1475" s="44">
        <f>YEAR(A1475)</f>
        <v>2023</v>
      </c>
    </row>
    <row r="1476" spans="1:11" ht="12" customHeight="1" x14ac:dyDescent="0.25">
      <c r="A1476" s="43">
        <v>45128</v>
      </c>
      <c r="B1476" s="47">
        <v>15651</v>
      </c>
      <c r="C1476" s="44" t="s">
        <v>798</v>
      </c>
      <c r="D1476" s="45">
        <v>34</v>
      </c>
      <c r="E1476" s="48" t="s">
        <v>89</v>
      </c>
      <c r="F1476" s="48" t="s">
        <v>96</v>
      </c>
      <c r="G1476" s="48" t="s">
        <v>91</v>
      </c>
      <c r="J1476" s="44">
        <f>YEAR(A1476)</f>
        <v>2023</v>
      </c>
    </row>
    <row r="1477" spans="1:11" ht="12" customHeight="1" x14ac:dyDescent="0.25">
      <c r="A1477" s="43">
        <v>45129</v>
      </c>
      <c r="B1477" s="47">
        <v>15651</v>
      </c>
      <c r="C1477" s="44" t="s">
        <v>797</v>
      </c>
      <c r="D1477" s="45">
        <v>70</v>
      </c>
      <c r="E1477" s="48" t="s">
        <v>145</v>
      </c>
      <c r="F1477" s="48" t="s">
        <v>116</v>
      </c>
      <c r="G1477" s="48" t="s">
        <v>95</v>
      </c>
      <c r="J1477" s="44">
        <f>YEAR(A1477)</f>
        <v>2023</v>
      </c>
    </row>
    <row r="1478" spans="1:11" ht="12" customHeight="1" x14ac:dyDescent="0.25">
      <c r="A1478" s="43">
        <v>45129</v>
      </c>
      <c r="B1478" s="47">
        <v>15651</v>
      </c>
      <c r="C1478" s="44" t="s">
        <v>797</v>
      </c>
      <c r="D1478" s="45">
        <v>20</v>
      </c>
      <c r="E1478" s="48" t="s">
        <v>145</v>
      </c>
      <c r="F1478" s="48" t="s">
        <v>116</v>
      </c>
      <c r="G1478" s="48" t="s">
        <v>98</v>
      </c>
      <c r="J1478" s="44">
        <f>YEAR(A1478)</f>
        <v>2023</v>
      </c>
    </row>
    <row r="1479" spans="1:11" ht="12" customHeight="1" x14ac:dyDescent="0.25">
      <c r="A1479" s="43">
        <v>45127</v>
      </c>
      <c r="B1479" s="47">
        <v>15652</v>
      </c>
      <c r="C1479" s="44" t="s">
        <v>504</v>
      </c>
      <c r="D1479" s="45">
        <v>53.53</v>
      </c>
      <c r="E1479" s="48" t="s">
        <v>157</v>
      </c>
      <c r="F1479" s="48" t="s">
        <v>96</v>
      </c>
      <c r="G1479" s="48" t="s">
        <v>91</v>
      </c>
      <c r="J1479" s="44">
        <f>YEAR(A1479)</f>
        <v>2023</v>
      </c>
    </row>
    <row r="1480" spans="1:11" ht="12" customHeight="1" x14ac:dyDescent="0.25">
      <c r="A1480" s="43">
        <v>45127</v>
      </c>
      <c r="B1480" s="47">
        <v>15652</v>
      </c>
      <c r="C1480" s="44" t="s">
        <v>504</v>
      </c>
      <c r="D1480" s="45">
        <v>-82.48</v>
      </c>
      <c r="E1480" s="48" t="s">
        <v>299</v>
      </c>
      <c r="F1480" s="48" t="s">
        <v>90</v>
      </c>
      <c r="G1480" s="48" t="s">
        <v>305</v>
      </c>
      <c r="I1480" s="44" t="s">
        <v>811</v>
      </c>
      <c r="J1480" s="44">
        <f>YEAR(A1480)</f>
        <v>2023</v>
      </c>
    </row>
    <row r="1481" spans="1:11" ht="12" customHeight="1" x14ac:dyDescent="0.25">
      <c r="A1481" s="43">
        <v>45127</v>
      </c>
      <c r="B1481" s="47">
        <v>15652</v>
      </c>
      <c r="C1481" s="44" t="s">
        <v>504</v>
      </c>
      <c r="D1481" s="45">
        <v>17</v>
      </c>
      <c r="E1481" s="48" t="s">
        <v>145</v>
      </c>
      <c r="F1481" s="48" t="s">
        <v>116</v>
      </c>
      <c r="G1481" s="48" t="s">
        <v>91</v>
      </c>
      <c r="J1481" s="44">
        <f>YEAR(A1481)</f>
        <v>2023</v>
      </c>
    </row>
    <row r="1482" spans="1:11" ht="12" customHeight="1" x14ac:dyDescent="0.25">
      <c r="A1482" s="43">
        <v>45127</v>
      </c>
      <c r="B1482" s="47">
        <v>15652</v>
      </c>
      <c r="C1482" s="44" t="s">
        <v>504</v>
      </c>
      <c r="D1482" s="45">
        <v>11.95</v>
      </c>
      <c r="E1482" s="48" t="s">
        <v>145</v>
      </c>
      <c r="F1482" s="48" t="s">
        <v>116</v>
      </c>
      <c r="G1482" s="48" t="s">
        <v>95</v>
      </c>
      <c r="J1482" s="44">
        <f>YEAR(A1482)</f>
        <v>2023</v>
      </c>
    </row>
    <row r="1483" spans="1:11" ht="12" customHeight="1" x14ac:dyDescent="0.25">
      <c r="A1483" s="43">
        <v>45127</v>
      </c>
      <c r="B1483" s="47">
        <v>15653</v>
      </c>
      <c r="C1483" s="44" t="s">
        <v>504</v>
      </c>
      <c r="D1483" s="45">
        <v>94.99</v>
      </c>
      <c r="E1483" s="48" t="s">
        <v>145</v>
      </c>
      <c r="F1483" s="48" t="s">
        <v>135</v>
      </c>
      <c r="G1483" s="48" t="s">
        <v>91</v>
      </c>
      <c r="J1483" s="44">
        <f>YEAR(A1483)</f>
        <v>2023</v>
      </c>
    </row>
    <row r="1484" spans="1:11" ht="12" customHeight="1" x14ac:dyDescent="0.25">
      <c r="A1484" s="43">
        <v>45127</v>
      </c>
      <c r="B1484" s="47">
        <v>15653</v>
      </c>
      <c r="C1484" s="44" t="s">
        <v>504</v>
      </c>
      <c r="D1484" s="45">
        <v>-94.99</v>
      </c>
      <c r="E1484" s="48" t="s">
        <v>145</v>
      </c>
      <c r="F1484" s="48" t="s">
        <v>135</v>
      </c>
      <c r="G1484" s="48" t="s">
        <v>91</v>
      </c>
      <c r="J1484" s="44">
        <f>YEAR(A1484)</f>
        <v>2023</v>
      </c>
      <c r="K1484" s="49" t="s">
        <v>1087</v>
      </c>
    </row>
    <row r="1485" spans="1:11" ht="12" customHeight="1" x14ac:dyDescent="0.25">
      <c r="A1485" s="43">
        <v>45127</v>
      </c>
      <c r="B1485" s="47">
        <v>15654</v>
      </c>
      <c r="C1485" s="44" t="s">
        <v>468</v>
      </c>
      <c r="D1485" s="45">
        <v>15.7</v>
      </c>
      <c r="E1485" s="48" t="s">
        <v>197</v>
      </c>
      <c r="F1485" s="48" t="s">
        <v>90</v>
      </c>
      <c r="G1485" s="48" t="s">
        <v>93</v>
      </c>
      <c r="J1485" s="44">
        <f>YEAR(A1485)</f>
        <v>2023</v>
      </c>
    </row>
    <row r="1486" spans="1:11" ht="12" customHeight="1" x14ac:dyDescent="0.25">
      <c r="A1486" s="43">
        <v>45127</v>
      </c>
      <c r="B1486" s="47">
        <v>15654</v>
      </c>
      <c r="C1486" s="44" t="s">
        <v>468</v>
      </c>
      <c r="D1486" s="45">
        <v>-15.7</v>
      </c>
      <c r="E1486" s="48" t="s">
        <v>299</v>
      </c>
      <c r="F1486" s="48" t="s">
        <v>90</v>
      </c>
      <c r="G1486" s="48" t="s">
        <v>305</v>
      </c>
      <c r="I1486" s="44" t="s">
        <v>811</v>
      </c>
      <c r="J1486" s="44">
        <f>YEAR(A1486)</f>
        <v>2023</v>
      </c>
    </row>
    <row r="1487" spans="1:11" ht="12" customHeight="1" x14ac:dyDescent="0.25">
      <c r="A1487" s="43">
        <v>45127</v>
      </c>
      <c r="B1487" s="47">
        <v>15655</v>
      </c>
      <c r="C1487" s="44" t="s">
        <v>550</v>
      </c>
      <c r="D1487" s="45">
        <v>44.8</v>
      </c>
      <c r="E1487" s="48" t="s">
        <v>145</v>
      </c>
      <c r="F1487" s="48" t="s">
        <v>135</v>
      </c>
      <c r="G1487" s="48" t="s">
        <v>91</v>
      </c>
      <c r="J1487" s="44">
        <f>YEAR(A1487)</f>
        <v>2023</v>
      </c>
      <c r="K1487" s="49" t="s">
        <v>791</v>
      </c>
    </row>
    <row r="1488" spans="1:11" ht="12" customHeight="1" x14ac:dyDescent="0.25">
      <c r="A1488" s="43">
        <v>45127</v>
      </c>
      <c r="B1488" s="47">
        <v>15655</v>
      </c>
      <c r="C1488" s="44" t="s">
        <v>550</v>
      </c>
      <c r="D1488" s="45">
        <v>-44.8</v>
      </c>
      <c r="E1488" s="48" t="s">
        <v>299</v>
      </c>
      <c r="F1488" s="48" t="s">
        <v>90</v>
      </c>
      <c r="G1488" s="48" t="s">
        <v>305</v>
      </c>
      <c r="I1488" s="44" t="s">
        <v>811</v>
      </c>
      <c r="J1488" s="44">
        <f>YEAR(A1488)</f>
        <v>2023</v>
      </c>
    </row>
    <row r="1489" spans="1:10" ht="12" customHeight="1" x14ac:dyDescent="0.25">
      <c r="A1489" s="43">
        <v>45127</v>
      </c>
      <c r="B1489" s="47">
        <v>15656</v>
      </c>
      <c r="C1489" s="44" t="s">
        <v>318</v>
      </c>
      <c r="D1489" s="45">
        <v>30.5</v>
      </c>
      <c r="E1489" s="48" t="s">
        <v>89</v>
      </c>
      <c r="F1489" s="48" t="s">
        <v>96</v>
      </c>
      <c r="G1489" s="48" t="s">
        <v>100</v>
      </c>
      <c r="J1489" s="44">
        <f>YEAR(A1489)</f>
        <v>2023</v>
      </c>
    </row>
    <row r="1490" spans="1:10" ht="12" customHeight="1" x14ac:dyDescent="0.25">
      <c r="A1490" s="43">
        <v>45127</v>
      </c>
      <c r="B1490" s="47">
        <v>15656</v>
      </c>
      <c r="C1490" s="44" t="s">
        <v>318</v>
      </c>
      <c r="D1490" s="45">
        <v>-30.5</v>
      </c>
      <c r="E1490" s="48" t="s">
        <v>299</v>
      </c>
      <c r="F1490" s="48" t="s">
        <v>90</v>
      </c>
      <c r="G1490" s="48" t="s">
        <v>305</v>
      </c>
      <c r="I1490" s="44" t="s">
        <v>811</v>
      </c>
      <c r="J1490" s="44">
        <f>YEAR(A1490)</f>
        <v>2023</v>
      </c>
    </row>
    <row r="1491" spans="1:10" ht="12" customHeight="1" x14ac:dyDescent="0.25">
      <c r="A1491" s="43">
        <v>45128</v>
      </c>
      <c r="B1491" s="47">
        <v>15657</v>
      </c>
      <c r="C1491" s="44" t="s">
        <v>792</v>
      </c>
      <c r="D1491" s="45">
        <v>5.5</v>
      </c>
      <c r="E1491" s="48" t="s">
        <v>180</v>
      </c>
      <c r="F1491" s="48" t="s">
        <v>90</v>
      </c>
      <c r="G1491" s="48" t="s">
        <v>91</v>
      </c>
      <c r="J1491" s="44">
        <f>YEAR(A1491)</f>
        <v>2023</v>
      </c>
    </row>
    <row r="1492" spans="1:10" ht="12" customHeight="1" x14ac:dyDescent="0.25">
      <c r="A1492" s="43">
        <v>45128</v>
      </c>
      <c r="B1492" s="47">
        <v>15657</v>
      </c>
      <c r="C1492" s="44" t="s">
        <v>792</v>
      </c>
      <c r="D1492" s="45">
        <v>-5.5</v>
      </c>
      <c r="E1492" s="48" t="s">
        <v>299</v>
      </c>
      <c r="F1492" s="48" t="s">
        <v>90</v>
      </c>
      <c r="G1492" s="48" t="s">
        <v>305</v>
      </c>
      <c r="I1492" s="44" t="s">
        <v>811</v>
      </c>
      <c r="J1492" s="44">
        <f>YEAR(A1492)</f>
        <v>2023</v>
      </c>
    </row>
    <row r="1493" spans="1:10" ht="12" customHeight="1" x14ac:dyDescent="0.25">
      <c r="A1493" s="43">
        <v>45129</v>
      </c>
      <c r="B1493" s="47">
        <v>15658</v>
      </c>
      <c r="C1493" s="44" t="s">
        <v>482</v>
      </c>
      <c r="D1493" s="45">
        <v>4.95</v>
      </c>
      <c r="E1493" s="48" t="s">
        <v>157</v>
      </c>
      <c r="F1493" s="48" t="s">
        <v>179</v>
      </c>
      <c r="G1493" s="48" t="s">
        <v>91</v>
      </c>
      <c r="J1493" s="44">
        <f>YEAR(A1493)</f>
        <v>2023</v>
      </c>
    </row>
    <row r="1494" spans="1:10" ht="12" customHeight="1" x14ac:dyDescent="0.25">
      <c r="A1494" s="43">
        <v>45129</v>
      </c>
      <c r="B1494" s="47">
        <v>15658</v>
      </c>
      <c r="C1494" s="44" t="s">
        <v>482</v>
      </c>
      <c r="D1494" s="45">
        <v>-4.95</v>
      </c>
      <c r="E1494" s="48" t="s">
        <v>299</v>
      </c>
      <c r="F1494" s="48" t="s">
        <v>90</v>
      </c>
      <c r="G1494" s="48" t="s">
        <v>305</v>
      </c>
      <c r="I1494" s="44" t="s">
        <v>811</v>
      </c>
      <c r="J1494" s="44">
        <f>YEAR(A1494)</f>
        <v>2023</v>
      </c>
    </row>
    <row r="1495" spans="1:10" ht="12" customHeight="1" x14ac:dyDescent="0.25">
      <c r="A1495" s="43">
        <v>45129</v>
      </c>
      <c r="B1495" s="47">
        <v>15659</v>
      </c>
      <c r="C1495" s="44" t="s">
        <v>468</v>
      </c>
      <c r="D1495" s="45">
        <v>3.04</v>
      </c>
      <c r="E1495" s="48" t="s">
        <v>197</v>
      </c>
      <c r="F1495" s="48" t="s">
        <v>90</v>
      </c>
      <c r="G1495" s="48" t="s">
        <v>100</v>
      </c>
      <c r="J1495" s="44">
        <f>YEAR(A1495)</f>
        <v>2023</v>
      </c>
    </row>
    <row r="1496" spans="1:10" ht="12" customHeight="1" x14ac:dyDescent="0.25">
      <c r="A1496" s="43">
        <v>45129</v>
      </c>
      <c r="B1496" s="47">
        <v>15659</v>
      </c>
      <c r="C1496" s="44" t="s">
        <v>468</v>
      </c>
      <c r="D1496" s="45">
        <v>-3.04</v>
      </c>
      <c r="E1496" s="48" t="s">
        <v>299</v>
      </c>
      <c r="F1496" s="48" t="s">
        <v>90</v>
      </c>
      <c r="G1496" s="48" t="s">
        <v>305</v>
      </c>
      <c r="I1496" s="44" t="s">
        <v>811</v>
      </c>
      <c r="J1496" s="44">
        <f>YEAR(A1496)</f>
        <v>2023</v>
      </c>
    </row>
    <row r="1497" spans="1:10" ht="12" customHeight="1" x14ac:dyDescent="0.25">
      <c r="A1497" s="43">
        <v>45129</v>
      </c>
      <c r="B1497" s="47">
        <v>15660</v>
      </c>
      <c r="C1497" s="44" t="s">
        <v>468</v>
      </c>
      <c r="D1497" s="45">
        <v>20.25</v>
      </c>
      <c r="E1497" s="48" t="s">
        <v>197</v>
      </c>
      <c r="F1497" s="48" t="s">
        <v>90</v>
      </c>
      <c r="G1497" s="48" t="s">
        <v>100</v>
      </c>
      <c r="J1497" s="44">
        <f>YEAR(A1497)</f>
        <v>2023</v>
      </c>
    </row>
    <row r="1498" spans="1:10" ht="12" customHeight="1" x14ac:dyDescent="0.25">
      <c r="A1498" s="43">
        <v>45129</v>
      </c>
      <c r="B1498" s="47">
        <v>15660</v>
      </c>
      <c r="C1498" s="44" t="s">
        <v>468</v>
      </c>
      <c r="D1498" s="45">
        <v>-20.25</v>
      </c>
      <c r="E1498" s="48" t="s">
        <v>299</v>
      </c>
      <c r="F1498" s="48" t="s">
        <v>90</v>
      </c>
      <c r="G1498" s="48" t="s">
        <v>305</v>
      </c>
      <c r="I1498" s="44" t="s">
        <v>811</v>
      </c>
      <c r="J1498" s="44">
        <f>YEAR(A1498)</f>
        <v>2023</v>
      </c>
    </row>
    <row r="1499" spans="1:10" ht="12" customHeight="1" x14ac:dyDescent="0.25">
      <c r="A1499" s="43">
        <v>45130</v>
      </c>
      <c r="B1499" s="47">
        <v>15661</v>
      </c>
      <c r="C1499" s="44" t="s">
        <v>794</v>
      </c>
      <c r="D1499" s="45">
        <v>-81.95</v>
      </c>
      <c r="E1499" s="48" t="s">
        <v>299</v>
      </c>
      <c r="F1499" s="48" t="s">
        <v>321</v>
      </c>
      <c r="G1499" s="48" t="s">
        <v>99</v>
      </c>
      <c r="I1499" s="44">
        <v>20230723</v>
      </c>
      <c r="J1499" s="44">
        <f>YEAR(A1499)</f>
        <v>2023</v>
      </c>
    </row>
    <row r="1500" spans="1:10" ht="12" customHeight="1" x14ac:dyDescent="0.25">
      <c r="A1500" s="43">
        <v>45115</v>
      </c>
      <c r="B1500" s="47">
        <v>15661</v>
      </c>
      <c r="C1500" s="44" t="s">
        <v>795</v>
      </c>
      <c r="D1500" s="45">
        <v>44</v>
      </c>
      <c r="E1500" s="48" t="s">
        <v>105</v>
      </c>
      <c r="F1500" s="48" t="s">
        <v>90</v>
      </c>
      <c r="G1500" s="48" t="s">
        <v>94</v>
      </c>
      <c r="J1500" s="44">
        <f>YEAR(A1500)</f>
        <v>2023</v>
      </c>
    </row>
    <row r="1501" spans="1:10" ht="12" customHeight="1" x14ac:dyDescent="0.25">
      <c r="A1501" s="43">
        <v>45115</v>
      </c>
      <c r="B1501" s="47">
        <v>15661</v>
      </c>
      <c r="C1501" s="44" t="s">
        <v>795</v>
      </c>
      <c r="D1501" s="45">
        <v>27.9</v>
      </c>
      <c r="E1501" s="48" t="s">
        <v>105</v>
      </c>
      <c r="F1501" s="48" t="s">
        <v>90</v>
      </c>
      <c r="G1501" s="48" t="s">
        <v>91</v>
      </c>
      <c r="J1501" s="44">
        <f>YEAR(A1501)</f>
        <v>2023</v>
      </c>
    </row>
    <row r="1502" spans="1:10" ht="12" customHeight="1" x14ac:dyDescent="0.25">
      <c r="A1502" s="43">
        <v>45117</v>
      </c>
      <c r="B1502" s="47">
        <v>15661</v>
      </c>
      <c r="C1502" s="44" t="s">
        <v>453</v>
      </c>
      <c r="D1502" s="45">
        <v>10.050000000000001</v>
      </c>
      <c r="E1502" s="48" t="s">
        <v>89</v>
      </c>
      <c r="F1502" s="48" t="s">
        <v>90</v>
      </c>
      <c r="G1502" s="48" t="s">
        <v>91</v>
      </c>
      <c r="J1502" s="44">
        <f>YEAR(A1502)</f>
        <v>2023</v>
      </c>
    </row>
    <row r="1503" spans="1:10" ht="12" customHeight="1" x14ac:dyDescent="0.25">
      <c r="A1503" s="43">
        <v>45130</v>
      </c>
      <c r="B1503" s="47">
        <v>15662</v>
      </c>
      <c r="C1503" s="44" t="s">
        <v>796</v>
      </c>
      <c r="D1503" s="45">
        <v>-469.23</v>
      </c>
      <c r="E1503" s="48" t="s">
        <v>299</v>
      </c>
      <c r="F1503" s="48" t="s">
        <v>321</v>
      </c>
      <c r="G1503" s="48" t="s">
        <v>99</v>
      </c>
      <c r="I1503" s="44">
        <v>20230723</v>
      </c>
      <c r="J1503" s="44">
        <f>YEAR(A1503)</f>
        <v>2023</v>
      </c>
    </row>
    <row r="1504" spans="1:10" ht="12" customHeight="1" x14ac:dyDescent="0.25">
      <c r="A1504" s="43">
        <v>45130</v>
      </c>
      <c r="B1504" s="47">
        <v>15662</v>
      </c>
      <c r="C1504" s="44" t="s">
        <v>796</v>
      </c>
      <c r="D1504" s="45">
        <v>469.23</v>
      </c>
      <c r="E1504" s="48" t="s">
        <v>299</v>
      </c>
      <c r="F1504" s="48" t="s">
        <v>90</v>
      </c>
      <c r="G1504" s="48" t="s">
        <v>91</v>
      </c>
      <c r="H1504" s="44" t="s">
        <v>398</v>
      </c>
      <c r="I1504" s="44" t="s">
        <v>814</v>
      </c>
      <c r="J1504" s="44">
        <f>YEAR(A1504)</f>
        <v>2023</v>
      </c>
    </row>
    <row r="1505" spans="1:10" ht="12" customHeight="1" x14ac:dyDescent="0.25">
      <c r="A1505" s="43">
        <v>45132</v>
      </c>
      <c r="B1505" s="47">
        <v>15663</v>
      </c>
      <c r="C1505" s="44" t="s">
        <v>799</v>
      </c>
      <c r="D1505" s="45">
        <v>3</v>
      </c>
      <c r="E1505" s="48" t="s">
        <v>89</v>
      </c>
      <c r="F1505" s="48" t="s">
        <v>101</v>
      </c>
      <c r="G1505" s="48" t="s">
        <v>91</v>
      </c>
      <c r="J1505" s="44">
        <f>YEAR(A1505)</f>
        <v>2023</v>
      </c>
    </row>
    <row r="1506" spans="1:10" ht="12" customHeight="1" x14ac:dyDescent="0.25">
      <c r="A1506" s="43">
        <v>45132</v>
      </c>
      <c r="B1506" s="47">
        <v>15663</v>
      </c>
      <c r="C1506" s="44" t="s">
        <v>441</v>
      </c>
      <c r="D1506" s="45">
        <v>-3</v>
      </c>
      <c r="E1506" s="48" t="s">
        <v>299</v>
      </c>
      <c r="F1506" s="48" t="s">
        <v>101</v>
      </c>
      <c r="G1506" s="48" t="s">
        <v>91</v>
      </c>
      <c r="J1506" s="44">
        <f>YEAR(A1506)</f>
        <v>2023</v>
      </c>
    </row>
    <row r="1507" spans="1:10" ht="12" customHeight="1" x14ac:dyDescent="0.25">
      <c r="A1507" s="43">
        <v>45132</v>
      </c>
      <c r="B1507" s="47">
        <v>15664</v>
      </c>
      <c r="C1507" s="44" t="s">
        <v>471</v>
      </c>
      <c r="D1507" s="45">
        <v>18</v>
      </c>
      <c r="E1507" s="48" t="s">
        <v>89</v>
      </c>
      <c r="F1507" s="48" t="s">
        <v>90</v>
      </c>
      <c r="G1507" s="48" t="s">
        <v>91</v>
      </c>
      <c r="J1507" s="44">
        <f>YEAR(A1507)</f>
        <v>2023</v>
      </c>
    </row>
    <row r="1508" spans="1:10" ht="12" customHeight="1" x14ac:dyDescent="0.25">
      <c r="A1508" s="43">
        <v>45132</v>
      </c>
      <c r="B1508" s="47">
        <v>15664</v>
      </c>
      <c r="C1508" s="44" t="s">
        <v>471</v>
      </c>
      <c r="D1508" s="45">
        <v>-18</v>
      </c>
      <c r="E1508" s="48" t="s">
        <v>299</v>
      </c>
      <c r="F1508" s="48" t="s">
        <v>90</v>
      </c>
      <c r="G1508" s="48" t="s">
        <v>305</v>
      </c>
      <c r="I1508" s="44" t="s">
        <v>811</v>
      </c>
      <c r="J1508" s="44">
        <f>YEAR(A1508)</f>
        <v>2023</v>
      </c>
    </row>
    <row r="1509" spans="1:10" ht="12" customHeight="1" x14ac:dyDescent="0.25">
      <c r="A1509" s="43">
        <v>45132</v>
      </c>
      <c r="B1509" s="47">
        <v>15665</v>
      </c>
      <c r="C1509" s="44" t="s">
        <v>453</v>
      </c>
      <c r="D1509" s="45">
        <v>10.6</v>
      </c>
      <c r="E1509" s="48" t="s">
        <v>89</v>
      </c>
      <c r="F1509" s="48" t="s">
        <v>90</v>
      </c>
      <c r="G1509" s="48" t="s">
        <v>91</v>
      </c>
      <c r="J1509" s="44">
        <f>YEAR(A1509)</f>
        <v>2023</v>
      </c>
    </row>
    <row r="1510" spans="1:10" ht="12" customHeight="1" x14ac:dyDescent="0.25">
      <c r="A1510" s="43">
        <v>45132</v>
      </c>
      <c r="B1510" s="47">
        <v>15665</v>
      </c>
      <c r="C1510" s="44" t="s">
        <v>453</v>
      </c>
      <c r="D1510" s="45">
        <v>-10.6</v>
      </c>
      <c r="E1510" s="48" t="s">
        <v>299</v>
      </c>
      <c r="F1510" s="48" t="s">
        <v>90</v>
      </c>
      <c r="G1510" s="48" t="s">
        <v>305</v>
      </c>
      <c r="I1510" s="44" t="s">
        <v>811</v>
      </c>
      <c r="J1510" s="44">
        <f>YEAR(A1510)</f>
        <v>2023</v>
      </c>
    </row>
    <row r="1511" spans="1:10" ht="12" customHeight="1" x14ac:dyDescent="0.25">
      <c r="A1511" s="43">
        <v>45132</v>
      </c>
      <c r="B1511" s="47">
        <v>15666</v>
      </c>
      <c r="C1511" s="44" t="s">
        <v>475</v>
      </c>
      <c r="D1511" s="45">
        <v>7</v>
      </c>
      <c r="E1511" s="48" t="s">
        <v>89</v>
      </c>
      <c r="F1511" s="48" t="s">
        <v>90</v>
      </c>
      <c r="G1511" s="48" t="s">
        <v>91</v>
      </c>
      <c r="J1511" s="44">
        <f>YEAR(A1511)</f>
        <v>2023</v>
      </c>
    </row>
    <row r="1512" spans="1:10" ht="12" customHeight="1" x14ac:dyDescent="0.25">
      <c r="A1512" s="43">
        <v>45132</v>
      </c>
      <c r="B1512" s="47">
        <v>15666</v>
      </c>
      <c r="C1512" s="44" t="s">
        <v>475</v>
      </c>
      <c r="D1512" s="45">
        <v>-7</v>
      </c>
      <c r="E1512" s="48" t="s">
        <v>299</v>
      </c>
      <c r="F1512" s="48" t="s">
        <v>90</v>
      </c>
      <c r="G1512" s="48" t="s">
        <v>305</v>
      </c>
      <c r="I1512" s="44" t="s">
        <v>811</v>
      </c>
      <c r="J1512" s="44">
        <f>YEAR(A1512)</f>
        <v>2023</v>
      </c>
    </row>
    <row r="1513" spans="1:10" ht="12" customHeight="1" x14ac:dyDescent="0.25">
      <c r="A1513" s="43">
        <v>45132</v>
      </c>
      <c r="B1513" s="47">
        <v>15667</v>
      </c>
      <c r="C1513" s="44" t="s">
        <v>446</v>
      </c>
      <c r="D1513" s="45">
        <v>64.44</v>
      </c>
      <c r="E1513" s="48" t="s">
        <v>89</v>
      </c>
      <c r="F1513" s="48" t="s">
        <v>90</v>
      </c>
      <c r="G1513" s="48" t="s">
        <v>91</v>
      </c>
      <c r="J1513" s="44">
        <f>YEAR(A1513)</f>
        <v>2023</v>
      </c>
    </row>
    <row r="1514" spans="1:10" ht="12" customHeight="1" x14ac:dyDescent="0.25">
      <c r="A1514" s="43">
        <v>45132</v>
      </c>
      <c r="B1514" s="47">
        <v>15667</v>
      </c>
      <c r="C1514" s="44" t="s">
        <v>446</v>
      </c>
      <c r="D1514" s="45">
        <v>-64.44</v>
      </c>
      <c r="E1514" s="48" t="s">
        <v>299</v>
      </c>
      <c r="F1514" s="48" t="s">
        <v>90</v>
      </c>
      <c r="G1514" s="48" t="s">
        <v>305</v>
      </c>
      <c r="I1514" s="44" t="s">
        <v>811</v>
      </c>
      <c r="J1514" s="44">
        <f>YEAR(A1514)</f>
        <v>2023</v>
      </c>
    </row>
    <row r="1515" spans="1:10" ht="12" customHeight="1" x14ac:dyDescent="0.25">
      <c r="A1515" s="43">
        <v>45132</v>
      </c>
      <c r="B1515" s="47">
        <v>15668</v>
      </c>
      <c r="C1515" s="44" t="s">
        <v>481</v>
      </c>
      <c r="D1515" s="45">
        <v>24.86</v>
      </c>
      <c r="E1515" s="48" t="s">
        <v>89</v>
      </c>
      <c r="F1515" s="48" t="s">
        <v>90</v>
      </c>
      <c r="G1515" s="48" t="s">
        <v>91</v>
      </c>
      <c r="J1515" s="44">
        <f>YEAR(A1515)</f>
        <v>2023</v>
      </c>
    </row>
    <row r="1516" spans="1:10" ht="12" customHeight="1" x14ac:dyDescent="0.25">
      <c r="A1516" s="43">
        <v>45132</v>
      </c>
      <c r="B1516" s="47">
        <v>15668</v>
      </c>
      <c r="C1516" s="44" t="s">
        <v>481</v>
      </c>
      <c r="D1516" s="45">
        <v>-32.6</v>
      </c>
      <c r="E1516" s="48" t="s">
        <v>299</v>
      </c>
      <c r="F1516" s="48" t="s">
        <v>90</v>
      </c>
      <c r="G1516" s="48" t="s">
        <v>305</v>
      </c>
      <c r="I1516" s="44" t="s">
        <v>811</v>
      </c>
      <c r="J1516" s="44">
        <f>YEAR(A1516)</f>
        <v>2023</v>
      </c>
    </row>
    <row r="1517" spans="1:10" ht="12" customHeight="1" x14ac:dyDescent="0.25">
      <c r="A1517" s="43">
        <v>45132</v>
      </c>
      <c r="B1517" s="47">
        <v>15668</v>
      </c>
      <c r="C1517" s="44" t="s">
        <v>481</v>
      </c>
      <c r="D1517" s="45">
        <v>7.74</v>
      </c>
      <c r="E1517" s="48" t="s">
        <v>157</v>
      </c>
      <c r="F1517" s="48" t="s">
        <v>96</v>
      </c>
      <c r="G1517" s="48" t="s">
        <v>91</v>
      </c>
      <c r="J1517" s="44">
        <f>YEAR(A1517)</f>
        <v>2023</v>
      </c>
    </row>
    <row r="1518" spans="1:10" ht="12" customHeight="1" x14ac:dyDescent="0.25">
      <c r="A1518" s="43">
        <v>45135</v>
      </c>
      <c r="B1518" s="47">
        <v>15669</v>
      </c>
      <c r="C1518" s="44" t="s">
        <v>800</v>
      </c>
      <c r="D1518" s="45">
        <v>-300</v>
      </c>
      <c r="E1518" s="48" t="s">
        <v>299</v>
      </c>
      <c r="F1518" s="48" t="s">
        <v>90</v>
      </c>
      <c r="G1518" s="48" t="s">
        <v>91</v>
      </c>
      <c r="H1518" s="44" t="s">
        <v>402</v>
      </c>
      <c r="I1518" s="44" t="s">
        <v>812</v>
      </c>
      <c r="J1518" s="44">
        <f>YEAR(A1518)</f>
        <v>2023</v>
      </c>
    </row>
    <row r="1519" spans="1:10" ht="12" customHeight="1" x14ac:dyDescent="0.25">
      <c r="A1519" s="43">
        <v>45135</v>
      </c>
      <c r="B1519" s="47">
        <v>15669</v>
      </c>
      <c r="C1519" s="44" t="s">
        <v>800</v>
      </c>
      <c r="D1519" s="45">
        <v>300</v>
      </c>
      <c r="E1519" s="48" t="s">
        <v>145</v>
      </c>
      <c r="F1519" s="48" t="s">
        <v>116</v>
      </c>
      <c r="G1519" s="48" t="s">
        <v>94</v>
      </c>
      <c r="J1519" s="44">
        <f>YEAR(A1519)</f>
        <v>2023</v>
      </c>
    </row>
    <row r="1520" spans="1:10" ht="12" customHeight="1" x14ac:dyDescent="0.25">
      <c r="A1520" s="43">
        <v>45119</v>
      </c>
      <c r="B1520" s="47">
        <v>15670</v>
      </c>
      <c r="C1520" s="44" t="s">
        <v>563</v>
      </c>
      <c r="D1520" s="45">
        <v>-1112.4000000000001</v>
      </c>
      <c r="E1520" s="48" t="s">
        <v>214</v>
      </c>
      <c r="F1520" s="48" t="s">
        <v>90</v>
      </c>
      <c r="G1520" s="48" t="s">
        <v>99</v>
      </c>
      <c r="J1520" s="44">
        <f>YEAR(A1520)</f>
        <v>2023</v>
      </c>
    </row>
    <row r="1521" spans="1:10" ht="12" customHeight="1" x14ac:dyDescent="0.25">
      <c r="A1521" s="43">
        <v>45119</v>
      </c>
      <c r="B1521" s="47">
        <v>15670</v>
      </c>
      <c r="C1521" s="44" t="s">
        <v>564</v>
      </c>
      <c r="D1521" s="45">
        <v>169.2</v>
      </c>
      <c r="E1521" s="48" t="s">
        <v>110</v>
      </c>
      <c r="F1521" s="48" t="s">
        <v>90</v>
      </c>
      <c r="G1521" s="48" t="s">
        <v>91</v>
      </c>
      <c r="J1521" s="44">
        <f>YEAR(A1521)</f>
        <v>2023</v>
      </c>
    </row>
    <row r="1522" spans="1:10" ht="12" customHeight="1" x14ac:dyDescent="0.25">
      <c r="A1522" s="43">
        <v>45119</v>
      </c>
      <c r="B1522" s="47">
        <v>15670</v>
      </c>
      <c r="C1522" s="44" t="s">
        <v>563</v>
      </c>
      <c r="D1522" s="45">
        <v>943.2</v>
      </c>
      <c r="E1522" s="48" t="s">
        <v>299</v>
      </c>
      <c r="F1522" s="48" t="s">
        <v>90</v>
      </c>
      <c r="G1522" s="48" t="s">
        <v>91</v>
      </c>
      <c r="H1522" s="44" t="s">
        <v>398</v>
      </c>
      <c r="I1522" s="44" t="s">
        <v>814</v>
      </c>
      <c r="J1522" s="44">
        <f>YEAR(A1522)</f>
        <v>2023</v>
      </c>
    </row>
    <row r="1523" spans="1:10" ht="12" customHeight="1" x14ac:dyDescent="0.25">
      <c r="A1523" s="43">
        <v>45149</v>
      </c>
      <c r="B1523" s="47">
        <v>15671</v>
      </c>
      <c r="C1523" s="44" t="s">
        <v>801</v>
      </c>
      <c r="D1523" s="45">
        <v>135.09</v>
      </c>
      <c r="E1523" s="48" t="s">
        <v>157</v>
      </c>
      <c r="F1523" s="48" t="s">
        <v>135</v>
      </c>
      <c r="G1523" s="48" t="s">
        <v>91</v>
      </c>
      <c r="J1523" s="44">
        <f>YEAR(A1523)</f>
        <v>2023</v>
      </c>
    </row>
    <row r="1524" spans="1:10" ht="12" customHeight="1" x14ac:dyDescent="0.25">
      <c r="A1524" s="43">
        <v>45149</v>
      </c>
      <c r="B1524" s="47">
        <v>15671</v>
      </c>
      <c r="C1524" s="44" t="s">
        <v>801</v>
      </c>
      <c r="D1524" s="45">
        <v>-135.09</v>
      </c>
      <c r="E1524" s="48" t="s">
        <v>299</v>
      </c>
      <c r="F1524" s="48" t="s">
        <v>90</v>
      </c>
      <c r="G1524" s="48" t="s">
        <v>91</v>
      </c>
      <c r="H1524" s="44" t="s">
        <v>402</v>
      </c>
      <c r="I1524" s="44" t="s">
        <v>920</v>
      </c>
      <c r="J1524" s="44">
        <f>YEAR(A1524)</f>
        <v>2023</v>
      </c>
    </row>
    <row r="1525" spans="1:10" ht="12" customHeight="1" x14ac:dyDescent="0.25">
      <c r="A1525" s="43">
        <v>45149</v>
      </c>
      <c r="B1525" s="47">
        <v>15672</v>
      </c>
      <c r="C1525" s="44" t="s">
        <v>801</v>
      </c>
      <c r="D1525" s="45">
        <v>68.58</v>
      </c>
      <c r="E1525" s="48" t="s">
        <v>157</v>
      </c>
      <c r="F1525" s="48" t="s">
        <v>135</v>
      </c>
      <c r="G1525" s="48" t="s">
        <v>91</v>
      </c>
      <c r="J1525" s="44">
        <f>YEAR(A1525)</f>
        <v>2023</v>
      </c>
    </row>
    <row r="1526" spans="1:10" ht="12" customHeight="1" x14ac:dyDescent="0.25">
      <c r="A1526" s="43">
        <v>45149</v>
      </c>
      <c r="B1526" s="47">
        <v>15672</v>
      </c>
      <c r="C1526" s="44" t="s">
        <v>801</v>
      </c>
      <c r="D1526" s="45">
        <v>-68.58</v>
      </c>
      <c r="E1526" s="48" t="s">
        <v>299</v>
      </c>
      <c r="F1526" s="48" t="s">
        <v>90</v>
      </c>
      <c r="G1526" s="48" t="s">
        <v>91</v>
      </c>
      <c r="H1526" s="44" t="s">
        <v>402</v>
      </c>
      <c r="I1526" s="44" t="s">
        <v>920</v>
      </c>
      <c r="J1526" s="44">
        <f>YEAR(A1526)</f>
        <v>2023</v>
      </c>
    </row>
    <row r="1527" spans="1:10" ht="12" customHeight="1" x14ac:dyDescent="0.25">
      <c r="A1527" s="43">
        <v>45148</v>
      </c>
      <c r="B1527" s="47">
        <v>15673</v>
      </c>
      <c r="C1527" s="44" t="s">
        <v>802</v>
      </c>
      <c r="D1527" s="45">
        <v>49</v>
      </c>
      <c r="E1527" s="48" t="s">
        <v>157</v>
      </c>
      <c r="F1527" s="48" t="s">
        <v>137</v>
      </c>
      <c r="G1527" s="48" t="s">
        <v>91</v>
      </c>
      <c r="J1527" s="44">
        <f>YEAR(A1527)</f>
        <v>2023</v>
      </c>
    </row>
    <row r="1528" spans="1:10" ht="12" customHeight="1" x14ac:dyDescent="0.25">
      <c r="A1528" s="43">
        <v>45148</v>
      </c>
      <c r="B1528" s="47">
        <v>15673</v>
      </c>
      <c r="C1528" s="44" t="s">
        <v>802</v>
      </c>
      <c r="D1528" s="45">
        <v>53.31</v>
      </c>
      <c r="E1528" s="48" t="s">
        <v>157</v>
      </c>
      <c r="F1528" s="48" t="s">
        <v>137</v>
      </c>
      <c r="G1528" s="48" t="s">
        <v>91</v>
      </c>
      <c r="J1528" s="44">
        <f>YEAR(A1528)</f>
        <v>2023</v>
      </c>
    </row>
    <row r="1529" spans="1:10" ht="12" customHeight="1" x14ac:dyDescent="0.25">
      <c r="A1529" s="43">
        <v>45148</v>
      </c>
      <c r="B1529" s="47">
        <v>15673</v>
      </c>
      <c r="C1529" s="44" t="s">
        <v>802</v>
      </c>
      <c r="D1529" s="45">
        <v>-53.31</v>
      </c>
      <c r="E1529" s="48" t="s">
        <v>299</v>
      </c>
      <c r="F1529" s="48" t="s">
        <v>90</v>
      </c>
      <c r="G1529" s="48" t="s">
        <v>91</v>
      </c>
      <c r="H1529" s="44" t="s">
        <v>391</v>
      </c>
      <c r="I1529" s="44" t="s">
        <v>920</v>
      </c>
      <c r="J1529" s="44">
        <f>YEAR(A1529)</f>
        <v>2023</v>
      </c>
    </row>
    <row r="1530" spans="1:10" ht="12" customHeight="1" x14ac:dyDescent="0.25">
      <c r="A1530" s="43">
        <v>45148</v>
      </c>
      <c r="B1530" s="47">
        <v>15673</v>
      </c>
      <c r="C1530" s="44" t="s">
        <v>802</v>
      </c>
      <c r="D1530" s="45">
        <v>-49</v>
      </c>
      <c r="E1530" s="48" t="s">
        <v>299</v>
      </c>
      <c r="F1530" s="48" t="s">
        <v>90</v>
      </c>
      <c r="G1530" s="48" t="s">
        <v>91</v>
      </c>
      <c r="H1530" s="44" t="s">
        <v>391</v>
      </c>
      <c r="I1530" s="44" t="s">
        <v>920</v>
      </c>
      <c r="J1530" s="44">
        <f>YEAR(A1530)</f>
        <v>2023</v>
      </c>
    </row>
    <row r="1531" spans="1:10" ht="12" customHeight="1" x14ac:dyDescent="0.25">
      <c r="A1531" s="43">
        <v>45152</v>
      </c>
      <c r="B1531" s="47">
        <v>15674</v>
      </c>
      <c r="C1531" s="44" t="s">
        <v>803</v>
      </c>
      <c r="D1531" s="45">
        <v>-1530</v>
      </c>
      <c r="E1531" s="48" t="s">
        <v>299</v>
      </c>
      <c r="F1531" s="48" t="s">
        <v>90</v>
      </c>
      <c r="G1531" s="48" t="s">
        <v>91</v>
      </c>
      <c r="H1531" s="44" t="s">
        <v>402</v>
      </c>
      <c r="I1531" s="44" t="s">
        <v>920</v>
      </c>
      <c r="J1531" s="44">
        <f>YEAR(A1531)</f>
        <v>2023</v>
      </c>
    </row>
    <row r="1532" spans="1:10" ht="12" customHeight="1" x14ac:dyDescent="0.25">
      <c r="A1532" s="43">
        <v>45152</v>
      </c>
      <c r="B1532" s="47">
        <v>15674</v>
      </c>
      <c r="C1532" s="44" t="s">
        <v>803</v>
      </c>
      <c r="D1532" s="45">
        <v>1530</v>
      </c>
      <c r="E1532" s="48" t="s">
        <v>157</v>
      </c>
      <c r="F1532" s="48" t="s">
        <v>137</v>
      </c>
      <c r="G1532" s="48" t="s">
        <v>115</v>
      </c>
      <c r="J1532" s="44">
        <f>YEAR(A1532)</f>
        <v>2023</v>
      </c>
    </row>
    <row r="1533" spans="1:10" ht="12" customHeight="1" x14ac:dyDescent="0.25">
      <c r="A1533" s="43">
        <v>45138</v>
      </c>
      <c r="B1533" s="47">
        <v>15675</v>
      </c>
      <c r="C1533" s="44" t="s">
        <v>488</v>
      </c>
      <c r="D1533" s="45">
        <v>47.19</v>
      </c>
      <c r="E1533" s="48" t="s">
        <v>180</v>
      </c>
      <c r="F1533" s="48" t="s">
        <v>96</v>
      </c>
      <c r="G1533" s="48" t="s">
        <v>186</v>
      </c>
      <c r="J1533" s="44">
        <f>YEAR(A1533)</f>
        <v>2023</v>
      </c>
    </row>
    <row r="1534" spans="1:10" ht="12" customHeight="1" x14ac:dyDescent="0.25">
      <c r="A1534" s="43">
        <v>45138</v>
      </c>
      <c r="B1534" s="47">
        <v>15675</v>
      </c>
      <c r="C1534" s="44" t="s">
        <v>488</v>
      </c>
      <c r="D1534" s="45">
        <v>-47.19</v>
      </c>
      <c r="E1534" s="48" t="s">
        <v>299</v>
      </c>
      <c r="F1534" s="48" t="s">
        <v>90</v>
      </c>
      <c r="G1534" s="48" t="s">
        <v>305</v>
      </c>
      <c r="I1534" s="44" t="s">
        <v>811</v>
      </c>
      <c r="J1534" s="44">
        <f>YEAR(A1534)</f>
        <v>2023</v>
      </c>
    </row>
    <row r="1535" spans="1:10" ht="12" customHeight="1" x14ac:dyDescent="0.25">
      <c r="A1535" s="43">
        <v>45143</v>
      </c>
      <c r="B1535" s="47">
        <v>15676</v>
      </c>
      <c r="C1535" s="44" t="s">
        <v>804</v>
      </c>
      <c r="D1535" s="45">
        <v>9.9</v>
      </c>
      <c r="E1535" s="48" t="s">
        <v>145</v>
      </c>
      <c r="F1535" s="48" t="s">
        <v>116</v>
      </c>
      <c r="G1535" s="48" t="s">
        <v>91</v>
      </c>
      <c r="J1535" s="44">
        <f>YEAR(A1535)</f>
        <v>2023</v>
      </c>
    </row>
    <row r="1536" spans="1:10" ht="12" customHeight="1" x14ac:dyDescent="0.25">
      <c r="A1536" s="43">
        <v>45143</v>
      </c>
      <c r="B1536" s="47">
        <v>15676</v>
      </c>
      <c r="C1536" s="44" t="s">
        <v>804</v>
      </c>
      <c r="D1536" s="45">
        <v>-9.9</v>
      </c>
      <c r="E1536" s="48" t="s">
        <v>299</v>
      </c>
      <c r="F1536" s="48" t="s">
        <v>90</v>
      </c>
      <c r="G1536" s="48" t="s">
        <v>305</v>
      </c>
      <c r="I1536" s="44" t="s">
        <v>917</v>
      </c>
      <c r="J1536" s="44">
        <f>YEAR(A1536)</f>
        <v>2023</v>
      </c>
    </row>
    <row r="1537" spans="1:11" ht="12" customHeight="1" x14ac:dyDescent="0.25">
      <c r="A1537" s="43">
        <v>45144</v>
      </c>
      <c r="B1537" s="47">
        <v>15677</v>
      </c>
      <c r="C1537" s="44" t="s">
        <v>726</v>
      </c>
      <c r="D1537" s="45">
        <v>16.100000000000001</v>
      </c>
      <c r="E1537" s="48" t="s">
        <v>89</v>
      </c>
      <c r="F1537" s="48" t="s">
        <v>90</v>
      </c>
      <c r="G1537" s="48" t="s">
        <v>91</v>
      </c>
      <c r="J1537" s="44">
        <f>YEAR(A1537)</f>
        <v>2023</v>
      </c>
    </row>
    <row r="1538" spans="1:11" ht="12" customHeight="1" x14ac:dyDescent="0.25">
      <c r="A1538" s="43">
        <v>45144</v>
      </c>
      <c r="B1538" s="47">
        <v>15677</v>
      </c>
      <c r="C1538" s="44" t="s">
        <v>726</v>
      </c>
      <c r="D1538" s="45">
        <v>-16.100000000000001</v>
      </c>
      <c r="E1538" s="48" t="s">
        <v>299</v>
      </c>
      <c r="F1538" s="48" t="s">
        <v>90</v>
      </c>
      <c r="G1538" s="48" t="s">
        <v>305</v>
      </c>
      <c r="I1538" s="44" t="s">
        <v>917</v>
      </c>
      <c r="J1538" s="44">
        <f>YEAR(A1538)</f>
        <v>2023</v>
      </c>
    </row>
    <row r="1539" spans="1:11" ht="12" customHeight="1" x14ac:dyDescent="0.25">
      <c r="A1539" s="43">
        <v>45144</v>
      </c>
      <c r="B1539" s="47">
        <v>15678</v>
      </c>
      <c r="C1539" s="44" t="s">
        <v>805</v>
      </c>
      <c r="D1539" s="45">
        <v>4.8</v>
      </c>
      <c r="E1539" s="48" t="s">
        <v>180</v>
      </c>
      <c r="F1539" s="48" t="s">
        <v>90</v>
      </c>
      <c r="G1539" s="48" t="s">
        <v>91</v>
      </c>
      <c r="H1539" s="44" t="s">
        <v>442</v>
      </c>
      <c r="J1539" s="44">
        <f>YEAR(A1539)</f>
        <v>2023</v>
      </c>
    </row>
    <row r="1540" spans="1:11" ht="12" customHeight="1" x14ac:dyDescent="0.25">
      <c r="A1540" s="43">
        <v>45144</v>
      </c>
      <c r="B1540" s="47">
        <v>15678</v>
      </c>
      <c r="C1540" s="44" t="s">
        <v>805</v>
      </c>
      <c r="D1540" s="45">
        <v>-4.8</v>
      </c>
      <c r="E1540" s="48" t="s">
        <v>299</v>
      </c>
      <c r="F1540" s="48" t="s">
        <v>90</v>
      </c>
      <c r="G1540" s="48" t="s">
        <v>305</v>
      </c>
      <c r="I1540" s="44" t="s">
        <v>917</v>
      </c>
      <c r="J1540" s="44">
        <f>YEAR(A1540)</f>
        <v>2023</v>
      </c>
    </row>
    <row r="1541" spans="1:11" ht="12" customHeight="1" x14ac:dyDescent="0.25">
      <c r="A1541" s="43">
        <v>45146</v>
      </c>
      <c r="B1541" s="47">
        <v>15679</v>
      </c>
      <c r="C1541" s="44" t="s">
        <v>456</v>
      </c>
      <c r="D1541" s="45">
        <v>30</v>
      </c>
      <c r="E1541" s="48" t="s">
        <v>145</v>
      </c>
      <c r="F1541" s="48" t="s">
        <v>128</v>
      </c>
      <c r="G1541" s="48" t="s">
        <v>91</v>
      </c>
      <c r="J1541" s="44">
        <f>YEAR(A1541)</f>
        <v>2023</v>
      </c>
    </row>
    <row r="1542" spans="1:11" ht="12" customHeight="1" x14ac:dyDescent="0.25">
      <c r="A1542" s="43">
        <v>45146</v>
      </c>
      <c r="B1542" s="47">
        <v>15679</v>
      </c>
      <c r="C1542" s="44" t="s">
        <v>456</v>
      </c>
      <c r="D1542" s="45">
        <v>12.64</v>
      </c>
      <c r="E1542" s="48" t="s">
        <v>89</v>
      </c>
      <c r="F1542" s="48" t="s">
        <v>90</v>
      </c>
      <c r="G1542" s="48" t="s">
        <v>91</v>
      </c>
      <c r="J1542" s="44">
        <f>YEAR(A1542)</f>
        <v>2023</v>
      </c>
    </row>
    <row r="1543" spans="1:11" ht="12" customHeight="1" x14ac:dyDescent="0.25">
      <c r="A1543" s="43">
        <v>45146</v>
      </c>
      <c r="B1543" s="47">
        <v>15679</v>
      </c>
      <c r="C1543" s="44" t="s">
        <v>456</v>
      </c>
      <c r="D1543" s="45">
        <v>-42.64</v>
      </c>
      <c r="E1543" s="48" t="s">
        <v>299</v>
      </c>
      <c r="F1543" s="48" t="s">
        <v>90</v>
      </c>
      <c r="G1543" s="48" t="s">
        <v>305</v>
      </c>
      <c r="I1543" s="44" t="s">
        <v>917</v>
      </c>
      <c r="J1543" s="44">
        <f>YEAR(A1543)</f>
        <v>2023</v>
      </c>
    </row>
    <row r="1544" spans="1:11" ht="12" customHeight="1" x14ac:dyDescent="0.25">
      <c r="A1544" s="43">
        <v>45146</v>
      </c>
      <c r="B1544" s="47">
        <v>15680</v>
      </c>
      <c r="C1544" s="44" t="s">
        <v>443</v>
      </c>
      <c r="D1544" s="45">
        <v>8.5500000000000007</v>
      </c>
      <c r="E1544" s="48" t="s">
        <v>89</v>
      </c>
      <c r="F1544" s="48" t="s">
        <v>90</v>
      </c>
      <c r="G1544" s="48" t="s">
        <v>91</v>
      </c>
      <c r="J1544" s="44">
        <f>YEAR(A1544)</f>
        <v>2023</v>
      </c>
    </row>
    <row r="1545" spans="1:11" ht="12" customHeight="1" x14ac:dyDescent="0.25">
      <c r="A1545" s="43">
        <v>45146</v>
      </c>
      <c r="B1545" s="47">
        <v>15680</v>
      </c>
      <c r="C1545" s="44" t="s">
        <v>443</v>
      </c>
      <c r="D1545" s="45">
        <v>-8.5500000000000007</v>
      </c>
      <c r="E1545" s="48" t="s">
        <v>299</v>
      </c>
      <c r="F1545" s="48" t="s">
        <v>90</v>
      </c>
      <c r="G1545" s="48" t="s">
        <v>305</v>
      </c>
      <c r="I1545" s="44" t="s">
        <v>917</v>
      </c>
      <c r="J1545" s="44">
        <f>YEAR(A1545)</f>
        <v>2023</v>
      </c>
    </row>
    <row r="1546" spans="1:11" ht="12" customHeight="1" x14ac:dyDescent="0.25">
      <c r="A1546" s="43">
        <v>45149</v>
      </c>
      <c r="B1546" s="47">
        <v>15681</v>
      </c>
      <c r="C1546" s="44" t="s">
        <v>448</v>
      </c>
      <c r="D1546" s="45">
        <v>10.9</v>
      </c>
      <c r="E1546" s="48" t="s">
        <v>180</v>
      </c>
      <c r="F1546" s="48" t="s">
        <v>90</v>
      </c>
      <c r="G1546" s="48" t="s">
        <v>91</v>
      </c>
      <c r="H1546" s="44" t="s">
        <v>442</v>
      </c>
      <c r="J1546" s="44">
        <f>YEAR(A1546)</f>
        <v>2023</v>
      </c>
    </row>
    <row r="1547" spans="1:11" ht="12" customHeight="1" x14ac:dyDescent="0.25">
      <c r="A1547" s="43">
        <v>45149</v>
      </c>
      <c r="B1547" s="47">
        <v>15681</v>
      </c>
      <c r="C1547" s="44" t="s">
        <v>448</v>
      </c>
      <c r="D1547" s="45">
        <v>-10.9</v>
      </c>
      <c r="E1547" s="48" t="s">
        <v>299</v>
      </c>
      <c r="F1547" s="48" t="s">
        <v>90</v>
      </c>
      <c r="G1547" s="48" t="s">
        <v>305</v>
      </c>
      <c r="I1547" s="44" t="s">
        <v>917</v>
      </c>
      <c r="J1547" s="44">
        <f>YEAR(A1547)</f>
        <v>2023</v>
      </c>
    </row>
    <row r="1548" spans="1:11" ht="12" customHeight="1" x14ac:dyDescent="0.25">
      <c r="A1548" s="43">
        <v>45149</v>
      </c>
      <c r="B1548" s="47">
        <v>15682</v>
      </c>
      <c r="C1548" s="44" t="s">
        <v>806</v>
      </c>
      <c r="D1548" s="45">
        <v>8.98</v>
      </c>
      <c r="E1548" s="48" t="s">
        <v>145</v>
      </c>
      <c r="F1548" s="48" t="s">
        <v>116</v>
      </c>
      <c r="G1548" s="48" t="s">
        <v>93</v>
      </c>
      <c r="J1548" s="44">
        <f>YEAR(A1548)</f>
        <v>2023</v>
      </c>
      <c r="K1548" s="49" t="s">
        <v>807</v>
      </c>
    </row>
    <row r="1549" spans="1:11" ht="12" customHeight="1" x14ac:dyDescent="0.25">
      <c r="A1549" s="43">
        <v>45149</v>
      </c>
      <c r="B1549" s="47">
        <v>15682</v>
      </c>
      <c r="C1549" s="44" t="s">
        <v>806</v>
      </c>
      <c r="D1549" s="45">
        <v>-8.98</v>
      </c>
      <c r="E1549" s="48" t="s">
        <v>299</v>
      </c>
      <c r="F1549" s="48" t="s">
        <v>90</v>
      </c>
      <c r="G1549" s="48" t="s">
        <v>305</v>
      </c>
      <c r="I1549" s="44" t="s">
        <v>917</v>
      </c>
      <c r="J1549" s="44">
        <f>YEAR(A1549)</f>
        <v>2023</v>
      </c>
    </row>
    <row r="1550" spans="1:11" ht="12" customHeight="1" x14ac:dyDescent="0.25">
      <c r="A1550" s="43">
        <v>45150</v>
      </c>
      <c r="B1550" s="47">
        <v>15683</v>
      </c>
      <c r="C1550" s="44" t="s">
        <v>454</v>
      </c>
      <c r="D1550" s="45">
        <v>7.01</v>
      </c>
      <c r="E1550" s="48" t="s">
        <v>89</v>
      </c>
      <c r="F1550" s="48" t="s">
        <v>90</v>
      </c>
      <c r="G1550" s="48" t="s">
        <v>91</v>
      </c>
      <c r="J1550" s="44">
        <f>YEAR(A1550)</f>
        <v>2023</v>
      </c>
    </row>
    <row r="1551" spans="1:11" ht="12" customHeight="1" x14ac:dyDescent="0.25">
      <c r="A1551" s="43">
        <v>45150</v>
      </c>
      <c r="B1551" s="47">
        <v>15683</v>
      </c>
      <c r="C1551" s="44" t="s">
        <v>454</v>
      </c>
      <c r="D1551" s="45">
        <v>-7.01</v>
      </c>
      <c r="E1551" s="48" t="s">
        <v>299</v>
      </c>
      <c r="F1551" s="48" t="s">
        <v>90</v>
      </c>
      <c r="G1551" s="48" t="s">
        <v>305</v>
      </c>
      <c r="I1551" s="44" t="s">
        <v>917</v>
      </c>
      <c r="J1551" s="44">
        <f>YEAR(A1551)</f>
        <v>2023</v>
      </c>
    </row>
    <row r="1552" spans="1:11" ht="12" customHeight="1" x14ac:dyDescent="0.25">
      <c r="A1552" s="43">
        <v>45150</v>
      </c>
      <c r="B1552" s="47">
        <v>15684</v>
      </c>
      <c r="C1552" s="44" t="s">
        <v>446</v>
      </c>
      <c r="D1552" s="45">
        <v>123.53</v>
      </c>
      <c r="E1552" s="48" t="s">
        <v>89</v>
      </c>
      <c r="F1552" s="48" t="s">
        <v>90</v>
      </c>
      <c r="G1552" s="48" t="s">
        <v>91</v>
      </c>
      <c r="J1552" s="44">
        <f>YEAR(A1552)</f>
        <v>2023</v>
      </c>
    </row>
    <row r="1553" spans="1:11" ht="12" customHeight="1" x14ac:dyDescent="0.25">
      <c r="A1553" s="43">
        <v>45150</v>
      </c>
      <c r="B1553" s="47">
        <v>15684</v>
      </c>
      <c r="C1553" s="44" t="s">
        <v>446</v>
      </c>
      <c r="D1553" s="45">
        <v>-123.53</v>
      </c>
      <c r="E1553" s="48" t="s">
        <v>299</v>
      </c>
      <c r="F1553" s="48" t="s">
        <v>90</v>
      </c>
      <c r="G1553" s="48" t="s">
        <v>305</v>
      </c>
      <c r="I1553" s="44" t="s">
        <v>917</v>
      </c>
      <c r="J1553" s="44">
        <f>YEAR(A1553)</f>
        <v>2023</v>
      </c>
    </row>
    <row r="1554" spans="1:11" ht="12" customHeight="1" x14ac:dyDescent="0.25">
      <c r="A1554" s="43">
        <v>45150</v>
      </c>
      <c r="B1554" s="47">
        <v>15685</v>
      </c>
      <c r="C1554" s="44" t="s">
        <v>458</v>
      </c>
      <c r="D1554" s="45">
        <v>179.85</v>
      </c>
      <c r="E1554" s="48" t="s">
        <v>89</v>
      </c>
      <c r="F1554" s="48" t="s">
        <v>90</v>
      </c>
      <c r="G1554" s="48" t="s">
        <v>91</v>
      </c>
      <c r="J1554" s="44">
        <f>YEAR(A1554)</f>
        <v>2023</v>
      </c>
    </row>
    <row r="1555" spans="1:11" ht="12" customHeight="1" x14ac:dyDescent="0.25">
      <c r="A1555" s="43">
        <v>45150</v>
      </c>
      <c r="B1555" s="47">
        <v>15685</v>
      </c>
      <c r="C1555" s="44" t="s">
        <v>458</v>
      </c>
      <c r="D1555" s="45">
        <v>-179.85</v>
      </c>
      <c r="E1555" s="48" t="s">
        <v>299</v>
      </c>
      <c r="F1555" s="48" t="s">
        <v>90</v>
      </c>
      <c r="G1555" s="48" t="s">
        <v>305</v>
      </c>
      <c r="I1555" s="44" t="s">
        <v>917</v>
      </c>
      <c r="J1555" s="44">
        <f>YEAR(A1555)</f>
        <v>2023</v>
      </c>
    </row>
    <row r="1556" spans="1:11" ht="12" customHeight="1" x14ac:dyDescent="0.25">
      <c r="A1556" s="43">
        <v>45150</v>
      </c>
      <c r="B1556" s="47">
        <v>15686</v>
      </c>
      <c r="C1556" s="44" t="s">
        <v>318</v>
      </c>
      <c r="D1556" s="45">
        <v>12</v>
      </c>
      <c r="E1556" s="48" t="s">
        <v>105</v>
      </c>
      <c r="F1556" s="48" t="s">
        <v>90</v>
      </c>
      <c r="G1556" s="48" t="s">
        <v>99</v>
      </c>
      <c r="J1556" s="44">
        <f>YEAR(A1556)</f>
        <v>2023</v>
      </c>
    </row>
    <row r="1557" spans="1:11" ht="12" customHeight="1" x14ac:dyDescent="0.25">
      <c r="A1557" s="43">
        <v>45150</v>
      </c>
      <c r="B1557" s="47">
        <v>15686</v>
      </c>
      <c r="C1557" s="44" t="s">
        <v>318</v>
      </c>
      <c r="D1557" s="45">
        <v>8</v>
      </c>
      <c r="E1557" s="48" t="s">
        <v>105</v>
      </c>
      <c r="F1557" s="48" t="s">
        <v>90</v>
      </c>
      <c r="G1557" s="48" t="s">
        <v>93</v>
      </c>
      <c r="J1557" s="44">
        <f>YEAR(A1557)</f>
        <v>2023</v>
      </c>
      <c r="K1557" s="49" t="s">
        <v>808</v>
      </c>
    </row>
    <row r="1558" spans="1:11" ht="12" customHeight="1" x14ac:dyDescent="0.25">
      <c r="A1558" s="43">
        <v>45150</v>
      </c>
      <c r="B1558" s="47">
        <v>15686</v>
      </c>
      <c r="C1558" s="44" t="s">
        <v>318</v>
      </c>
      <c r="D1558" s="45">
        <v>40</v>
      </c>
      <c r="E1558" s="48" t="s">
        <v>145</v>
      </c>
      <c r="F1558" s="48" t="s">
        <v>116</v>
      </c>
      <c r="G1558" s="48" t="s">
        <v>91</v>
      </c>
      <c r="J1558" s="44">
        <f>YEAR(A1558)</f>
        <v>2023</v>
      </c>
      <c r="K1558" s="49" t="s">
        <v>809</v>
      </c>
    </row>
    <row r="1559" spans="1:11" ht="12" customHeight="1" x14ac:dyDescent="0.25">
      <c r="A1559" s="43">
        <v>45150</v>
      </c>
      <c r="B1559" s="47">
        <v>15686</v>
      </c>
      <c r="C1559" s="44" t="s">
        <v>318</v>
      </c>
      <c r="D1559" s="45">
        <v>-60</v>
      </c>
      <c r="E1559" s="48" t="s">
        <v>299</v>
      </c>
      <c r="F1559" s="48" t="s">
        <v>90</v>
      </c>
      <c r="G1559" s="48" t="s">
        <v>305</v>
      </c>
      <c r="I1559" s="44" t="s">
        <v>917</v>
      </c>
      <c r="J1559" s="44">
        <f>YEAR(A1559)</f>
        <v>2023</v>
      </c>
    </row>
    <row r="1560" spans="1:11" ht="12" customHeight="1" x14ac:dyDescent="0.25">
      <c r="A1560" s="43">
        <v>45152</v>
      </c>
      <c r="B1560" s="47">
        <v>15687</v>
      </c>
      <c r="C1560" s="44" t="s">
        <v>471</v>
      </c>
      <c r="D1560" s="45">
        <v>26.2</v>
      </c>
      <c r="E1560" s="48" t="s">
        <v>89</v>
      </c>
      <c r="F1560" s="48" t="s">
        <v>90</v>
      </c>
      <c r="G1560" s="48" t="s">
        <v>91</v>
      </c>
      <c r="J1560" s="44">
        <f>YEAR(A1560)</f>
        <v>2023</v>
      </c>
    </row>
    <row r="1561" spans="1:11" ht="12" customHeight="1" x14ac:dyDescent="0.25">
      <c r="A1561" s="43">
        <v>45152</v>
      </c>
      <c r="B1561" s="47">
        <v>15687</v>
      </c>
      <c r="C1561" s="44" t="s">
        <v>471</v>
      </c>
      <c r="D1561" s="45">
        <v>-26.2</v>
      </c>
      <c r="E1561" s="48" t="s">
        <v>299</v>
      </c>
      <c r="F1561" s="48" t="s">
        <v>90</v>
      </c>
      <c r="G1561" s="48" t="s">
        <v>305</v>
      </c>
      <c r="I1561" s="44" t="s">
        <v>917</v>
      </c>
      <c r="J1561" s="44">
        <f>YEAR(A1561)</f>
        <v>2023</v>
      </c>
    </row>
    <row r="1562" spans="1:11" ht="12" customHeight="1" x14ac:dyDescent="0.25">
      <c r="A1562" s="43">
        <v>45153</v>
      </c>
      <c r="B1562" s="47">
        <v>15688</v>
      </c>
      <c r="C1562" s="44" t="s">
        <v>455</v>
      </c>
      <c r="D1562" s="45">
        <v>65.77</v>
      </c>
      <c r="E1562" s="48" t="s">
        <v>180</v>
      </c>
      <c r="F1562" s="48" t="s">
        <v>96</v>
      </c>
      <c r="G1562" s="48" t="s">
        <v>186</v>
      </c>
      <c r="J1562" s="44">
        <f>YEAR(A1562)</f>
        <v>2023</v>
      </c>
    </row>
    <row r="1563" spans="1:11" ht="12" customHeight="1" x14ac:dyDescent="0.25">
      <c r="A1563" s="43">
        <v>45153</v>
      </c>
      <c r="B1563" s="47">
        <v>15688</v>
      </c>
      <c r="C1563" s="44" t="s">
        <v>455</v>
      </c>
      <c r="D1563" s="45">
        <v>-65.77</v>
      </c>
      <c r="E1563" s="48" t="s">
        <v>299</v>
      </c>
      <c r="F1563" s="48" t="s">
        <v>90</v>
      </c>
      <c r="G1563" s="48" t="s">
        <v>305</v>
      </c>
      <c r="I1563" s="44" t="s">
        <v>917</v>
      </c>
      <c r="J1563" s="44">
        <f>YEAR(A1563)</f>
        <v>2023</v>
      </c>
    </row>
    <row r="1564" spans="1:11" ht="12" customHeight="1" x14ac:dyDescent="0.25">
      <c r="A1564" s="43">
        <v>45153</v>
      </c>
      <c r="B1564" s="47">
        <v>15689</v>
      </c>
      <c r="C1564" s="44" t="s">
        <v>448</v>
      </c>
      <c r="D1564" s="45">
        <v>10.9</v>
      </c>
      <c r="E1564" s="48" t="s">
        <v>180</v>
      </c>
      <c r="F1564" s="48" t="s">
        <v>90</v>
      </c>
      <c r="G1564" s="48" t="s">
        <v>91</v>
      </c>
      <c r="H1564" s="44" t="s">
        <v>442</v>
      </c>
      <c r="J1564" s="44">
        <f>YEAR(A1564)</f>
        <v>2023</v>
      </c>
    </row>
    <row r="1565" spans="1:11" ht="12" customHeight="1" x14ac:dyDescent="0.25">
      <c r="A1565" s="43">
        <v>45153</v>
      </c>
      <c r="B1565" s="47">
        <v>15689</v>
      </c>
      <c r="C1565" s="44" t="s">
        <v>448</v>
      </c>
      <c r="D1565" s="45">
        <v>-10.9</v>
      </c>
      <c r="E1565" s="48" t="s">
        <v>299</v>
      </c>
      <c r="F1565" s="48" t="s">
        <v>90</v>
      </c>
      <c r="G1565" s="48" t="s">
        <v>305</v>
      </c>
      <c r="I1565" s="44" t="s">
        <v>917</v>
      </c>
      <c r="J1565" s="44">
        <f>YEAR(A1565)</f>
        <v>2023</v>
      </c>
    </row>
    <row r="1566" spans="1:11" ht="12" customHeight="1" x14ac:dyDescent="0.25">
      <c r="A1566" s="43">
        <v>45156</v>
      </c>
      <c r="B1566" s="47">
        <v>15690</v>
      </c>
      <c r="C1566" s="44" t="s">
        <v>468</v>
      </c>
      <c r="D1566" s="45">
        <v>9.3800000000000008</v>
      </c>
      <c r="E1566" s="48" t="s">
        <v>197</v>
      </c>
      <c r="F1566" s="48" t="s">
        <v>90</v>
      </c>
      <c r="G1566" s="48" t="s">
        <v>91</v>
      </c>
      <c r="J1566" s="44">
        <f>YEAR(A1566)</f>
        <v>2023</v>
      </c>
    </row>
    <row r="1567" spans="1:11" ht="12" customHeight="1" x14ac:dyDescent="0.25">
      <c r="A1567" s="43">
        <v>45156</v>
      </c>
      <c r="B1567" s="47">
        <v>15690</v>
      </c>
      <c r="C1567" s="44" t="s">
        <v>468</v>
      </c>
      <c r="D1567" s="45">
        <v>-9.3800000000000008</v>
      </c>
      <c r="E1567" s="48" t="s">
        <v>299</v>
      </c>
      <c r="F1567" s="48" t="s">
        <v>90</v>
      </c>
      <c r="G1567" s="48" t="s">
        <v>305</v>
      </c>
      <c r="I1567" s="44" t="s">
        <v>917</v>
      </c>
      <c r="J1567" s="44">
        <f>YEAR(A1567)</f>
        <v>2023</v>
      </c>
    </row>
    <row r="1568" spans="1:11" ht="12" customHeight="1" x14ac:dyDescent="0.25">
      <c r="A1568" s="43">
        <v>45156</v>
      </c>
      <c r="B1568" s="47">
        <v>15691</v>
      </c>
      <c r="C1568" s="44" t="s">
        <v>550</v>
      </c>
      <c r="D1568" s="45">
        <v>11.8</v>
      </c>
      <c r="E1568" s="48" t="s">
        <v>197</v>
      </c>
      <c r="F1568" s="48" t="s">
        <v>96</v>
      </c>
      <c r="G1568" s="48" t="s">
        <v>93</v>
      </c>
      <c r="J1568" s="44">
        <f>YEAR(A1568)</f>
        <v>2023</v>
      </c>
      <c r="K1568" s="49" t="s">
        <v>810</v>
      </c>
    </row>
    <row r="1569" spans="1:10" ht="12" customHeight="1" x14ac:dyDescent="0.25">
      <c r="A1569" s="43">
        <v>45156</v>
      </c>
      <c r="B1569" s="47">
        <v>15691</v>
      </c>
      <c r="C1569" s="44" t="s">
        <v>550</v>
      </c>
      <c r="D1569" s="45">
        <v>-11.8</v>
      </c>
      <c r="E1569" s="48" t="s">
        <v>299</v>
      </c>
      <c r="F1569" s="48" t="s">
        <v>90</v>
      </c>
      <c r="G1569" s="48" t="s">
        <v>305</v>
      </c>
      <c r="I1569" s="44" t="s">
        <v>917</v>
      </c>
      <c r="J1569" s="44">
        <f>YEAR(A1569)</f>
        <v>2023</v>
      </c>
    </row>
    <row r="1570" spans="1:10" ht="12" customHeight="1" x14ac:dyDescent="0.25">
      <c r="A1570" s="43">
        <v>45150</v>
      </c>
      <c r="B1570" s="47">
        <v>15692</v>
      </c>
      <c r="C1570" s="44" t="s">
        <v>484</v>
      </c>
      <c r="D1570" s="45">
        <v>-30</v>
      </c>
      <c r="E1570" s="48" t="s">
        <v>299</v>
      </c>
      <c r="F1570" s="48" t="s">
        <v>90</v>
      </c>
      <c r="G1570" s="48" t="s">
        <v>91</v>
      </c>
      <c r="H1570" s="44">
        <v>4021</v>
      </c>
      <c r="I1570" s="44" t="s">
        <v>920</v>
      </c>
      <c r="J1570" s="44">
        <f>YEAR(A1570)</f>
        <v>2023</v>
      </c>
    </row>
    <row r="1571" spans="1:10" ht="12" customHeight="1" x14ac:dyDescent="0.25">
      <c r="A1571" s="43">
        <v>45150</v>
      </c>
      <c r="B1571" s="47">
        <v>15692</v>
      </c>
      <c r="C1571" s="44" t="s">
        <v>484</v>
      </c>
      <c r="D1571" s="45">
        <v>30</v>
      </c>
      <c r="E1571" s="48" t="s">
        <v>89</v>
      </c>
      <c r="F1571" s="48" t="s">
        <v>90</v>
      </c>
      <c r="G1571" s="48" t="s">
        <v>91</v>
      </c>
      <c r="J1571" s="44">
        <f>YEAR(A1571)</f>
        <v>2023</v>
      </c>
    </row>
    <row r="1572" spans="1:10" ht="12" customHeight="1" x14ac:dyDescent="0.25">
      <c r="A1572" s="43">
        <v>45145</v>
      </c>
      <c r="B1572" s="47">
        <v>15693</v>
      </c>
      <c r="C1572" s="44" t="s">
        <v>417</v>
      </c>
      <c r="D1572" s="45">
        <v>3106.28</v>
      </c>
      <c r="E1572" s="48" t="s">
        <v>299</v>
      </c>
      <c r="F1572" s="48" t="s">
        <v>90</v>
      </c>
      <c r="G1572" s="48" t="s">
        <v>305</v>
      </c>
      <c r="I1572" s="44" t="s">
        <v>813</v>
      </c>
      <c r="J1572" s="44">
        <f>YEAR(A1572)</f>
        <v>2023</v>
      </c>
    </row>
    <row r="1573" spans="1:10" ht="12" customHeight="1" x14ac:dyDescent="0.25">
      <c r="A1573" s="43">
        <v>45145</v>
      </c>
      <c r="B1573" s="47">
        <v>15693</v>
      </c>
      <c r="C1573" s="44" t="s">
        <v>417</v>
      </c>
      <c r="D1573" s="45">
        <v>-3106.28</v>
      </c>
      <c r="E1573" s="48" t="s">
        <v>299</v>
      </c>
      <c r="F1573" s="48" t="s">
        <v>90</v>
      </c>
      <c r="G1573" s="48" t="s">
        <v>91</v>
      </c>
      <c r="I1573" s="44" t="s">
        <v>812</v>
      </c>
      <c r="J1573" s="44">
        <f>YEAR(A1573)</f>
        <v>2023</v>
      </c>
    </row>
    <row r="1574" spans="1:10" ht="12" customHeight="1" x14ac:dyDescent="0.25">
      <c r="A1574" s="43">
        <v>45140</v>
      </c>
      <c r="B1574" s="47">
        <v>15694</v>
      </c>
      <c r="C1574" s="44" t="s">
        <v>409</v>
      </c>
      <c r="D1574" s="45">
        <v>-3300</v>
      </c>
      <c r="E1574" s="48" t="s">
        <v>214</v>
      </c>
      <c r="F1574" s="48" t="s">
        <v>90</v>
      </c>
      <c r="G1574" s="48" t="s">
        <v>107</v>
      </c>
      <c r="J1574" s="44">
        <f>YEAR(A1574)</f>
        <v>2023</v>
      </c>
    </row>
    <row r="1575" spans="1:10" ht="12" customHeight="1" x14ac:dyDescent="0.25">
      <c r="A1575" s="43">
        <v>45140</v>
      </c>
      <c r="B1575" s="47">
        <v>15694</v>
      </c>
      <c r="C1575" s="44" t="s">
        <v>409</v>
      </c>
      <c r="D1575" s="45">
        <v>3300</v>
      </c>
      <c r="E1575" s="48" t="s">
        <v>299</v>
      </c>
      <c r="F1575" s="48" t="s">
        <v>90</v>
      </c>
      <c r="G1575" s="48" t="s">
        <v>91</v>
      </c>
      <c r="H1575" s="44" t="s">
        <v>398</v>
      </c>
      <c r="I1575" s="44" t="s">
        <v>814</v>
      </c>
      <c r="J1575" s="44">
        <f>YEAR(A1575)</f>
        <v>2023</v>
      </c>
    </row>
    <row r="1576" spans="1:10" ht="12" customHeight="1" x14ac:dyDescent="0.25">
      <c r="A1576" s="43">
        <v>45125</v>
      </c>
      <c r="B1576" s="47">
        <v>15695</v>
      </c>
      <c r="C1576" s="44" t="s">
        <v>390</v>
      </c>
      <c r="D1576" s="45">
        <v>6.3</v>
      </c>
      <c r="E1576" s="48" t="s">
        <v>124</v>
      </c>
      <c r="F1576" s="48" t="s">
        <v>128</v>
      </c>
      <c r="G1576" s="48" t="s">
        <v>91</v>
      </c>
      <c r="J1576" s="44">
        <f>YEAR(A1576)</f>
        <v>2023</v>
      </c>
    </row>
    <row r="1577" spans="1:10" ht="12" customHeight="1" x14ac:dyDescent="0.25">
      <c r="A1577" s="43">
        <v>45125</v>
      </c>
      <c r="B1577" s="47">
        <v>15695</v>
      </c>
      <c r="C1577" s="44" t="s">
        <v>390</v>
      </c>
      <c r="D1577" s="45">
        <v>-6.3</v>
      </c>
      <c r="E1577" s="48" t="s">
        <v>299</v>
      </c>
      <c r="F1577" s="48" t="s">
        <v>90</v>
      </c>
      <c r="G1577" s="48" t="s">
        <v>91</v>
      </c>
      <c r="H1577" s="44" t="s">
        <v>391</v>
      </c>
      <c r="I1577" s="44" t="s">
        <v>812</v>
      </c>
      <c r="J1577" s="44">
        <f>YEAR(A1577)</f>
        <v>2023</v>
      </c>
    </row>
    <row r="1578" spans="1:10" ht="12" customHeight="1" x14ac:dyDescent="0.25">
      <c r="A1578" s="43">
        <v>45125</v>
      </c>
      <c r="B1578" s="47">
        <v>15695</v>
      </c>
      <c r="C1578" s="44" t="s">
        <v>393</v>
      </c>
      <c r="D1578" s="45">
        <v>16.100000000000001</v>
      </c>
      <c r="E1578" s="48" t="s">
        <v>124</v>
      </c>
      <c r="F1578" s="48" t="s">
        <v>128</v>
      </c>
      <c r="G1578" s="48" t="s">
        <v>91</v>
      </c>
      <c r="J1578" s="44">
        <f>YEAR(A1578)</f>
        <v>2023</v>
      </c>
    </row>
    <row r="1579" spans="1:10" ht="12" customHeight="1" x14ac:dyDescent="0.25">
      <c r="A1579" s="43">
        <v>45125</v>
      </c>
      <c r="B1579" s="47">
        <v>15695</v>
      </c>
      <c r="C1579" s="44" t="s">
        <v>393</v>
      </c>
      <c r="D1579" s="45">
        <v>-16.100000000000001</v>
      </c>
      <c r="E1579" s="48" t="s">
        <v>299</v>
      </c>
      <c r="F1579" s="48" t="s">
        <v>90</v>
      </c>
      <c r="G1579" s="48" t="s">
        <v>91</v>
      </c>
      <c r="H1579" s="44" t="s">
        <v>391</v>
      </c>
      <c r="I1579" s="44" t="s">
        <v>812</v>
      </c>
      <c r="J1579" s="44">
        <f>YEAR(A1579)</f>
        <v>2023</v>
      </c>
    </row>
    <row r="1580" spans="1:10" ht="12" customHeight="1" x14ac:dyDescent="0.25">
      <c r="A1580" s="43">
        <v>45125</v>
      </c>
      <c r="B1580" s="47">
        <v>15695</v>
      </c>
      <c r="C1580" s="44" t="s">
        <v>394</v>
      </c>
      <c r="D1580" s="45">
        <v>0.49</v>
      </c>
      <c r="E1580" s="48" t="s">
        <v>124</v>
      </c>
      <c r="F1580" s="48" t="s">
        <v>128</v>
      </c>
      <c r="G1580" s="48" t="s">
        <v>91</v>
      </c>
      <c r="J1580" s="44">
        <f>YEAR(A1580)</f>
        <v>2023</v>
      </c>
    </row>
    <row r="1581" spans="1:10" ht="12" customHeight="1" x14ac:dyDescent="0.25">
      <c r="A1581" s="43">
        <v>45125</v>
      </c>
      <c r="B1581" s="47">
        <v>15695</v>
      </c>
      <c r="C1581" s="44" t="s">
        <v>394</v>
      </c>
      <c r="D1581" s="45">
        <v>-0.49</v>
      </c>
      <c r="E1581" s="48" t="s">
        <v>299</v>
      </c>
      <c r="F1581" s="48" t="s">
        <v>90</v>
      </c>
      <c r="G1581" s="48" t="s">
        <v>91</v>
      </c>
      <c r="H1581" s="44" t="s">
        <v>391</v>
      </c>
      <c r="I1581" s="44" t="s">
        <v>812</v>
      </c>
      <c r="J1581" s="44">
        <f>YEAR(A1581)</f>
        <v>2023</v>
      </c>
    </row>
    <row r="1582" spans="1:10" ht="12" customHeight="1" x14ac:dyDescent="0.25">
      <c r="A1582" s="43">
        <v>45125</v>
      </c>
      <c r="B1582" s="47">
        <v>15695</v>
      </c>
      <c r="C1582" s="44" t="s">
        <v>395</v>
      </c>
      <c r="D1582" s="45">
        <v>0.7</v>
      </c>
      <c r="E1582" s="48" t="s">
        <v>124</v>
      </c>
      <c r="F1582" s="48" t="s">
        <v>128</v>
      </c>
      <c r="G1582" s="48" t="s">
        <v>91</v>
      </c>
      <c r="J1582" s="44">
        <f>YEAR(A1582)</f>
        <v>2023</v>
      </c>
    </row>
    <row r="1583" spans="1:10" ht="12" customHeight="1" x14ac:dyDescent="0.25">
      <c r="A1583" s="43">
        <v>45125</v>
      </c>
      <c r="B1583" s="47">
        <v>15695</v>
      </c>
      <c r="C1583" s="44" t="s">
        <v>395</v>
      </c>
      <c r="D1583" s="45">
        <v>-0.7</v>
      </c>
      <c r="E1583" s="48" t="s">
        <v>299</v>
      </c>
      <c r="F1583" s="48" t="s">
        <v>90</v>
      </c>
      <c r="G1583" s="48" t="s">
        <v>91</v>
      </c>
      <c r="H1583" s="44" t="s">
        <v>391</v>
      </c>
      <c r="I1583" s="44" t="s">
        <v>812</v>
      </c>
      <c r="J1583" s="44">
        <f>YEAR(A1583)</f>
        <v>2023</v>
      </c>
    </row>
    <row r="1584" spans="1:10" ht="12" customHeight="1" x14ac:dyDescent="0.25">
      <c r="A1584" s="43">
        <v>45135</v>
      </c>
      <c r="B1584" s="47">
        <v>15696</v>
      </c>
      <c r="C1584" s="44" t="s">
        <v>396</v>
      </c>
      <c r="D1584" s="45">
        <v>31.39</v>
      </c>
      <c r="E1584" s="48" t="s">
        <v>157</v>
      </c>
      <c r="F1584" s="48" t="s">
        <v>155</v>
      </c>
      <c r="G1584" s="48" t="s">
        <v>94</v>
      </c>
      <c r="J1584" s="44">
        <f>YEAR(A1584)</f>
        <v>2023</v>
      </c>
    </row>
    <row r="1585" spans="1:10" ht="12" customHeight="1" x14ac:dyDescent="0.25">
      <c r="A1585" s="43">
        <v>45135</v>
      </c>
      <c r="B1585" s="47">
        <v>15696</v>
      </c>
      <c r="C1585" s="44" t="s">
        <v>396</v>
      </c>
      <c r="D1585" s="45">
        <v>-31.39</v>
      </c>
      <c r="E1585" s="48" t="s">
        <v>299</v>
      </c>
      <c r="F1585" s="48" t="s">
        <v>90</v>
      </c>
      <c r="G1585" s="48" t="s">
        <v>91</v>
      </c>
      <c r="H1585" s="44" t="s">
        <v>391</v>
      </c>
      <c r="I1585" s="44" t="s">
        <v>812</v>
      </c>
      <c r="J1585" s="44">
        <f>YEAR(A1585)</f>
        <v>2023</v>
      </c>
    </row>
    <row r="1586" spans="1:10" ht="12" customHeight="1" x14ac:dyDescent="0.25">
      <c r="A1586" s="43">
        <v>45124</v>
      </c>
      <c r="B1586" s="47">
        <v>15697</v>
      </c>
      <c r="C1586" s="44" t="s">
        <v>397</v>
      </c>
      <c r="D1586" s="45">
        <v>-800</v>
      </c>
      <c r="E1586" s="48" t="s">
        <v>244</v>
      </c>
      <c r="F1586" s="48" t="s">
        <v>90</v>
      </c>
      <c r="G1586" s="48" t="s">
        <v>114</v>
      </c>
      <c r="J1586" s="44">
        <f>YEAR(A1586)</f>
        <v>2023</v>
      </c>
    </row>
    <row r="1587" spans="1:10" ht="12" customHeight="1" x14ac:dyDescent="0.25">
      <c r="A1587" s="43">
        <v>45124</v>
      </c>
      <c r="B1587" s="47">
        <v>15697</v>
      </c>
      <c r="C1587" s="44" t="s">
        <v>397</v>
      </c>
      <c r="D1587" s="45">
        <v>800</v>
      </c>
      <c r="E1587" s="48" t="s">
        <v>299</v>
      </c>
      <c r="F1587" s="48" t="s">
        <v>90</v>
      </c>
      <c r="G1587" s="48" t="s">
        <v>91</v>
      </c>
      <c r="H1587" s="44" t="s">
        <v>398</v>
      </c>
      <c r="I1587" s="44" t="s">
        <v>814</v>
      </c>
      <c r="J1587" s="44">
        <f>YEAR(A1587)</f>
        <v>2023</v>
      </c>
    </row>
    <row r="1588" spans="1:10" ht="12" customHeight="1" x14ac:dyDescent="0.25">
      <c r="A1588" s="43">
        <v>45140</v>
      </c>
      <c r="B1588" s="47">
        <v>15698</v>
      </c>
      <c r="C1588" s="44" t="s">
        <v>399</v>
      </c>
      <c r="D1588" s="45">
        <v>19.989999999999998</v>
      </c>
      <c r="E1588" s="48" t="s">
        <v>157</v>
      </c>
      <c r="F1588" s="48" t="s">
        <v>155</v>
      </c>
      <c r="G1588" s="48" t="s">
        <v>98</v>
      </c>
      <c r="J1588" s="44">
        <f>YEAR(A1588)</f>
        <v>2023</v>
      </c>
    </row>
    <row r="1589" spans="1:10" ht="12" customHeight="1" x14ac:dyDescent="0.25">
      <c r="A1589" s="43">
        <v>45140</v>
      </c>
      <c r="B1589" s="47">
        <v>15698</v>
      </c>
      <c r="C1589" s="44" t="s">
        <v>399</v>
      </c>
      <c r="D1589" s="45">
        <v>-19.989999999999998</v>
      </c>
      <c r="E1589" s="48" t="s">
        <v>299</v>
      </c>
      <c r="F1589" s="48" t="s">
        <v>90</v>
      </c>
      <c r="G1589" s="48" t="s">
        <v>91</v>
      </c>
      <c r="H1589" s="44" t="s">
        <v>391</v>
      </c>
      <c r="I1589" s="44" t="s">
        <v>812</v>
      </c>
      <c r="J1589" s="44">
        <f>YEAR(A1589)</f>
        <v>2023</v>
      </c>
    </row>
    <row r="1590" spans="1:10" ht="12" customHeight="1" x14ac:dyDescent="0.25">
      <c r="A1590" s="43">
        <v>45140</v>
      </c>
      <c r="B1590" s="47">
        <v>15699</v>
      </c>
      <c r="C1590" s="44" t="s">
        <v>400</v>
      </c>
      <c r="D1590" s="45">
        <v>21.79</v>
      </c>
      <c r="E1590" s="48" t="s">
        <v>157</v>
      </c>
      <c r="F1590" s="48" t="s">
        <v>155</v>
      </c>
      <c r="G1590" s="48" t="s">
        <v>95</v>
      </c>
      <c r="J1590" s="44">
        <f>YEAR(A1590)</f>
        <v>2023</v>
      </c>
    </row>
    <row r="1591" spans="1:10" ht="12" customHeight="1" x14ac:dyDescent="0.25">
      <c r="A1591" s="43">
        <v>45140</v>
      </c>
      <c r="B1591" s="47">
        <v>15699</v>
      </c>
      <c r="C1591" s="44" t="s">
        <v>400</v>
      </c>
      <c r="D1591" s="45">
        <v>-21.79</v>
      </c>
      <c r="E1591" s="48" t="s">
        <v>299</v>
      </c>
      <c r="F1591" s="48" t="s">
        <v>90</v>
      </c>
      <c r="G1591" s="48" t="s">
        <v>91</v>
      </c>
      <c r="H1591" s="44" t="s">
        <v>391</v>
      </c>
      <c r="I1591" s="44" t="s">
        <v>812</v>
      </c>
      <c r="J1591" s="44">
        <f>YEAR(A1591)</f>
        <v>2023</v>
      </c>
    </row>
    <row r="1592" spans="1:10" ht="12" customHeight="1" x14ac:dyDescent="0.25">
      <c r="A1592" s="43">
        <v>45133</v>
      </c>
      <c r="B1592" s="47">
        <v>15700</v>
      </c>
      <c r="C1592" s="44" t="s">
        <v>815</v>
      </c>
      <c r="D1592" s="45">
        <v>30.79</v>
      </c>
      <c r="E1592" s="48" t="s">
        <v>157</v>
      </c>
      <c r="F1592" s="48" t="s">
        <v>155</v>
      </c>
      <c r="G1592" s="48" t="s">
        <v>99</v>
      </c>
      <c r="J1592" s="44">
        <f>YEAR(A1592)</f>
        <v>2023</v>
      </c>
    </row>
    <row r="1593" spans="1:10" ht="12" customHeight="1" x14ac:dyDescent="0.25">
      <c r="A1593" s="43">
        <v>45133</v>
      </c>
      <c r="B1593" s="47">
        <v>15700</v>
      </c>
      <c r="C1593" s="44" t="s">
        <v>815</v>
      </c>
      <c r="D1593" s="45">
        <v>-30.79</v>
      </c>
      <c r="E1593" s="48" t="s">
        <v>299</v>
      </c>
      <c r="F1593" s="48" t="s">
        <v>90</v>
      </c>
      <c r="G1593" s="48" t="s">
        <v>91</v>
      </c>
      <c r="H1593" s="44" t="s">
        <v>391</v>
      </c>
      <c r="I1593" s="44" t="s">
        <v>812</v>
      </c>
      <c r="J1593" s="44">
        <f>YEAR(A1593)</f>
        <v>2023</v>
      </c>
    </row>
    <row r="1594" spans="1:10" ht="12" customHeight="1" x14ac:dyDescent="0.25">
      <c r="A1594" s="43">
        <v>45124</v>
      </c>
      <c r="B1594" s="47">
        <v>15701</v>
      </c>
      <c r="C1594" s="44" t="s">
        <v>401</v>
      </c>
      <c r="D1594" s="45">
        <v>238</v>
      </c>
      <c r="E1594" s="48" t="s">
        <v>110</v>
      </c>
      <c r="F1594" s="48" t="s">
        <v>90</v>
      </c>
      <c r="G1594" s="48" t="s">
        <v>91</v>
      </c>
      <c r="J1594" s="44">
        <f>YEAR(A1594)</f>
        <v>2023</v>
      </c>
    </row>
    <row r="1595" spans="1:10" ht="12" customHeight="1" x14ac:dyDescent="0.25">
      <c r="A1595" s="43">
        <v>45124</v>
      </c>
      <c r="B1595" s="47">
        <v>15701</v>
      </c>
      <c r="C1595" s="44" t="s">
        <v>401</v>
      </c>
      <c r="D1595" s="45">
        <v>-238</v>
      </c>
      <c r="E1595" s="48" t="s">
        <v>299</v>
      </c>
      <c r="F1595" s="48" t="s">
        <v>90</v>
      </c>
      <c r="G1595" s="48" t="s">
        <v>91</v>
      </c>
      <c r="H1595" s="44" t="s">
        <v>402</v>
      </c>
      <c r="I1595" s="44" t="s">
        <v>812</v>
      </c>
      <c r="J1595" s="44">
        <f>YEAR(A1595)</f>
        <v>2023</v>
      </c>
    </row>
    <row r="1596" spans="1:10" ht="12" customHeight="1" x14ac:dyDescent="0.25">
      <c r="A1596" s="43">
        <v>45127</v>
      </c>
      <c r="B1596" s="47">
        <v>15702</v>
      </c>
      <c r="C1596" s="44" t="s">
        <v>225</v>
      </c>
      <c r="D1596" s="45">
        <v>-23</v>
      </c>
      <c r="E1596" s="48" t="s">
        <v>222</v>
      </c>
      <c r="F1596" s="48" t="s">
        <v>90</v>
      </c>
      <c r="G1596" s="48" t="s">
        <v>225</v>
      </c>
      <c r="J1596" s="44">
        <f>YEAR(A1596)</f>
        <v>2023</v>
      </c>
    </row>
    <row r="1597" spans="1:10" ht="12" customHeight="1" x14ac:dyDescent="0.25">
      <c r="A1597" s="43">
        <v>45127</v>
      </c>
      <c r="B1597" s="47">
        <v>15702</v>
      </c>
      <c r="C1597" s="44" t="s">
        <v>225</v>
      </c>
      <c r="D1597" s="45">
        <v>23</v>
      </c>
      <c r="E1597" s="48" t="s">
        <v>299</v>
      </c>
      <c r="F1597" s="48" t="s">
        <v>90</v>
      </c>
      <c r="G1597" s="48" t="s">
        <v>91</v>
      </c>
      <c r="H1597" s="44" t="s">
        <v>398</v>
      </c>
      <c r="I1597" s="44" t="s">
        <v>814</v>
      </c>
      <c r="J1597" s="44">
        <f>YEAR(A1597)</f>
        <v>2023</v>
      </c>
    </row>
    <row r="1598" spans="1:10" ht="12" customHeight="1" x14ac:dyDescent="0.25">
      <c r="A1598" s="43">
        <v>45132</v>
      </c>
      <c r="B1598" s="47">
        <v>15703</v>
      </c>
      <c r="C1598" s="44" t="s">
        <v>225</v>
      </c>
      <c r="D1598" s="45">
        <v>-216.18</v>
      </c>
      <c r="E1598" s="48" t="s">
        <v>222</v>
      </c>
      <c r="F1598" s="48" t="s">
        <v>90</v>
      </c>
      <c r="G1598" s="48" t="s">
        <v>225</v>
      </c>
      <c r="J1598" s="44">
        <f>YEAR(A1598)</f>
        <v>2023</v>
      </c>
    </row>
    <row r="1599" spans="1:10" ht="12" customHeight="1" x14ac:dyDescent="0.25">
      <c r="A1599" s="43">
        <v>45132</v>
      </c>
      <c r="B1599" s="47">
        <v>15703</v>
      </c>
      <c r="C1599" s="44" t="s">
        <v>225</v>
      </c>
      <c r="D1599" s="45">
        <v>216.18</v>
      </c>
      <c r="E1599" s="48" t="s">
        <v>299</v>
      </c>
      <c r="F1599" s="48" t="s">
        <v>90</v>
      </c>
      <c r="G1599" s="48" t="s">
        <v>91</v>
      </c>
      <c r="H1599" s="44" t="s">
        <v>398</v>
      </c>
      <c r="I1599" s="44" t="s">
        <v>814</v>
      </c>
      <c r="J1599" s="44">
        <f>YEAR(A1599)</f>
        <v>2023</v>
      </c>
    </row>
    <row r="1600" spans="1:10" ht="12" customHeight="1" x14ac:dyDescent="0.25">
      <c r="A1600" s="43">
        <v>45126</v>
      </c>
      <c r="B1600" s="47">
        <v>15704</v>
      </c>
      <c r="C1600" s="44" t="s">
        <v>405</v>
      </c>
      <c r="D1600" s="45">
        <v>-38.97</v>
      </c>
      <c r="E1600" s="48" t="s">
        <v>299</v>
      </c>
      <c r="F1600" s="48" t="s">
        <v>90</v>
      </c>
      <c r="G1600" s="48" t="s">
        <v>91</v>
      </c>
      <c r="H1600" s="44" t="s">
        <v>391</v>
      </c>
      <c r="I1600" s="44" t="s">
        <v>812</v>
      </c>
      <c r="J1600" s="44">
        <f>YEAR(A1600)</f>
        <v>2023</v>
      </c>
    </row>
    <row r="1601" spans="1:10" ht="12" customHeight="1" x14ac:dyDescent="0.25">
      <c r="A1601" s="43">
        <v>45126</v>
      </c>
      <c r="B1601" s="47">
        <v>15704</v>
      </c>
      <c r="C1601" s="44" t="s">
        <v>405</v>
      </c>
      <c r="D1601" s="45">
        <v>38.97</v>
      </c>
      <c r="E1601" s="48" t="s">
        <v>157</v>
      </c>
      <c r="F1601" s="48" t="s">
        <v>137</v>
      </c>
      <c r="G1601" s="48" t="s">
        <v>115</v>
      </c>
      <c r="J1601" s="44">
        <f>YEAR(A1601)</f>
        <v>2023</v>
      </c>
    </row>
    <row r="1602" spans="1:10" ht="12" customHeight="1" x14ac:dyDescent="0.25">
      <c r="A1602" s="43">
        <v>45127</v>
      </c>
      <c r="B1602" s="47">
        <v>15705</v>
      </c>
      <c r="C1602" s="44" t="s">
        <v>406</v>
      </c>
      <c r="D1602" s="45">
        <v>-82.41</v>
      </c>
      <c r="E1602" s="48" t="s">
        <v>299</v>
      </c>
      <c r="F1602" s="48" t="s">
        <v>90</v>
      </c>
      <c r="G1602" s="48" t="s">
        <v>91</v>
      </c>
      <c r="H1602" s="44" t="s">
        <v>391</v>
      </c>
      <c r="I1602" s="44" t="s">
        <v>812</v>
      </c>
      <c r="J1602" s="44">
        <f>YEAR(A1602)</f>
        <v>2023</v>
      </c>
    </row>
    <row r="1603" spans="1:10" ht="12" customHeight="1" x14ac:dyDescent="0.25">
      <c r="A1603" s="43">
        <v>45127</v>
      </c>
      <c r="B1603" s="47">
        <v>15705</v>
      </c>
      <c r="C1603" s="44" t="s">
        <v>406</v>
      </c>
      <c r="D1603" s="45">
        <v>82.41</v>
      </c>
      <c r="E1603" s="48" t="s">
        <v>157</v>
      </c>
      <c r="F1603" s="48" t="s">
        <v>137</v>
      </c>
      <c r="G1603" s="48" t="s">
        <v>115</v>
      </c>
      <c r="J1603" s="44">
        <f>YEAR(A1603)</f>
        <v>2023</v>
      </c>
    </row>
    <row r="1604" spans="1:10" ht="12" customHeight="1" x14ac:dyDescent="0.25">
      <c r="A1604" s="43">
        <v>45131</v>
      </c>
      <c r="B1604" s="47">
        <v>15706</v>
      </c>
      <c r="C1604" s="44" t="s">
        <v>407</v>
      </c>
      <c r="D1604" s="45">
        <v>14.99</v>
      </c>
      <c r="E1604" s="48" t="s">
        <v>157</v>
      </c>
      <c r="F1604" s="48" t="s">
        <v>116</v>
      </c>
      <c r="G1604" s="48" t="s">
        <v>91</v>
      </c>
      <c r="J1604" s="44">
        <f>YEAR(A1604)</f>
        <v>2023</v>
      </c>
    </row>
    <row r="1605" spans="1:10" ht="12" customHeight="1" x14ac:dyDescent="0.25">
      <c r="A1605" s="43">
        <v>45131</v>
      </c>
      <c r="B1605" s="47">
        <v>15706</v>
      </c>
      <c r="C1605" s="44" t="s">
        <v>407</v>
      </c>
      <c r="D1605" s="45">
        <v>-14.99</v>
      </c>
      <c r="E1605" s="48" t="s">
        <v>299</v>
      </c>
      <c r="F1605" s="48" t="s">
        <v>90</v>
      </c>
      <c r="G1605" s="48" t="s">
        <v>91</v>
      </c>
      <c r="H1605" s="44" t="s">
        <v>391</v>
      </c>
      <c r="I1605" s="44" t="s">
        <v>812</v>
      </c>
      <c r="J1605" s="44">
        <f>YEAR(A1605)</f>
        <v>2023</v>
      </c>
    </row>
    <row r="1606" spans="1:10" ht="12" customHeight="1" x14ac:dyDescent="0.25">
      <c r="A1606" s="43">
        <v>45145</v>
      </c>
      <c r="B1606" s="47">
        <v>15707</v>
      </c>
      <c r="C1606" s="44" t="s">
        <v>440</v>
      </c>
      <c r="D1606" s="45">
        <v>282.66000000000003</v>
      </c>
      <c r="E1606" s="48" t="s">
        <v>124</v>
      </c>
      <c r="F1606" s="48" t="s">
        <v>90</v>
      </c>
      <c r="G1606" s="48" t="s">
        <v>91</v>
      </c>
      <c r="J1606" s="44">
        <f>YEAR(A1606)</f>
        <v>2023</v>
      </c>
    </row>
    <row r="1607" spans="1:10" ht="12" customHeight="1" x14ac:dyDescent="0.25">
      <c r="A1607" s="43">
        <v>45145</v>
      </c>
      <c r="B1607" s="47">
        <v>15707</v>
      </c>
      <c r="C1607" s="44" t="s">
        <v>440</v>
      </c>
      <c r="D1607" s="45">
        <v>-282.66000000000003</v>
      </c>
      <c r="E1607" s="48" t="s">
        <v>299</v>
      </c>
      <c r="F1607" s="48" t="s">
        <v>90</v>
      </c>
      <c r="G1607" s="48" t="s">
        <v>91</v>
      </c>
      <c r="H1607" s="44" t="s">
        <v>391</v>
      </c>
      <c r="I1607" s="44" t="s">
        <v>812</v>
      </c>
      <c r="J1607" s="44">
        <f>YEAR(A1607)</f>
        <v>2023</v>
      </c>
    </row>
    <row r="1608" spans="1:10" ht="12" customHeight="1" x14ac:dyDescent="0.25">
      <c r="A1608" s="43">
        <v>45139</v>
      </c>
      <c r="B1608" s="47">
        <v>15708</v>
      </c>
      <c r="C1608" s="44" t="s">
        <v>563</v>
      </c>
      <c r="D1608" s="45">
        <v>-1171.18</v>
      </c>
      <c r="E1608" s="48" t="s">
        <v>214</v>
      </c>
      <c r="F1608" s="48" t="s">
        <v>90</v>
      </c>
      <c r="G1608" s="48" t="s">
        <v>99</v>
      </c>
      <c r="J1608" s="44">
        <f>YEAR(A1608)</f>
        <v>2023</v>
      </c>
    </row>
    <row r="1609" spans="1:10" ht="12" customHeight="1" x14ac:dyDescent="0.25">
      <c r="A1609" s="43">
        <v>45139</v>
      </c>
      <c r="B1609" s="47">
        <v>15708</v>
      </c>
      <c r="C1609" s="44" t="s">
        <v>564</v>
      </c>
      <c r="D1609" s="45">
        <v>177.94</v>
      </c>
      <c r="E1609" s="48" t="s">
        <v>110</v>
      </c>
      <c r="F1609" s="48" t="s">
        <v>90</v>
      </c>
      <c r="G1609" s="48" t="s">
        <v>91</v>
      </c>
      <c r="J1609" s="44">
        <f>YEAR(A1609)</f>
        <v>2023</v>
      </c>
    </row>
    <row r="1610" spans="1:10" ht="12" customHeight="1" x14ac:dyDescent="0.25">
      <c r="A1610" s="43">
        <v>45139</v>
      </c>
      <c r="B1610" s="47">
        <v>15708</v>
      </c>
      <c r="C1610" s="44" t="s">
        <v>563</v>
      </c>
      <c r="D1610" s="45">
        <v>993.24</v>
      </c>
      <c r="E1610" s="48" t="s">
        <v>299</v>
      </c>
      <c r="F1610" s="48" t="s">
        <v>90</v>
      </c>
      <c r="G1610" s="48" t="s">
        <v>91</v>
      </c>
      <c r="H1610" s="44" t="s">
        <v>398</v>
      </c>
      <c r="I1610" s="44" t="s">
        <v>814</v>
      </c>
      <c r="J1610" s="44">
        <f>YEAR(A1610)</f>
        <v>2023</v>
      </c>
    </row>
    <row r="1611" spans="1:10" ht="12" customHeight="1" x14ac:dyDescent="0.25">
      <c r="A1611" s="43">
        <v>45141</v>
      </c>
      <c r="B1611" s="47">
        <v>15709</v>
      </c>
      <c r="C1611" s="44" t="s">
        <v>410</v>
      </c>
      <c r="D1611" s="45">
        <v>-715.89</v>
      </c>
      <c r="E1611" s="48" t="s">
        <v>214</v>
      </c>
      <c r="F1611" s="48" t="s">
        <v>128</v>
      </c>
      <c r="G1611" s="48" t="s">
        <v>99</v>
      </c>
      <c r="J1611" s="44">
        <f>YEAR(A1611)</f>
        <v>2023</v>
      </c>
    </row>
    <row r="1612" spans="1:10" ht="12" customHeight="1" x14ac:dyDescent="0.25">
      <c r="A1612" s="43">
        <v>45141</v>
      </c>
      <c r="B1612" s="47">
        <v>15709</v>
      </c>
      <c r="C1612" s="44" t="s">
        <v>411</v>
      </c>
      <c r="D1612" s="45">
        <v>112.65</v>
      </c>
      <c r="E1612" s="48" t="s">
        <v>110</v>
      </c>
      <c r="F1612" s="48" t="s">
        <v>90</v>
      </c>
      <c r="G1612" s="48" t="s">
        <v>91</v>
      </c>
      <c r="J1612" s="44">
        <f>YEAR(A1612)</f>
        <v>2023</v>
      </c>
    </row>
    <row r="1613" spans="1:10" ht="12" customHeight="1" x14ac:dyDescent="0.25">
      <c r="A1613" s="43">
        <v>45141</v>
      </c>
      <c r="B1613" s="47">
        <v>15709</v>
      </c>
      <c r="C1613" s="44" t="s">
        <v>410</v>
      </c>
      <c r="D1613" s="45">
        <v>603.24</v>
      </c>
      <c r="E1613" s="48" t="s">
        <v>299</v>
      </c>
      <c r="F1613" s="48" t="s">
        <v>90</v>
      </c>
      <c r="G1613" s="48" t="s">
        <v>91</v>
      </c>
      <c r="H1613" s="44" t="s">
        <v>398</v>
      </c>
      <c r="I1613" s="44" t="s">
        <v>814</v>
      </c>
      <c r="J1613" s="44">
        <f>YEAR(A1613)</f>
        <v>2023</v>
      </c>
    </row>
    <row r="1614" spans="1:10" ht="12" customHeight="1" x14ac:dyDescent="0.25">
      <c r="A1614" s="43">
        <v>45149</v>
      </c>
      <c r="B1614" s="47">
        <v>15710</v>
      </c>
      <c r="C1614" s="44" t="s">
        <v>560</v>
      </c>
      <c r="D1614" s="45">
        <v>-467.8</v>
      </c>
      <c r="E1614" s="48" t="s">
        <v>214</v>
      </c>
      <c r="F1614" s="48" t="s">
        <v>128</v>
      </c>
      <c r="G1614" s="48" t="s">
        <v>99</v>
      </c>
      <c r="J1614" s="44">
        <f>YEAR(A1614)</f>
        <v>2023</v>
      </c>
    </row>
    <row r="1615" spans="1:10" ht="12" customHeight="1" x14ac:dyDescent="0.25">
      <c r="A1615" s="43">
        <v>45149</v>
      </c>
      <c r="B1615" s="47">
        <v>15710</v>
      </c>
      <c r="C1615" s="44" t="s">
        <v>560</v>
      </c>
      <c r="D1615" s="45">
        <v>73.61</v>
      </c>
      <c r="E1615" s="48" t="s">
        <v>110</v>
      </c>
      <c r="F1615" s="48" t="s">
        <v>90</v>
      </c>
      <c r="G1615" s="48" t="s">
        <v>91</v>
      </c>
      <c r="J1615" s="44">
        <f>YEAR(A1615)</f>
        <v>2023</v>
      </c>
    </row>
    <row r="1616" spans="1:10" ht="12" customHeight="1" x14ac:dyDescent="0.25">
      <c r="A1616" s="43">
        <v>45149</v>
      </c>
      <c r="B1616" s="47">
        <v>15710</v>
      </c>
      <c r="C1616" s="44" t="s">
        <v>560</v>
      </c>
      <c r="D1616" s="45">
        <v>394.19</v>
      </c>
      <c r="E1616" s="48" t="s">
        <v>299</v>
      </c>
      <c r="F1616" s="48" t="s">
        <v>90</v>
      </c>
      <c r="G1616" s="48" t="s">
        <v>91</v>
      </c>
      <c r="H1616" s="44" t="s">
        <v>398</v>
      </c>
      <c r="I1616" s="44" t="s">
        <v>814</v>
      </c>
      <c r="J1616" s="44">
        <f>YEAR(A1616)</f>
        <v>2023</v>
      </c>
    </row>
    <row r="1617" spans="1:10" ht="12" customHeight="1" x14ac:dyDescent="0.25">
      <c r="A1617" s="43">
        <v>45131</v>
      </c>
      <c r="B1617" s="47">
        <v>15711</v>
      </c>
      <c r="C1617" s="44" t="s">
        <v>817</v>
      </c>
      <c r="D1617" s="45">
        <v>-6882</v>
      </c>
      <c r="E1617" s="48" t="s">
        <v>110</v>
      </c>
      <c r="F1617" s="48" t="s">
        <v>90</v>
      </c>
      <c r="G1617" s="48" t="s">
        <v>91</v>
      </c>
      <c r="J1617" s="44">
        <f>YEAR(A1617)</f>
        <v>2023</v>
      </c>
    </row>
    <row r="1618" spans="1:10" ht="12" customHeight="1" x14ac:dyDescent="0.25">
      <c r="A1618" s="43">
        <v>45131</v>
      </c>
      <c r="B1618" s="47">
        <v>15711</v>
      </c>
      <c r="C1618" s="44" t="s">
        <v>817</v>
      </c>
      <c r="D1618" s="45">
        <v>6882</v>
      </c>
      <c r="E1618" s="48" t="s">
        <v>299</v>
      </c>
      <c r="F1618" s="48" t="s">
        <v>90</v>
      </c>
      <c r="G1618" s="48" t="s">
        <v>91</v>
      </c>
      <c r="H1618" s="44" t="s">
        <v>398</v>
      </c>
      <c r="I1618" s="44" t="s">
        <v>814</v>
      </c>
      <c r="J1618" s="44">
        <f>YEAR(A1618)</f>
        <v>2023</v>
      </c>
    </row>
    <row r="1619" spans="1:10" ht="12" customHeight="1" x14ac:dyDescent="0.25">
      <c r="A1619" s="43">
        <v>45124</v>
      </c>
      <c r="B1619" s="47">
        <v>15712</v>
      </c>
      <c r="C1619" s="44" t="s">
        <v>448</v>
      </c>
      <c r="D1619" s="45">
        <v>57.23</v>
      </c>
      <c r="E1619" s="48" t="s">
        <v>180</v>
      </c>
      <c r="F1619" s="48" t="s">
        <v>90</v>
      </c>
      <c r="G1619" s="48" t="s">
        <v>91</v>
      </c>
      <c r="H1619" s="44" t="s">
        <v>442</v>
      </c>
      <c r="J1619" s="44">
        <f>YEAR(A1619)</f>
        <v>2023</v>
      </c>
    </row>
    <row r="1620" spans="1:10" ht="12" customHeight="1" x14ac:dyDescent="0.25">
      <c r="A1620" s="43">
        <v>45124</v>
      </c>
      <c r="B1620" s="47">
        <v>15712</v>
      </c>
      <c r="C1620" s="44" t="s">
        <v>448</v>
      </c>
      <c r="D1620" s="45">
        <v>-57.23</v>
      </c>
      <c r="E1620" s="48" t="s">
        <v>299</v>
      </c>
      <c r="F1620" s="48" t="s">
        <v>90</v>
      </c>
      <c r="G1620" s="48" t="s">
        <v>91</v>
      </c>
      <c r="H1620" s="44" t="s">
        <v>391</v>
      </c>
      <c r="I1620" s="44" t="s">
        <v>812</v>
      </c>
      <c r="J1620" s="44">
        <f>YEAR(A1620)</f>
        <v>2023</v>
      </c>
    </row>
    <row r="1621" spans="1:10" ht="12" customHeight="1" x14ac:dyDescent="0.25">
      <c r="A1621" s="43">
        <v>45148</v>
      </c>
      <c r="B1621" s="47">
        <v>15713</v>
      </c>
      <c r="C1621" s="44" t="s">
        <v>606</v>
      </c>
      <c r="D1621" s="45">
        <v>247</v>
      </c>
      <c r="E1621" s="48" t="s">
        <v>124</v>
      </c>
      <c r="F1621" s="48" t="s">
        <v>90</v>
      </c>
      <c r="G1621" s="48" t="s">
        <v>91</v>
      </c>
      <c r="J1621" s="44">
        <f>YEAR(A1621)</f>
        <v>2023</v>
      </c>
    </row>
    <row r="1622" spans="1:10" ht="12" customHeight="1" x14ac:dyDescent="0.25">
      <c r="A1622" s="43">
        <v>45148</v>
      </c>
      <c r="B1622" s="47">
        <v>15713</v>
      </c>
      <c r="C1622" s="44" t="s">
        <v>606</v>
      </c>
      <c r="D1622" s="45">
        <v>-247</v>
      </c>
      <c r="E1622" s="48" t="s">
        <v>299</v>
      </c>
      <c r="F1622" s="48" t="s">
        <v>90</v>
      </c>
      <c r="G1622" s="48" t="s">
        <v>91</v>
      </c>
      <c r="H1622" s="44" t="s">
        <v>391</v>
      </c>
      <c r="I1622" s="44" t="s">
        <v>812</v>
      </c>
      <c r="J1622" s="44">
        <f>YEAR(A1622)</f>
        <v>2023</v>
      </c>
    </row>
    <row r="1623" spans="1:10" ht="12" customHeight="1" x14ac:dyDescent="0.25">
      <c r="A1623" s="43">
        <v>45138</v>
      </c>
      <c r="B1623" s="47">
        <v>15714</v>
      </c>
      <c r="C1623" s="44" t="s">
        <v>585</v>
      </c>
      <c r="D1623" s="45">
        <v>-68</v>
      </c>
      <c r="E1623" s="48" t="s">
        <v>197</v>
      </c>
      <c r="F1623" s="48" t="s">
        <v>90</v>
      </c>
      <c r="G1623" s="48" t="s">
        <v>99</v>
      </c>
      <c r="J1623" s="44">
        <f>YEAR(A1623)</f>
        <v>2023</v>
      </c>
    </row>
    <row r="1624" spans="1:10" ht="12" customHeight="1" x14ac:dyDescent="0.25">
      <c r="A1624" s="43">
        <v>45138</v>
      </c>
      <c r="B1624" s="47">
        <v>15714</v>
      </c>
      <c r="C1624" s="44" t="s">
        <v>585</v>
      </c>
      <c r="D1624" s="45">
        <v>68</v>
      </c>
      <c r="E1624" s="48" t="s">
        <v>299</v>
      </c>
      <c r="F1624" s="48" t="s">
        <v>90</v>
      </c>
      <c r="G1624" s="48" t="s">
        <v>91</v>
      </c>
      <c r="H1624" s="44" t="s">
        <v>398</v>
      </c>
      <c r="I1624" s="44" t="s">
        <v>814</v>
      </c>
      <c r="J1624" s="44">
        <f>YEAR(A1624)</f>
        <v>2023</v>
      </c>
    </row>
    <row r="1625" spans="1:10" ht="12" customHeight="1" x14ac:dyDescent="0.25">
      <c r="A1625" s="43">
        <v>45138</v>
      </c>
      <c r="B1625" s="47">
        <v>15715</v>
      </c>
      <c r="C1625" s="44" t="s">
        <v>585</v>
      </c>
      <c r="D1625" s="45">
        <v>-68</v>
      </c>
      <c r="E1625" s="48" t="s">
        <v>197</v>
      </c>
      <c r="F1625" s="48" t="s">
        <v>90</v>
      </c>
      <c r="G1625" s="48" t="s">
        <v>99</v>
      </c>
      <c r="J1625" s="44">
        <f>YEAR(A1625)</f>
        <v>2023</v>
      </c>
    </row>
    <row r="1626" spans="1:10" ht="12" customHeight="1" x14ac:dyDescent="0.25">
      <c r="A1626" s="43">
        <v>45138</v>
      </c>
      <c r="B1626" s="47">
        <v>15715</v>
      </c>
      <c r="C1626" s="44" t="s">
        <v>585</v>
      </c>
      <c r="D1626" s="45">
        <v>68</v>
      </c>
      <c r="E1626" s="48" t="s">
        <v>299</v>
      </c>
      <c r="F1626" s="48" t="s">
        <v>90</v>
      </c>
      <c r="G1626" s="48" t="s">
        <v>91</v>
      </c>
      <c r="H1626" s="44" t="s">
        <v>398</v>
      </c>
      <c r="I1626" s="44" t="s">
        <v>814</v>
      </c>
      <c r="J1626" s="44">
        <f>YEAR(A1626)</f>
        <v>2023</v>
      </c>
    </row>
    <row r="1627" spans="1:10" ht="12" customHeight="1" x14ac:dyDescent="0.25">
      <c r="A1627" s="43">
        <v>45159</v>
      </c>
      <c r="B1627" s="47">
        <v>15716</v>
      </c>
      <c r="C1627" s="44" t="s">
        <v>818</v>
      </c>
      <c r="D1627" s="45">
        <v>381</v>
      </c>
      <c r="E1627" s="48" t="s">
        <v>157</v>
      </c>
      <c r="F1627" s="48" t="s">
        <v>137</v>
      </c>
      <c r="G1627" s="48" t="s">
        <v>115</v>
      </c>
      <c r="J1627" s="44">
        <f>YEAR(A1627)</f>
        <v>2023</v>
      </c>
    </row>
    <row r="1628" spans="1:10" ht="12" customHeight="1" x14ac:dyDescent="0.25">
      <c r="A1628" s="43">
        <v>45159</v>
      </c>
      <c r="B1628" s="47">
        <v>15716</v>
      </c>
      <c r="C1628" s="44" t="s">
        <v>818</v>
      </c>
      <c r="D1628" s="45">
        <v>-381</v>
      </c>
      <c r="E1628" s="48" t="s">
        <v>299</v>
      </c>
      <c r="F1628" s="48" t="s">
        <v>90</v>
      </c>
      <c r="G1628" s="48" t="s">
        <v>305</v>
      </c>
      <c r="I1628" s="44" t="s">
        <v>917</v>
      </c>
      <c r="J1628" s="44">
        <f>YEAR(A1628)</f>
        <v>2023</v>
      </c>
    </row>
    <row r="1629" spans="1:10" ht="12" customHeight="1" x14ac:dyDescent="0.25">
      <c r="A1629" s="43">
        <v>45159</v>
      </c>
      <c r="B1629" s="47">
        <v>15717</v>
      </c>
      <c r="C1629" s="44" t="s">
        <v>819</v>
      </c>
      <c r="D1629" s="45">
        <v>10</v>
      </c>
      <c r="E1629" s="48" t="s">
        <v>139</v>
      </c>
      <c r="F1629" s="48" t="s">
        <v>128</v>
      </c>
      <c r="G1629" s="48" t="s">
        <v>99</v>
      </c>
      <c r="J1629" s="44">
        <f>YEAR(A1629)</f>
        <v>2023</v>
      </c>
    </row>
    <row r="1630" spans="1:10" ht="12" customHeight="1" x14ac:dyDescent="0.25">
      <c r="A1630" s="43">
        <v>45159</v>
      </c>
      <c r="B1630" s="47">
        <v>15717</v>
      </c>
      <c r="C1630" s="44" t="s">
        <v>819</v>
      </c>
      <c r="D1630" s="45">
        <v>-10</v>
      </c>
      <c r="E1630" s="48" t="s">
        <v>299</v>
      </c>
      <c r="F1630" s="48" t="s">
        <v>90</v>
      </c>
      <c r="G1630" s="48" t="s">
        <v>305</v>
      </c>
      <c r="I1630" s="44" t="s">
        <v>917</v>
      </c>
      <c r="J1630" s="44">
        <f>YEAR(A1630)</f>
        <v>2023</v>
      </c>
    </row>
    <row r="1631" spans="1:10" ht="12" customHeight="1" x14ac:dyDescent="0.25">
      <c r="A1631" s="43">
        <v>45158</v>
      </c>
      <c r="B1631" s="47">
        <v>15718</v>
      </c>
      <c r="C1631" s="44" t="s">
        <v>820</v>
      </c>
      <c r="D1631" s="45">
        <v>5.2</v>
      </c>
      <c r="E1631" s="48" t="s">
        <v>145</v>
      </c>
      <c r="F1631" s="48" t="s">
        <v>116</v>
      </c>
      <c r="G1631" s="48" t="s">
        <v>107</v>
      </c>
      <c r="J1631" s="44">
        <f>YEAR(A1631)</f>
        <v>2023</v>
      </c>
    </row>
    <row r="1632" spans="1:10" ht="12" customHeight="1" x14ac:dyDescent="0.25">
      <c r="A1632" s="43">
        <v>45158</v>
      </c>
      <c r="B1632" s="47">
        <v>15718</v>
      </c>
      <c r="C1632" s="44" t="s">
        <v>820</v>
      </c>
      <c r="D1632" s="45">
        <v>-5.2</v>
      </c>
      <c r="E1632" s="48" t="s">
        <v>299</v>
      </c>
      <c r="F1632" s="48" t="s">
        <v>90</v>
      </c>
      <c r="G1632" s="48" t="s">
        <v>305</v>
      </c>
      <c r="I1632" s="44" t="s">
        <v>917</v>
      </c>
      <c r="J1632" s="44">
        <f>YEAR(A1632)</f>
        <v>2023</v>
      </c>
    </row>
    <row r="1633" spans="1:10" ht="12" customHeight="1" x14ac:dyDescent="0.25">
      <c r="A1633" s="43">
        <v>45159</v>
      </c>
      <c r="B1633" s="47">
        <v>15719</v>
      </c>
      <c r="C1633" s="44" t="s">
        <v>821</v>
      </c>
      <c r="D1633" s="45">
        <v>27.8</v>
      </c>
      <c r="E1633" s="48" t="s">
        <v>145</v>
      </c>
      <c r="F1633" s="48" t="s">
        <v>116</v>
      </c>
      <c r="G1633" s="48" t="s">
        <v>91</v>
      </c>
      <c r="J1633" s="44">
        <f>YEAR(A1633)</f>
        <v>2023</v>
      </c>
    </row>
    <row r="1634" spans="1:10" ht="12" customHeight="1" x14ac:dyDescent="0.25">
      <c r="A1634" s="43">
        <v>45159</v>
      </c>
      <c r="B1634" s="47">
        <v>15719</v>
      </c>
      <c r="C1634" s="44" t="s">
        <v>821</v>
      </c>
      <c r="D1634" s="45">
        <v>-27.8</v>
      </c>
      <c r="E1634" s="48" t="s">
        <v>299</v>
      </c>
      <c r="F1634" s="48" t="s">
        <v>90</v>
      </c>
      <c r="G1634" s="48" t="s">
        <v>305</v>
      </c>
      <c r="I1634" s="44" t="s">
        <v>917</v>
      </c>
      <c r="J1634" s="44">
        <f>YEAR(A1634)</f>
        <v>2023</v>
      </c>
    </row>
    <row r="1635" spans="1:10" ht="12" customHeight="1" x14ac:dyDescent="0.25">
      <c r="A1635" s="43">
        <v>45159</v>
      </c>
      <c r="B1635" s="47">
        <v>15720</v>
      </c>
      <c r="C1635" s="44" t="s">
        <v>602</v>
      </c>
      <c r="D1635" s="45">
        <v>2</v>
      </c>
      <c r="E1635" s="48" t="s">
        <v>180</v>
      </c>
      <c r="F1635" s="48" t="s">
        <v>90</v>
      </c>
      <c r="G1635" s="48" t="s">
        <v>91</v>
      </c>
      <c r="J1635" s="44">
        <f>YEAR(A1635)</f>
        <v>2023</v>
      </c>
    </row>
    <row r="1636" spans="1:10" ht="12" customHeight="1" x14ac:dyDescent="0.25">
      <c r="A1636" s="43">
        <v>45159</v>
      </c>
      <c r="B1636" s="47">
        <v>15720</v>
      </c>
      <c r="C1636" s="44" t="s">
        <v>602</v>
      </c>
      <c r="D1636" s="45">
        <v>-2</v>
      </c>
      <c r="E1636" s="48" t="s">
        <v>299</v>
      </c>
      <c r="F1636" s="48" t="s">
        <v>90</v>
      </c>
      <c r="G1636" s="48" t="s">
        <v>305</v>
      </c>
      <c r="I1636" s="44" t="s">
        <v>917</v>
      </c>
      <c r="J1636" s="44">
        <f>YEAR(A1636)</f>
        <v>2023</v>
      </c>
    </row>
    <row r="1637" spans="1:10" ht="12" customHeight="1" x14ac:dyDescent="0.25">
      <c r="A1637" s="43">
        <v>45160</v>
      </c>
      <c r="B1637" s="47">
        <v>15721</v>
      </c>
      <c r="C1637" s="44" t="s">
        <v>484</v>
      </c>
      <c r="D1637" s="45">
        <v>25</v>
      </c>
      <c r="E1637" s="48" t="s">
        <v>89</v>
      </c>
      <c r="F1637" s="48" t="s">
        <v>90</v>
      </c>
      <c r="G1637" s="48" t="s">
        <v>91</v>
      </c>
      <c r="J1637" s="44">
        <f>YEAR(A1637)</f>
        <v>2023</v>
      </c>
    </row>
    <row r="1638" spans="1:10" ht="12" customHeight="1" x14ac:dyDescent="0.25">
      <c r="A1638" s="43">
        <v>45160</v>
      </c>
      <c r="B1638" s="47">
        <v>15721</v>
      </c>
      <c r="C1638" s="44" t="s">
        <v>484</v>
      </c>
      <c r="D1638" s="45">
        <v>-25</v>
      </c>
      <c r="E1638" s="48" t="s">
        <v>299</v>
      </c>
      <c r="F1638" s="48" t="s">
        <v>90</v>
      </c>
      <c r="G1638" s="48" t="s">
        <v>91</v>
      </c>
      <c r="H1638" s="44">
        <v>4022</v>
      </c>
      <c r="I1638" s="44" t="s">
        <v>920</v>
      </c>
      <c r="J1638" s="44">
        <f>YEAR(A1638)</f>
        <v>2023</v>
      </c>
    </row>
    <row r="1639" spans="1:10" ht="12" customHeight="1" x14ac:dyDescent="0.25">
      <c r="A1639" s="43">
        <v>45160</v>
      </c>
      <c r="B1639" s="47">
        <v>15722</v>
      </c>
      <c r="C1639" s="44" t="s">
        <v>453</v>
      </c>
      <c r="D1639" s="45">
        <v>28.7</v>
      </c>
      <c r="E1639" s="48" t="s">
        <v>89</v>
      </c>
      <c r="F1639" s="48" t="s">
        <v>90</v>
      </c>
      <c r="G1639" s="48" t="s">
        <v>91</v>
      </c>
      <c r="J1639" s="44">
        <f>YEAR(A1639)</f>
        <v>2023</v>
      </c>
    </row>
    <row r="1640" spans="1:10" ht="12" customHeight="1" x14ac:dyDescent="0.25">
      <c r="A1640" s="43">
        <v>45160</v>
      </c>
      <c r="B1640" s="47">
        <v>15722</v>
      </c>
      <c r="C1640" s="44" t="s">
        <v>453</v>
      </c>
      <c r="D1640" s="45">
        <v>-28.7</v>
      </c>
      <c r="E1640" s="48" t="s">
        <v>299</v>
      </c>
      <c r="F1640" s="48" t="s">
        <v>90</v>
      </c>
      <c r="G1640" s="48" t="s">
        <v>305</v>
      </c>
      <c r="I1640" s="44" t="s">
        <v>917</v>
      </c>
      <c r="J1640" s="44">
        <f>YEAR(A1640)</f>
        <v>2023</v>
      </c>
    </row>
    <row r="1641" spans="1:10" ht="12" customHeight="1" x14ac:dyDescent="0.25">
      <c r="A1641" s="43">
        <v>45160</v>
      </c>
      <c r="B1641" s="47">
        <v>15723</v>
      </c>
      <c r="C1641" s="44" t="s">
        <v>475</v>
      </c>
      <c r="D1641" s="45">
        <v>24</v>
      </c>
      <c r="E1641" s="48" t="s">
        <v>89</v>
      </c>
      <c r="F1641" s="48" t="s">
        <v>90</v>
      </c>
      <c r="G1641" s="48" t="s">
        <v>91</v>
      </c>
      <c r="J1641" s="44">
        <f>YEAR(A1641)</f>
        <v>2023</v>
      </c>
    </row>
    <row r="1642" spans="1:10" ht="12" customHeight="1" x14ac:dyDescent="0.25">
      <c r="A1642" s="43">
        <v>45160</v>
      </c>
      <c r="B1642" s="47">
        <v>15723</v>
      </c>
      <c r="C1642" s="44" t="s">
        <v>475</v>
      </c>
      <c r="D1642" s="45">
        <v>-24</v>
      </c>
      <c r="E1642" s="48" t="s">
        <v>299</v>
      </c>
      <c r="F1642" s="48" t="s">
        <v>90</v>
      </c>
      <c r="G1642" s="48" t="s">
        <v>305</v>
      </c>
      <c r="I1642" s="44" t="s">
        <v>917</v>
      </c>
      <c r="J1642" s="44">
        <f>YEAR(A1642)</f>
        <v>2023</v>
      </c>
    </row>
    <row r="1643" spans="1:10" ht="12" customHeight="1" x14ac:dyDescent="0.25">
      <c r="A1643" s="43">
        <v>45160</v>
      </c>
      <c r="B1643" s="47">
        <v>15724</v>
      </c>
      <c r="C1643" s="44" t="s">
        <v>458</v>
      </c>
      <c r="D1643" s="45">
        <v>4.7699999999999996</v>
      </c>
      <c r="E1643" s="48" t="s">
        <v>89</v>
      </c>
      <c r="F1643" s="48" t="s">
        <v>90</v>
      </c>
      <c r="G1643" s="48" t="s">
        <v>91</v>
      </c>
      <c r="J1643" s="44">
        <f>YEAR(A1643)</f>
        <v>2023</v>
      </c>
    </row>
    <row r="1644" spans="1:10" ht="12" customHeight="1" x14ac:dyDescent="0.25">
      <c r="A1644" s="43">
        <v>45160</v>
      </c>
      <c r="B1644" s="47">
        <v>15724</v>
      </c>
      <c r="C1644" s="44" t="s">
        <v>458</v>
      </c>
      <c r="D1644" s="45">
        <v>-4.7699999999999996</v>
      </c>
      <c r="E1644" s="48" t="s">
        <v>299</v>
      </c>
      <c r="F1644" s="48" t="s">
        <v>90</v>
      </c>
      <c r="G1644" s="48" t="s">
        <v>305</v>
      </c>
      <c r="I1644" s="44" t="s">
        <v>917</v>
      </c>
      <c r="J1644" s="44">
        <f>YEAR(A1644)</f>
        <v>2023</v>
      </c>
    </row>
    <row r="1645" spans="1:10" ht="12" customHeight="1" x14ac:dyDescent="0.25">
      <c r="A1645" s="43">
        <v>45160</v>
      </c>
      <c r="B1645" s="47">
        <v>15725</v>
      </c>
      <c r="C1645" s="44" t="s">
        <v>568</v>
      </c>
      <c r="D1645" s="45">
        <v>20.079999999999998</v>
      </c>
      <c r="E1645" s="48" t="s">
        <v>89</v>
      </c>
      <c r="F1645" s="48" t="s">
        <v>90</v>
      </c>
      <c r="G1645" s="48" t="s">
        <v>91</v>
      </c>
      <c r="J1645" s="44">
        <f>YEAR(A1645)</f>
        <v>2023</v>
      </c>
    </row>
    <row r="1646" spans="1:10" ht="12" customHeight="1" x14ac:dyDescent="0.25">
      <c r="A1646" s="43">
        <v>45160</v>
      </c>
      <c r="B1646" s="47">
        <v>15725</v>
      </c>
      <c r="C1646" s="44" t="s">
        <v>568</v>
      </c>
      <c r="D1646" s="45">
        <v>-20.079999999999998</v>
      </c>
      <c r="E1646" s="48" t="s">
        <v>299</v>
      </c>
      <c r="F1646" s="48" t="s">
        <v>90</v>
      </c>
      <c r="G1646" s="48" t="s">
        <v>305</v>
      </c>
      <c r="I1646" s="44" t="s">
        <v>917</v>
      </c>
      <c r="J1646" s="44">
        <f>YEAR(A1646)</f>
        <v>2023</v>
      </c>
    </row>
    <row r="1647" spans="1:10" ht="12" customHeight="1" x14ac:dyDescent="0.25">
      <c r="A1647" s="43">
        <v>45160</v>
      </c>
      <c r="B1647" s="47">
        <v>15726</v>
      </c>
      <c r="C1647" s="44" t="s">
        <v>455</v>
      </c>
      <c r="D1647" s="45">
        <v>75.31</v>
      </c>
      <c r="E1647" s="48" t="s">
        <v>89</v>
      </c>
      <c r="F1647" s="48" t="s">
        <v>90</v>
      </c>
      <c r="G1647" s="48" t="s">
        <v>91</v>
      </c>
      <c r="J1647" s="44">
        <f>YEAR(A1647)</f>
        <v>2023</v>
      </c>
    </row>
    <row r="1648" spans="1:10" ht="12" customHeight="1" x14ac:dyDescent="0.25">
      <c r="A1648" s="43">
        <v>45160</v>
      </c>
      <c r="B1648" s="47">
        <v>15726</v>
      </c>
      <c r="C1648" s="44" t="s">
        <v>455</v>
      </c>
      <c r="D1648" s="45">
        <v>-75.31</v>
      </c>
      <c r="E1648" s="48" t="s">
        <v>299</v>
      </c>
      <c r="F1648" s="48" t="s">
        <v>90</v>
      </c>
      <c r="G1648" s="48" t="s">
        <v>305</v>
      </c>
      <c r="I1648" s="44" t="s">
        <v>917</v>
      </c>
      <c r="J1648" s="44">
        <f>YEAR(A1648)</f>
        <v>2023</v>
      </c>
    </row>
    <row r="1649" spans="1:11" ht="12" customHeight="1" x14ac:dyDescent="0.25">
      <c r="A1649" s="43">
        <v>45160</v>
      </c>
      <c r="B1649" s="47">
        <v>15727</v>
      </c>
      <c r="C1649" s="44" t="s">
        <v>505</v>
      </c>
      <c r="D1649" s="45">
        <v>96.07</v>
      </c>
      <c r="E1649" s="48" t="s">
        <v>89</v>
      </c>
      <c r="F1649" s="48" t="s">
        <v>90</v>
      </c>
      <c r="G1649" s="48" t="s">
        <v>91</v>
      </c>
      <c r="J1649" s="44">
        <f>YEAR(A1649)</f>
        <v>2023</v>
      </c>
    </row>
    <row r="1650" spans="1:11" ht="12" customHeight="1" x14ac:dyDescent="0.25">
      <c r="A1650" s="43">
        <v>45160</v>
      </c>
      <c r="B1650" s="47">
        <v>15727</v>
      </c>
      <c r="C1650" s="44" t="s">
        <v>505</v>
      </c>
      <c r="D1650" s="45">
        <v>23.41</v>
      </c>
      <c r="E1650" s="48" t="s">
        <v>197</v>
      </c>
      <c r="F1650" s="48" t="s">
        <v>96</v>
      </c>
      <c r="G1650" s="48" t="s">
        <v>93</v>
      </c>
      <c r="J1650" s="44">
        <f>YEAR(A1650)</f>
        <v>2023</v>
      </c>
      <c r="K1650" s="49" t="s">
        <v>822</v>
      </c>
    </row>
    <row r="1651" spans="1:11" ht="12" customHeight="1" x14ac:dyDescent="0.25">
      <c r="A1651" s="43">
        <v>45160</v>
      </c>
      <c r="B1651" s="47">
        <v>15727</v>
      </c>
      <c r="C1651" s="44" t="s">
        <v>505</v>
      </c>
      <c r="D1651" s="45">
        <v>-119.48</v>
      </c>
      <c r="E1651" s="48" t="s">
        <v>299</v>
      </c>
      <c r="F1651" s="48" t="s">
        <v>90</v>
      </c>
      <c r="G1651" s="48" t="s">
        <v>305</v>
      </c>
      <c r="I1651" s="44" t="s">
        <v>917</v>
      </c>
      <c r="J1651" s="44">
        <f>YEAR(A1651)</f>
        <v>2023</v>
      </c>
    </row>
    <row r="1652" spans="1:11" ht="12" customHeight="1" x14ac:dyDescent="0.25">
      <c r="A1652" s="43">
        <v>45135</v>
      </c>
      <c r="B1652" s="47">
        <v>15728</v>
      </c>
      <c r="C1652" s="44" t="s">
        <v>823</v>
      </c>
      <c r="D1652" s="45">
        <v>5.8</v>
      </c>
      <c r="E1652" s="48" t="s">
        <v>89</v>
      </c>
      <c r="F1652" s="48" t="s">
        <v>90</v>
      </c>
      <c r="G1652" s="48" t="s">
        <v>91</v>
      </c>
      <c r="J1652" s="44">
        <f>YEAR(A1652)</f>
        <v>2023</v>
      </c>
    </row>
    <row r="1653" spans="1:11" ht="12" customHeight="1" x14ac:dyDescent="0.25">
      <c r="A1653" s="43">
        <v>45135</v>
      </c>
      <c r="B1653" s="47">
        <v>15728</v>
      </c>
      <c r="C1653" s="44" t="s">
        <v>824</v>
      </c>
      <c r="D1653" s="45">
        <v>10.39</v>
      </c>
      <c r="E1653" s="48" t="s">
        <v>89</v>
      </c>
      <c r="F1653" s="48" t="s">
        <v>90</v>
      </c>
      <c r="G1653" s="48" t="s">
        <v>91</v>
      </c>
      <c r="J1653" s="44">
        <f>YEAR(A1653)</f>
        <v>2023</v>
      </c>
    </row>
    <row r="1654" spans="1:11" ht="12" customHeight="1" x14ac:dyDescent="0.25">
      <c r="A1654" s="43">
        <v>45149</v>
      </c>
      <c r="B1654" s="47">
        <v>15728</v>
      </c>
      <c r="C1654" s="44" t="s">
        <v>498</v>
      </c>
      <c r="D1654" s="45">
        <v>19.989999999999998</v>
      </c>
      <c r="E1654" s="48" t="s">
        <v>197</v>
      </c>
      <c r="F1654" s="48" t="s">
        <v>96</v>
      </c>
      <c r="G1654" s="48" t="s">
        <v>91</v>
      </c>
      <c r="J1654" s="44">
        <f>YEAR(A1654)</f>
        <v>2023</v>
      </c>
    </row>
    <row r="1655" spans="1:11" ht="12" customHeight="1" x14ac:dyDescent="0.25">
      <c r="A1655" s="43">
        <v>45149</v>
      </c>
      <c r="B1655" s="47">
        <v>15728</v>
      </c>
      <c r="C1655" s="44" t="s">
        <v>825</v>
      </c>
      <c r="D1655" s="45">
        <v>2.4</v>
      </c>
      <c r="E1655" s="48" t="s">
        <v>157</v>
      </c>
      <c r="F1655" s="48" t="s">
        <v>96</v>
      </c>
      <c r="G1655" s="48" t="s">
        <v>91</v>
      </c>
      <c r="J1655" s="44">
        <f>YEAR(A1655)</f>
        <v>2023</v>
      </c>
    </row>
    <row r="1656" spans="1:11" ht="12" customHeight="1" x14ac:dyDescent="0.25">
      <c r="A1656" s="43">
        <v>45149</v>
      </c>
      <c r="B1656" s="47">
        <v>15728</v>
      </c>
      <c r="C1656" s="44" t="s">
        <v>449</v>
      </c>
      <c r="D1656" s="45">
        <v>28.87</v>
      </c>
      <c r="E1656" s="48" t="s">
        <v>89</v>
      </c>
      <c r="F1656" s="48" t="s">
        <v>90</v>
      </c>
      <c r="G1656" s="48" t="s">
        <v>91</v>
      </c>
      <c r="J1656" s="44">
        <f>YEAR(A1656)</f>
        <v>2023</v>
      </c>
    </row>
    <row r="1657" spans="1:11" ht="12" customHeight="1" x14ac:dyDescent="0.25">
      <c r="A1657" s="43">
        <v>45150</v>
      </c>
      <c r="B1657" s="47">
        <v>15728</v>
      </c>
      <c r="C1657" s="44" t="s">
        <v>826</v>
      </c>
      <c r="D1657" s="45">
        <v>18.2</v>
      </c>
      <c r="E1657" s="48" t="s">
        <v>89</v>
      </c>
      <c r="F1657" s="48" t="s">
        <v>90</v>
      </c>
      <c r="G1657" s="48" t="s">
        <v>91</v>
      </c>
      <c r="J1657" s="44">
        <f>YEAR(A1657)</f>
        <v>2023</v>
      </c>
    </row>
    <row r="1658" spans="1:11" ht="12" customHeight="1" x14ac:dyDescent="0.25">
      <c r="A1658" s="43">
        <v>45151</v>
      </c>
      <c r="B1658" s="47">
        <v>15728</v>
      </c>
      <c r="C1658" s="44" t="s">
        <v>469</v>
      </c>
      <c r="D1658" s="45">
        <v>3.4</v>
      </c>
      <c r="E1658" s="48" t="s">
        <v>89</v>
      </c>
      <c r="F1658" s="48" t="s">
        <v>90</v>
      </c>
      <c r="G1658" s="48" t="s">
        <v>91</v>
      </c>
      <c r="J1658" s="44">
        <f>YEAR(A1658)</f>
        <v>2023</v>
      </c>
    </row>
    <row r="1659" spans="1:11" ht="12" customHeight="1" x14ac:dyDescent="0.25">
      <c r="A1659" s="43">
        <v>45151</v>
      </c>
      <c r="B1659" s="47">
        <v>15728</v>
      </c>
      <c r="C1659" s="44" t="s">
        <v>469</v>
      </c>
      <c r="D1659" s="45">
        <v>20.69</v>
      </c>
      <c r="E1659" s="48" t="s">
        <v>89</v>
      </c>
      <c r="F1659" s="48" t="s">
        <v>90</v>
      </c>
      <c r="G1659" s="48" t="s">
        <v>91</v>
      </c>
      <c r="J1659" s="44">
        <f>YEAR(A1659)</f>
        <v>2023</v>
      </c>
    </row>
    <row r="1660" spans="1:11" ht="12" customHeight="1" x14ac:dyDescent="0.25">
      <c r="A1660" s="43">
        <v>45157</v>
      </c>
      <c r="B1660" s="47">
        <v>15728</v>
      </c>
      <c r="C1660" s="44" t="s">
        <v>827</v>
      </c>
      <c r="D1660" s="45">
        <v>4.5</v>
      </c>
      <c r="E1660" s="48" t="s">
        <v>157</v>
      </c>
      <c r="F1660" s="48" t="s">
        <v>96</v>
      </c>
      <c r="G1660" s="48" t="s">
        <v>91</v>
      </c>
      <c r="J1660" s="44">
        <f>YEAR(A1660)</f>
        <v>2023</v>
      </c>
    </row>
    <row r="1661" spans="1:11" ht="12" customHeight="1" x14ac:dyDescent="0.25">
      <c r="A1661" s="43">
        <v>45157</v>
      </c>
      <c r="B1661" s="47">
        <v>15728</v>
      </c>
      <c r="C1661" s="44" t="s">
        <v>449</v>
      </c>
      <c r="D1661" s="45">
        <v>4.71</v>
      </c>
      <c r="E1661" s="48" t="s">
        <v>89</v>
      </c>
      <c r="F1661" s="48" t="s">
        <v>90</v>
      </c>
      <c r="G1661" s="48" t="s">
        <v>91</v>
      </c>
      <c r="J1661" s="44">
        <f>YEAR(A1661)</f>
        <v>2023</v>
      </c>
    </row>
    <row r="1662" spans="1:11" ht="12" customHeight="1" x14ac:dyDescent="0.25">
      <c r="A1662" s="43">
        <v>45157</v>
      </c>
      <c r="B1662" s="47">
        <v>15728</v>
      </c>
      <c r="C1662" s="44" t="s">
        <v>828</v>
      </c>
      <c r="D1662" s="45">
        <v>34.71</v>
      </c>
      <c r="E1662" s="48" t="s">
        <v>89</v>
      </c>
      <c r="F1662" s="48" t="s">
        <v>90</v>
      </c>
      <c r="G1662" s="48" t="s">
        <v>91</v>
      </c>
      <c r="J1662" s="44">
        <f>YEAR(A1662)</f>
        <v>2023</v>
      </c>
    </row>
    <row r="1663" spans="1:11" ht="12" customHeight="1" x14ac:dyDescent="0.25">
      <c r="A1663" s="43">
        <v>45157</v>
      </c>
      <c r="B1663" s="47">
        <v>15728</v>
      </c>
      <c r="C1663" s="44" t="s">
        <v>449</v>
      </c>
      <c r="D1663" s="45">
        <v>3.85</v>
      </c>
      <c r="E1663" s="48" t="s">
        <v>89</v>
      </c>
      <c r="F1663" s="48" t="s">
        <v>90</v>
      </c>
      <c r="G1663" s="48" t="s">
        <v>91</v>
      </c>
      <c r="J1663" s="44">
        <f>YEAR(A1663)</f>
        <v>2023</v>
      </c>
    </row>
    <row r="1664" spans="1:11" ht="12" customHeight="1" x14ac:dyDescent="0.25">
      <c r="A1664" s="43">
        <v>45163</v>
      </c>
      <c r="B1664" s="47">
        <v>15728</v>
      </c>
      <c r="C1664" s="44" t="s">
        <v>469</v>
      </c>
      <c r="D1664" s="45">
        <v>1.5</v>
      </c>
      <c r="E1664" s="48" t="s">
        <v>89</v>
      </c>
      <c r="F1664" s="48" t="s">
        <v>90</v>
      </c>
      <c r="G1664" s="48" t="s">
        <v>91</v>
      </c>
      <c r="J1664" s="44">
        <f>YEAR(A1664)</f>
        <v>2023</v>
      </c>
    </row>
    <row r="1665" spans="1:11" ht="12" customHeight="1" x14ac:dyDescent="0.25">
      <c r="A1665" s="43">
        <v>45164</v>
      </c>
      <c r="B1665" s="47">
        <v>15728</v>
      </c>
      <c r="C1665" s="44" t="s">
        <v>829</v>
      </c>
      <c r="D1665" s="45">
        <v>11.18</v>
      </c>
      <c r="E1665" s="48" t="s">
        <v>89</v>
      </c>
      <c r="F1665" s="48" t="s">
        <v>90</v>
      </c>
      <c r="G1665" s="48" t="s">
        <v>91</v>
      </c>
      <c r="J1665" s="44">
        <f>YEAR(A1665)</f>
        <v>2023</v>
      </c>
    </row>
    <row r="1666" spans="1:11" ht="12" customHeight="1" x14ac:dyDescent="0.25">
      <c r="A1666" s="43">
        <v>45164</v>
      </c>
      <c r="B1666" s="47">
        <v>15728</v>
      </c>
      <c r="C1666" s="44" t="s">
        <v>830</v>
      </c>
      <c r="D1666" s="45">
        <v>33.85</v>
      </c>
      <c r="E1666" s="48" t="s">
        <v>89</v>
      </c>
      <c r="F1666" s="48" t="s">
        <v>90</v>
      </c>
      <c r="G1666" s="48" t="s">
        <v>91</v>
      </c>
      <c r="J1666" s="44">
        <f>YEAR(A1666)</f>
        <v>2023</v>
      </c>
    </row>
    <row r="1667" spans="1:11" ht="12" customHeight="1" x14ac:dyDescent="0.25">
      <c r="A1667" s="43">
        <v>45164</v>
      </c>
      <c r="B1667" s="47">
        <v>15728</v>
      </c>
      <c r="C1667" s="44" t="s">
        <v>452</v>
      </c>
      <c r="D1667" s="45">
        <v>-204.04</v>
      </c>
      <c r="E1667" s="48" t="s">
        <v>299</v>
      </c>
      <c r="F1667" s="48" t="s">
        <v>90</v>
      </c>
      <c r="G1667" s="48" t="s">
        <v>91</v>
      </c>
      <c r="H1667" s="44" t="s">
        <v>402</v>
      </c>
      <c r="I1667" s="44" t="s">
        <v>920</v>
      </c>
      <c r="J1667" s="44">
        <f>YEAR(A1667)</f>
        <v>2023</v>
      </c>
    </row>
    <row r="1668" spans="1:11" ht="12" customHeight="1" x14ac:dyDescent="0.25">
      <c r="A1668" s="43">
        <v>45162</v>
      </c>
      <c r="B1668" s="47">
        <v>15729</v>
      </c>
      <c r="C1668" s="44" t="s">
        <v>478</v>
      </c>
      <c r="D1668" s="45">
        <v>-63</v>
      </c>
      <c r="E1668" s="48" t="s">
        <v>299</v>
      </c>
      <c r="F1668" s="48" t="s">
        <v>90</v>
      </c>
      <c r="G1668" s="48" t="s">
        <v>91</v>
      </c>
      <c r="H1668" s="44">
        <v>4023</v>
      </c>
      <c r="I1668" s="44" t="s">
        <v>920</v>
      </c>
      <c r="J1668" s="44">
        <f>YEAR(A1668)</f>
        <v>2023</v>
      </c>
    </row>
    <row r="1669" spans="1:11" ht="12" customHeight="1" x14ac:dyDescent="0.25">
      <c r="A1669" s="43">
        <v>45162</v>
      </c>
      <c r="B1669" s="47">
        <v>15729</v>
      </c>
      <c r="C1669" s="44" t="s">
        <v>478</v>
      </c>
      <c r="D1669" s="45">
        <v>63</v>
      </c>
      <c r="E1669" s="48" t="s">
        <v>197</v>
      </c>
      <c r="F1669" s="48" t="s">
        <v>90</v>
      </c>
      <c r="G1669" s="48" t="s">
        <v>91</v>
      </c>
      <c r="J1669" s="44">
        <f>YEAR(A1669)</f>
        <v>2023</v>
      </c>
    </row>
    <row r="1670" spans="1:11" ht="12" customHeight="1" x14ac:dyDescent="0.25">
      <c r="A1670" s="43">
        <v>45163</v>
      </c>
      <c r="B1670" s="47">
        <v>15730</v>
      </c>
      <c r="C1670" s="44" t="s">
        <v>484</v>
      </c>
      <c r="D1670" s="45">
        <v>-19</v>
      </c>
      <c r="E1670" s="48" t="s">
        <v>299</v>
      </c>
      <c r="F1670" s="48" t="s">
        <v>90</v>
      </c>
      <c r="G1670" s="48" t="s">
        <v>91</v>
      </c>
      <c r="H1670" s="44">
        <v>4024</v>
      </c>
      <c r="I1670" s="44" t="s">
        <v>920</v>
      </c>
      <c r="J1670" s="44">
        <f>YEAR(A1670)</f>
        <v>2023</v>
      </c>
    </row>
    <row r="1671" spans="1:11" ht="12" customHeight="1" x14ac:dyDescent="0.25">
      <c r="A1671" s="43">
        <v>45163</v>
      </c>
      <c r="B1671" s="47">
        <v>15730</v>
      </c>
      <c r="C1671" s="44" t="s">
        <v>484</v>
      </c>
      <c r="D1671" s="45">
        <v>19</v>
      </c>
      <c r="E1671" s="48" t="s">
        <v>89</v>
      </c>
      <c r="F1671" s="48" t="s">
        <v>90</v>
      </c>
      <c r="G1671" s="48" t="s">
        <v>91</v>
      </c>
      <c r="J1671" s="44">
        <f>YEAR(A1671)</f>
        <v>2023</v>
      </c>
    </row>
    <row r="1672" spans="1:11" ht="12" customHeight="1" x14ac:dyDescent="0.25">
      <c r="A1672" s="43">
        <v>45162</v>
      </c>
      <c r="B1672" s="47">
        <v>15731</v>
      </c>
      <c r="C1672" s="44" t="s">
        <v>639</v>
      </c>
      <c r="D1672" s="45">
        <v>1</v>
      </c>
      <c r="E1672" s="48" t="s">
        <v>180</v>
      </c>
      <c r="F1672" s="48" t="s">
        <v>90</v>
      </c>
      <c r="G1672" s="48" t="s">
        <v>91</v>
      </c>
      <c r="J1672" s="44">
        <f>YEAR(A1672)</f>
        <v>2023</v>
      </c>
    </row>
    <row r="1673" spans="1:11" ht="12" customHeight="1" x14ac:dyDescent="0.25">
      <c r="A1673" s="43">
        <v>45162</v>
      </c>
      <c r="B1673" s="47">
        <v>15731</v>
      </c>
      <c r="C1673" s="44" t="s">
        <v>441</v>
      </c>
      <c r="D1673" s="45">
        <v>-1</v>
      </c>
      <c r="E1673" s="48" t="s">
        <v>299</v>
      </c>
      <c r="F1673" s="48" t="s">
        <v>101</v>
      </c>
      <c r="G1673" s="48" t="s">
        <v>91</v>
      </c>
      <c r="J1673" s="44">
        <f>YEAR(A1673)</f>
        <v>2023</v>
      </c>
    </row>
    <row r="1674" spans="1:11" ht="12" customHeight="1" x14ac:dyDescent="0.25">
      <c r="A1674" s="43">
        <v>45162</v>
      </c>
      <c r="B1674" s="47">
        <v>15732</v>
      </c>
      <c r="C1674" s="44" t="s">
        <v>458</v>
      </c>
      <c r="D1674" s="45">
        <v>35.729999999999997</v>
      </c>
      <c r="E1674" s="48" t="s">
        <v>89</v>
      </c>
      <c r="F1674" s="48" t="s">
        <v>90</v>
      </c>
      <c r="G1674" s="48" t="s">
        <v>91</v>
      </c>
      <c r="J1674" s="44">
        <f>YEAR(A1674)</f>
        <v>2023</v>
      </c>
    </row>
    <row r="1675" spans="1:11" ht="12" customHeight="1" x14ac:dyDescent="0.25">
      <c r="A1675" s="43">
        <v>45162</v>
      </c>
      <c r="B1675" s="47">
        <v>15732</v>
      </c>
      <c r="C1675" s="44" t="s">
        <v>458</v>
      </c>
      <c r="D1675" s="45">
        <v>-35.729999999999997</v>
      </c>
      <c r="E1675" s="48" t="s">
        <v>299</v>
      </c>
      <c r="F1675" s="48" t="s">
        <v>90</v>
      </c>
      <c r="G1675" s="48" t="s">
        <v>305</v>
      </c>
      <c r="I1675" s="44" t="s">
        <v>917</v>
      </c>
      <c r="J1675" s="44">
        <f>YEAR(A1675)</f>
        <v>2023</v>
      </c>
    </row>
    <row r="1676" spans="1:11" ht="12" customHeight="1" x14ac:dyDescent="0.25">
      <c r="A1676" s="43">
        <v>45163</v>
      </c>
      <c r="B1676" s="47">
        <v>15733</v>
      </c>
      <c r="C1676" s="44" t="s">
        <v>831</v>
      </c>
      <c r="D1676" s="45">
        <v>57</v>
      </c>
      <c r="E1676" s="48" t="s">
        <v>145</v>
      </c>
      <c r="F1676" s="48" t="s">
        <v>116</v>
      </c>
      <c r="G1676" s="48" t="s">
        <v>91</v>
      </c>
      <c r="J1676" s="44">
        <f>YEAR(A1676)</f>
        <v>2023</v>
      </c>
      <c r="K1676" s="49" t="s">
        <v>835</v>
      </c>
    </row>
    <row r="1677" spans="1:11" ht="12" customHeight="1" x14ac:dyDescent="0.25">
      <c r="A1677" s="43">
        <v>45163</v>
      </c>
      <c r="B1677" s="47">
        <v>15733</v>
      </c>
      <c r="C1677" s="44" t="s">
        <v>831</v>
      </c>
      <c r="D1677" s="45">
        <v>-57</v>
      </c>
      <c r="E1677" s="48" t="s">
        <v>299</v>
      </c>
      <c r="F1677" s="48" t="s">
        <v>90</v>
      </c>
      <c r="G1677" s="48" t="s">
        <v>305</v>
      </c>
      <c r="I1677" s="44" t="s">
        <v>917</v>
      </c>
      <c r="J1677" s="44">
        <f>YEAR(A1677)</f>
        <v>2023</v>
      </c>
    </row>
    <row r="1678" spans="1:11" ht="12" customHeight="1" x14ac:dyDescent="0.25">
      <c r="A1678" s="43">
        <v>45163</v>
      </c>
      <c r="B1678" s="47">
        <v>15734</v>
      </c>
      <c r="C1678" s="44" t="s">
        <v>464</v>
      </c>
      <c r="D1678" s="45">
        <v>8.61</v>
      </c>
      <c r="E1678" s="48" t="s">
        <v>89</v>
      </c>
      <c r="F1678" s="48" t="s">
        <v>90</v>
      </c>
      <c r="G1678" s="48" t="s">
        <v>91</v>
      </c>
      <c r="J1678" s="44">
        <f>YEAR(A1678)</f>
        <v>2023</v>
      </c>
    </row>
    <row r="1679" spans="1:11" ht="12" customHeight="1" x14ac:dyDescent="0.25">
      <c r="A1679" s="43">
        <v>45163</v>
      </c>
      <c r="B1679" s="47">
        <v>15734</v>
      </c>
      <c r="C1679" s="44" t="s">
        <v>464</v>
      </c>
      <c r="D1679" s="45">
        <v>-8.61</v>
      </c>
      <c r="E1679" s="48" t="s">
        <v>299</v>
      </c>
      <c r="F1679" s="48" t="s">
        <v>90</v>
      </c>
      <c r="G1679" s="48" t="s">
        <v>305</v>
      </c>
      <c r="I1679" s="44" t="s">
        <v>917</v>
      </c>
      <c r="J1679" s="44">
        <f>YEAR(A1679)</f>
        <v>2023</v>
      </c>
    </row>
    <row r="1680" spans="1:11" ht="12" customHeight="1" x14ac:dyDescent="0.25">
      <c r="A1680" s="43">
        <v>45163</v>
      </c>
      <c r="B1680" s="47">
        <v>15735</v>
      </c>
      <c r="C1680" s="44" t="s">
        <v>481</v>
      </c>
      <c r="D1680" s="45">
        <v>27.51</v>
      </c>
      <c r="E1680" s="48" t="s">
        <v>89</v>
      </c>
      <c r="F1680" s="48" t="s">
        <v>90</v>
      </c>
      <c r="G1680" s="48" t="s">
        <v>91</v>
      </c>
      <c r="J1680" s="44">
        <f>YEAR(A1680)</f>
        <v>2023</v>
      </c>
    </row>
    <row r="1681" spans="1:11" ht="12" customHeight="1" x14ac:dyDescent="0.25">
      <c r="A1681" s="43">
        <v>45163</v>
      </c>
      <c r="B1681" s="47">
        <v>15735</v>
      </c>
      <c r="C1681" s="44" t="s">
        <v>481</v>
      </c>
      <c r="D1681" s="45">
        <v>-27.51</v>
      </c>
      <c r="E1681" s="48" t="s">
        <v>299</v>
      </c>
      <c r="F1681" s="48" t="s">
        <v>90</v>
      </c>
      <c r="G1681" s="48" t="s">
        <v>305</v>
      </c>
      <c r="I1681" s="44" t="s">
        <v>917</v>
      </c>
      <c r="J1681" s="44">
        <f>YEAR(A1681)</f>
        <v>2023</v>
      </c>
    </row>
    <row r="1682" spans="1:11" ht="12" customHeight="1" x14ac:dyDescent="0.25">
      <c r="A1682" s="43">
        <v>45163</v>
      </c>
      <c r="B1682" s="47">
        <v>15736</v>
      </c>
      <c r="C1682" s="44" t="s">
        <v>481</v>
      </c>
      <c r="D1682" s="45">
        <v>4.3499999999999996</v>
      </c>
      <c r="E1682" s="48" t="s">
        <v>139</v>
      </c>
      <c r="F1682" s="48" t="s">
        <v>90</v>
      </c>
      <c r="G1682" s="48" t="s">
        <v>91</v>
      </c>
      <c r="J1682" s="44">
        <f>YEAR(A1682)</f>
        <v>2023</v>
      </c>
    </row>
    <row r="1683" spans="1:11" ht="12" customHeight="1" x14ac:dyDescent="0.25">
      <c r="A1683" s="43">
        <v>45163</v>
      </c>
      <c r="B1683" s="47">
        <v>15736</v>
      </c>
      <c r="C1683" s="44" t="s">
        <v>481</v>
      </c>
      <c r="D1683" s="45">
        <v>3.79</v>
      </c>
      <c r="E1683" s="48" t="s">
        <v>89</v>
      </c>
      <c r="F1683" s="48" t="s">
        <v>90</v>
      </c>
      <c r="G1683" s="48" t="s">
        <v>91</v>
      </c>
      <c r="J1683" s="44">
        <f>YEAR(A1683)</f>
        <v>2023</v>
      </c>
    </row>
    <row r="1684" spans="1:11" ht="12" customHeight="1" x14ac:dyDescent="0.25">
      <c r="A1684" s="43">
        <v>45163</v>
      </c>
      <c r="B1684" s="47">
        <v>15736</v>
      </c>
      <c r="C1684" s="44" t="s">
        <v>481</v>
      </c>
      <c r="D1684" s="45">
        <v>-8.14</v>
      </c>
      <c r="E1684" s="48" t="s">
        <v>299</v>
      </c>
      <c r="F1684" s="48" t="s">
        <v>90</v>
      </c>
      <c r="G1684" s="48" t="s">
        <v>305</v>
      </c>
      <c r="I1684" s="44" t="s">
        <v>917</v>
      </c>
      <c r="J1684" s="44">
        <f>YEAR(A1684)</f>
        <v>2023</v>
      </c>
    </row>
    <row r="1685" spans="1:11" ht="12" customHeight="1" x14ac:dyDescent="0.25">
      <c r="A1685" s="43">
        <v>45163</v>
      </c>
      <c r="B1685" s="47">
        <v>15737</v>
      </c>
      <c r="C1685" s="44" t="s">
        <v>446</v>
      </c>
      <c r="D1685" s="45">
        <v>127.76</v>
      </c>
      <c r="E1685" s="48" t="s">
        <v>89</v>
      </c>
      <c r="F1685" s="48" t="s">
        <v>90</v>
      </c>
      <c r="G1685" s="48" t="s">
        <v>91</v>
      </c>
      <c r="J1685" s="44">
        <f>YEAR(A1685)</f>
        <v>2023</v>
      </c>
    </row>
    <row r="1686" spans="1:11" ht="12" customHeight="1" x14ac:dyDescent="0.25">
      <c r="A1686" s="43">
        <v>45163</v>
      </c>
      <c r="B1686" s="47">
        <v>15737</v>
      </c>
      <c r="C1686" s="44" t="s">
        <v>446</v>
      </c>
      <c r="D1686" s="45">
        <v>-127.76</v>
      </c>
      <c r="E1686" s="48" t="s">
        <v>299</v>
      </c>
      <c r="F1686" s="48" t="s">
        <v>90</v>
      </c>
      <c r="G1686" s="48" t="s">
        <v>305</v>
      </c>
      <c r="I1686" s="44" t="s">
        <v>917</v>
      </c>
      <c r="J1686" s="44">
        <f>YEAR(A1686)</f>
        <v>2023</v>
      </c>
    </row>
    <row r="1687" spans="1:11" ht="12" customHeight="1" x14ac:dyDescent="0.25">
      <c r="A1687" s="43">
        <v>45164</v>
      </c>
      <c r="B1687" s="47">
        <v>15738</v>
      </c>
      <c r="C1687" s="44" t="s">
        <v>446</v>
      </c>
      <c r="D1687" s="45">
        <v>22.03</v>
      </c>
      <c r="E1687" s="48" t="s">
        <v>89</v>
      </c>
      <c r="F1687" s="48" t="s">
        <v>90</v>
      </c>
      <c r="G1687" s="48" t="s">
        <v>91</v>
      </c>
      <c r="J1687" s="44">
        <f>YEAR(A1687)</f>
        <v>2023</v>
      </c>
    </row>
    <row r="1688" spans="1:11" ht="12" customHeight="1" x14ac:dyDescent="0.25">
      <c r="A1688" s="43">
        <v>45164</v>
      </c>
      <c r="B1688" s="47">
        <v>15738</v>
      </c>
      <c r="C1688" s="44" t="s">
        <v>446</v>
      </c>
      <c r="D1688" s="45">
        <v>-22.03</v>
      </c>
      <c r="E1688" s="48" t="s">
        <v>299</v>
      </c>
      <c r="F1688" s="48" t="s">
        <v>90</v>
      </c>
      <c r="G1688" s="48" t="s">
        <v>305</v>
      </c>
      <c r="I1688" s="44" t="s">
        <v>917</v>
      </c>
      <c r="J1688" s="44">
        <f>YEAR(A1688)</f>
        <v>2023</v>
      </c>
    </row>
    <row r="1689" spans="1:11" ht="12" customHeight="1" x14ac:dyDescent="0.25">
      <c r="A1689" s="43">
        <v>45164</v>
      </c>
      <c r="B1689" s="47">
        <v>15739</v>
      </c>
      <c r="C1689" s="44" t="s">
        <v>47</v>
      </c>
      <c r="D1689" s="45">
        <v>65.59</v>
      </c>
      <c r="E1689" s="48" t="s">
        <v>180</v>
      </c>
      <c r="F1689" s="48" t="s">
        <v>96</v>
      </c>
      <c r="G1689" s="48" t="s">
        <v>91</v>
      </c>
      <c r="J1689" s="44">
        <f>YEAR(A1689)</f>
        <v>2023</v>
      </c>
    </row>
    <row r="1690" spans="1:11" ht="12" customHeight="1" x14ac:dyDescent="0.25">
      <c r="A1690" s="43">
        <v>45164</v>
      </c>
      <c r="B1690" s="47">
        <v>15739</v>
      </c>
      <c r="C1690" s="44" t="s">
        <v>47</v>
      </c>
      <c r="D1690" s="45">
        <v>-65.59</v>
      </c>
      <c r="E1690" s="48" t="s">
        <v>299</v>
      </c>
      <c r="F1690" s="48" t="s">
        <v>90</v>
      </c>
      <c r="G1690" s="48" t="s">
        <v>305</v>
      </c>
      <c r="I1690" s="44" t="s">
        <v>917</v>
      </c>
      <c r="J1690" s="44">
        <f>YEAR(A1690)</f>
        <v>2023</v>
      </c>
    </row>
    <row r="1691" spans="1:11" ht="12" customHeight="1" x14ac:dyDescent="0.25">
      <c r="A1691" s="43">
        <v>45165</v>
      </c>
      <c r="B1691" s="47">
        <v>15740</v>
      </c>
      <c r="C1691" s="44" t="s">
        <v>832</v>
      </c>
      <c r="D1691" s="45">
        <v>250</v>
      </c>
      <c r="E1691" s="48" t="s">
        <v>145</v>
      </c>
      <c r="F1691" s="48" t="s">
        <v>116</v>
      </c>
      <c r="G1691" s="48" t="s">
        <v>95</v>
      </c>
      <c r="J1691" s="44">
        <f>YEAR(A1691)</f>
        <v>2023</v>
      </c>
    </row>
    <row r="1692" spans="1:11" ht="12" customHeight="1" x14ac:dyDescent="0.25">
      <c r="A1692" s="43">
        <v>45165</v>
      </c>
      <c r="B1692" s="47">
        <v>15740</v>
      </c>
      <c r="C1692" s="44" t="s">
        <v>832</v>
      </c>
      <c r="D1692" s="45">
        <v>-250</v>
      </c>
      <c r="E1692" s="48" t="s">
        <v>299</v>
      </c>
      <c r="F1692" s="48" t="s">
        <v>90</v>
      </c>
      <c r="G1692" s="48" t="s">
        <v>91</v>
      </c>
      <c r="H1692" s="44" t="s">
        <v>402</v>
      </c>
      <c r="I1692" s="44" t="s">
        <v>920</v>
      </c>
      <c r="J1692" s="44">
        <f>YEAR(A1692)</f>
        <v>2023</v>
      </c>
      <c r="K1692" s="49" t="s">
        <v>833</v>
      </c>
    </row>
    <row r="1693" spans="1:11" ht="12" customHeight="1" x14ac:dyDescent="0.25">
      <c r="A1693" s="43">
        <v>45161</v>
      </c>
      <c r="B1693" s="47">
        <v>15741</v>
      </c>
      <c r="C1693" s="44" t="s">
        <v>444</v>
      </c>
      <c r="D1693" s="45">
        <v>-35.82</v>
      </c>
      <c r="E1693" s="48" t="s">
        <v>299</v>
      </c>
      <c r="F1693" s="48" t="s">
        <v>90</v>
      </c>
      <c r="G1693" s="48" t="s">
        <v>91</v>
      </c>
      <c r="H1693" s="44" t="s">
        <v>459</v>
      </c>
      <c r="I1693" s="44" t="s">
        <v>920</v>
      </c>
      <c r="J1693" s="44">
        <f>YEAR(A1693)</f>
        <v>2023</v>
      </c>
    </row>
    <row r="1694" spans="1:11" ht="12" customHeight="1" x14ac:dyDescent="0.25">
      <c r="A1694" s="43">
        <v>45161</v>
      </c>
      <c r="B1694" s="47">
        <v>15741</v>
      </c>
      <c r="C1694" s="44" t="s">
        <v>444</v>
      </c>
      <c r="D1694" s="45">
        <v>35.82</v>
      </c>
      <c r="E1694" s="48" t="s">
        <v>89</v>
      </c>
      <c r="F1694" s="48" t="s">
        <v>90</v>
      </c>
      <c r="G1694" s="48" t="s">
        <v>91</v>
      </c>
      <c r="J1694" s="44">
        <f>YEAR(A1694)</f>
        <v>2023</v>
      </c>
    </row>
    <row r="1695" spans="1:11" ht="12" customHeight="1" x14ac:dyDescent="0.25">
      <c r="A1695" s="43">
        <v>45168</v>
      </c>
      <c r="B1695" s="47">
        <v>15742</v>
      </c>
      <c r="C1695" s="44" t="s">
        <v>585</v>
      </c>
      <c r="D1695" s="45">
        <v>-20.5</v>
      </c>
      <c r="E1695" s="48" t="s">
        <v>197</v>
      </c>
      <c r="F1695" s="48" t="s">
        <v>90</v>
      </c>
      <c r="G1695" s="48" t="s">
        <v>99</v>
      </c>
      <c r="J1695" s="44">
        <f>YEAR(A1695)</f>
        <v>2023</v>
      </c>
    </row>
    <row r="1696" spans="1:11" ht="12" customHeight="1" x14ac:dyDescent="0.25">
      <c r="A1696" s="43">
        <v>45168</v>
      </c>
      <c r="B1696" s="47">
        <v>15742</v>
      </c>
      <c r="C1696" s="44" t="s">
        <v>585</v>
      </c>
      <c r="D1696" s="45">
        <v>20.5</v>
      </c>
      <c r="E1696" s="48" t="s">
        <v>299</v>
      </c>
      <c r="F1696" s="48" t="s">
        <v>90</v>
      </c>
      <c r="G1696" s="48" t="s">
        <v>91</v>
      </c>
      <c r="H1696" s="44" t="s">
        <v>398</v>
      </c>
      <c r="I1696" s="44" t="s">
        <v>921</v>
      </c>
      <c r="J1696" s="44">
        <f>YEAR(A1696)</f>
        <v>2023</v>
      </c>
    </row>
    <row r="1697" spans="1:11" ht="12" customHeight="1" x14ac:dyDescent="0.25">
      <c r="A1697" s="43">
        <v>45168</v>
      </c>
      <c r="B1697" s="47">
        <v>15743</v>
      </c>
      <c r="C1697" s="44" t="s">
        <v>484</v>
      </c>
      <c r="D1697" s="45">
        <v>-15.6</v>
      </c>
      <c r="E1697" s="48" t="s">
        <v>299</v>
      </c>
      <c r="F1697" s="48" t="s">
        <v>90</v>
      </c>
      <c r="G1697" s="48" t="s">
        <v>91</v>
      </c>
      <c r="H1697" s="44">
        <v>4025</v>
      </c>
      <c r="I1697" s="44" t="s">
        <v>920</v>
      </c>
      <c r="J1697" s="44">
        <f>YEAR(A1697)</f>
        <v>2023</v>
      </c>
    </row>
    <row r="1698" spans="1:11" ht="12" customHeight="1" x14ac:dyDescent="0.25">
      <c r="A1698" s="43">
        <v>45168</v>
      </c>
      <c r="B1698" s="47">
        <v>15743</v>
      </c>
      <c r="C1698" s="44" t="s">
        <v>484</v>
      </c>
      <c r="D1698" s="45">
        <v>15.6</v>
      </c>
      <c r="E1698" s="48" t="s">
        <v>89</v>
      </c>
      <c r="F1698" s="48" t="s">
        <v>90</v>
      </c>
      <c r="G1698" s="48" t="s">
        <v>91</v>
      </c>
      <c r="J1698" s="44">
        <f>YEAR(A1698)</f>
        <v>2023</v>
      </c>
    </row>
    <row r="1699" spans="1:11" ht="12" customHeight="1" x14ac:dyDescent="0.25">
      <c r="A1699" s="43">
        <v>45168</v>
      </c>
      <c r="B1699" s="47">
        <v>15744</v>
      </c>
      <c r="C1699" s="44" t="s">
        <v>445</v>
      </c>
      <c r="D1699" s="45">
        <v>-721.6</v>
      </c>
      <c r="E1699" s="48" t="s">
        <v>299</v>
      </c>
      <c r="F1699" s="48" t="s">
        <v>90</v>
      </c>
      <c r="G1699" s="48" t="s">
        <v>91</v>
      </c>
      <c r="H1699" s="44">
        <v>4026</v>
      </c>
      <c r="I1699" s="44" t="s">
        <v>920</v>
      </c>
      <c r="J1699" s="44">
        <f>YEAR(A1699)</f>
        <v>2023</v>
      </c>
    </row>
    <row r="1700" spans="1:11" ht="12" customHeight="1" x14ac:dyDescent="0.25">
      <c r="A1700" s="43">
        <v>45168</v>
      </c>
      <c r="B1700" s="47">
        <v>15744</v>
      </c>
      <c r="C1700" s="44" t="s">
        <v>445</v>
      </c>
      <c r="D1700" s="45">
        <v>721.6</v>
      </c>
      <c r="E1700" s="48" t="s">
        <v>180</v>
      </c>
      <c r="F1700" s="48" t="s">
        <v>116</v>
      </c>
      <c r="G1700" s="48" t="s">
        <v>186</v>
      </c>
      <c r="J1700" s="44">
        <f>YEAR(A1700)</f>
        <v>2023</v>
      </c>
      <c r="K1700" s="49" t="s">
        <v>834</v>
      </c>
    </row>
    <row r="1701" spans="1:11" ht="12" customHeight="1" x14ac:dyDescent="0.25">
      <c r="A1701" s="43">
        <v>45169</v>
      </c>
      <c r="B1701" s="47">
        <v>15745</v>
      </c>
      <c r="C1701" s="44" t="s">
        <v>484</v>
      </c>
      <c r="D1701" s="45">
        <v>-5</v>
      </c>
      <c r="E1701" s="48" t="s">
        <v>299</v>
      </c>
      <c r="F1701" s="48" t="s">
        <v>90</v>
      </c>
      <c r="G1701" s="48" t="s">
        <v>91</v>
      </c>
      <c r="H1701" s="44">
        <v>4071</v>
      </c>
      <c r="I1701" s="44" t="s">
        <v>920</v>
      </c>
      <c r="J1701" s="44">
        <f>YEAR(A1701)</f>
        <v>2023</v>
      </c>
    </row>
    <row r="1702" spans="1:11" ht="12" customHeight="1" x14ac:dyDescent="0.25">
      <c r="A1702" s="43">
        <v>45169</v>
      </c>
      <c r="B1702" s="47">
        <v>15745</v>
      </c>
      <c r="C1702" s="44" t="s">
        <v>484</v>
      </c>
      <c r="D1702" s="45">
        <v>5</v>
      </c>
      <c r="E1702" s="48" t="s">
        <v>89</v>
      </c>
      <c r="F1702" s="48" t="s">
        <v>90</v>
      </c>
      <c r="G1702" s="48" t="s">
        <v>91</v>
      </c>
      <c r="J1702" s="44">
        <f>YEAR(A1702)</f>
        <v>2023</v>
      </c>
    </row>
    <row r="1703" spans="1:11" ht="12" customHeight="1" x14ac:dyDescent="0.25">
      <c r="A1703" s="43">
        <v>45166</v>
      </c>
      <c r="B1703" s="47">
        <v>15746</v>
      </c>
      <c r="C1703" s="44" t="s">
        <v>453</v>
      </c>
      <c r="D1703" s="45">
        <v>10.3</v>
      </c>
      <c r="E1703" s="48" t="s">
        <v>89</v>
      </c>
      <c r="F1703" s="48" t="s">
        <v>90</v>
      </c>
      <c r="G1703" s="48" t="s">
        <v>91</v>
      </c>
      <c r="J1703" s="44">
        <f>YEAR(A1703)</f>
        <v>2023</v>
      </c>
    </row>
    <row r="1704" spans="1:11" ht="12" customHeight="1" x14ac:dyDescent="0.25">
      <c r="A1704" s="43">
        <v>45166</v>
      </c>
      <c r="B1704" s="47">
        <v>15746</v>
      </c>
      <c r="C1704" s="44" t="s">
        <v>453</v>
      </c>
      <c r="D1704" s="45">
        <v>-10.3</v>
      </c>
      <c r="E1704" s="48" t="s">
        <v>299</v>
      </c>
      <c r="F1704" s="48" t="s">
        <v>90</v>
      </c>
      <c r="G1704" s="48" t="s">
        <v>305</v>
      </c>
      <c r="I1704" s="44" t="s">
        <v>917</v>
      </c>
      <c r="J1704" s="44">
        <f>YEAR(A1704)</f>
        <v>2023</v>
      </c>
    </row>
    <row r="1705" spans="1:11" ht="12" customHeight="1" x14ac:dyDescent="0.25">
      <c r="A1705" s="43">
        <v>45166</v>
      </c>
      <c r="B1705" s="47">
        <v>15747</v>
      </c>
      <c r="C1705" s="44" t="s">
        <v>453</v>
      </c>
      <c r="D1705" s="45">
        <v>9.1199999999999992</v>
      </c>
      <c r="E1705" s="48" t="s">
        <v>89</v>
      </c>
      <c r="F1705" s="48" t="s">
        <v>90</v>
      </c>
      <c r="G1705" s="48" t="s">
        <v>91</v>
      </c>
      <c r="J1705" s="44">
        <f>YEAR(A1705)</f>
        <v>2023</v>
      </c>
    </row>
    <row r="1706" spans="1:11" ht="12" customHeight="1" x14ac:dyDescent="0.25">
      <c r="A1706" s="43">
        <v>45166</v>
      </c>
      <c r="B1706" s="47">
        <v>15747</v>
      </c>
      <c r="C1706" s="44" t="s">
        <v>453</v>
      </c>
      <c r="D1706" s="45">
        <v>-9.1199999999999992</v>
      </c>
      <c r="E1706" s="48" t="s">
        <v>299</v>
      </c>
      <c r="F1706" s="48" t="s">
        <v>90</v>
      </c>
      <c r="G1706" s="48" t="s">
        <v>305</v>
      </c>
      <c r="I1706" s="44" t="s">
        <v>917</v>
      </c>
      <c r="J1706" s="44">
        <f>YEAR(A1706)</f>
        <v>2023</v>
      </c>
    </row>
    <row r="1707" spans="1:11" ht="12" customHeight="1" x14ac:dyDescent="0.25">
      <c r="A1707" s="43">
        <v>45167</v>
      </c>
      <c r="B1707" s="47">
        <v>15748</v>
      </c>
      <c r="C1707" s="44" t="s">
        <v>806</v>
      </c>
      <c r="D1707" s="45">
        <v>39.99</v>
      </c>
      <c r="E1707" s="48" t="s">
        <v>145</v>
      </c>
      <c r="F1707" s="48" t="s">
        <v>135</v>
      </c>
      <c r="G1707" s="48" t="s">
        <v>91</v>
      </c>
      <c r="J1707" s="44">
        <f>YEAR(A1707)</f>
        <v>2023</v>
      </c>
      <c r="K1707" s="49" t="s">
        <v>836</v>
      </c>
    </row>
    <row r="1708" spans="1:11" ht="12" customHeight="1" x14ac:dyDescent="0.25">
      <c r="A1708" s="43">
        <v>45167</v>
      </c>
      <c r="B1708" s="47">
        <v>15748</v>
      </c>
      <c r="C1708" s="44" t="s">
        <v>806</v>
      </c>
      <c r="D1708" s="45">
        <v>-39.99</v>
      </c>
      <c r="E1708" s="48" t="s">
        <v>299</v>
      </c>
      <c r="F1708" s="48" t="s">
        <v>90</v>
      </c>
      <c r="G1708" s="48" t="s">
        <v>305</v>
      </c>
      <c r="I1708" s="44" t="s">
        <v>917</v>
      </c>
      <c r="J1708" s="44">
        <f>YEAR(A1708)</f>
        <v>2023</v>
      </c>
    </row>
    <row r="1709" spans="1:11" ht="12" customHeight="1" x14ac:dyDescent="0.25">
      <c r="A1709" s="43">
        <v>45167</v>
      </c>
      <c r="B1709" s="47">
        <v>15749</v>
      </c>
      <c r="C1709" s="44" t="s">
        <v>444</v>
      </c>
      <c r="D1709" s="45">
        <v>-109.87</v>
      </c>
      <c r="E1709" s="48" t="s">
        <v>299</v>
      </c>
      <c r="F1709" s="48" t="s">
        <v>90</v>
      </c>
      <c r="G1709" s="48" t="s">
        <v>91</v>
      </c>
      <c r="H1709" s="44" t="s">
        <v>459</v>
      </c>
      <c r="I1709" s="44" t="s">
        <v>920</v>
      </c>
      <c r="J1709" s="44">
        <f>YEAR(A1709)</f>
        <v>2023</v>
      </c>
    </row>
    <row r="1710" spans="1:11" ht="12" customHeight="1" x14ac:dyDescent="0.25">
      <c r="A1710" s="43">
        <v>45167</v>
      </c>
      <c r="B1710" s="47">
        <v>15749</v>
      </c>
      <c r="C1710" s="44" t="s">
        <v>444</v>
      </c>
      <c r="D1710" s="45">
        <v>36</v>
      </c>
      <c r="E1710" s="48" t="s">
        <v>89</v>
      </c>
      <c r="F1710" s="48" t="s">
        <v>90</v>
      </c>
      <c r="G1710" s="48" t="s">
        <v>91</v>
      </c>
      <c r="J1710" s="44">
        <f>YEAR(A1710)</f>
        <v>2023</v>
      </c>
      <c r="K1710" s="49" t="s">
        <v>837</v>
      </c>
    </row>
    <row r="1711" spans="1:11" ht="12" customHeight="1" x14ac:dyDescent="0.25">
      <c r="A1711" s="43">
        <v>45167</v>
      </c>
      <c r="B1711" s="47">
        <v>15749</v>
      </c>
      <c r="C1711" s="44" t="s">
        <v>444</v>
      </c>
      <c r="D1711" s="45">
        <v>15.99</v>
      </c>
      <c r="E1711" s="48" t="s">
        <v>157</v>
      </c>
      <c r="F1711" s="48" t="s">
        <v>96</v>
      </c>
      <c r="G1711" s="48" t="s">
        <v>91</v>
      </c>
      <c r="J1711" s="44">
        <f>YEAR(A1711)</f>
        <v>2023</v>
      </c>
    </row>
    <row r="1712" spans="1:11" ht="12" customHeight="1" x14ac:dyDescent="0.25">
      <c r="A1712" s="43">
        <v>45167</v>
      </c>
      <c r="B1712" s="47">
        <v>15749</v>
      </c>
      <c r="C1712" s="44" t="s">
        <v>444</v>
      </c>
      <c r="D1712" s="45">
        <v>57.88</v>
      </c>
      <c r="E1712" s="48" t="s">
        <v>197</v>
      </c>
      <c r="F1712" s="48" t="s">
        <v>96</v>
      </c>
      <c r="G1712" s="48" t="s">
        <v>93</v>
      </c>
      <c r="J1712" s="44">
        <f>YEAR(A1712)</f>
        <v>2023</v>
      </c>
    </row>
    <row r="1713" spans="1:11" ht="12" customHeight="1" x14ac:dyDescent="0.25">
      <c r="A1713" s="43">
        <v>45168</v>
      </c>
      <c r="B1713" s="47">
        <v>15750</v>
      </c>
      <c r="C1713" s="44" t="s">
        <v>838</v>
      </c>
      <c r="D1713" s="45">
        <v>375.58</v>
      </c>
      <c r="E1713" s="48" t="s">
        <v>180</v>
      </c>
      <c r="F1713" s="48" t="s">
        <v>116</v>
      </c>
      <c r="G1713" s="48" t="s">
        <v>555</v>
      </c>
      <c r="J1713" s="44">
        <f>YEAR(A1713)</f>
        <v>2023</v>
      </c>
    </row>
    <row r="1714" spans="1:11" ht="12" customHeight="1" x14ac:dyDescent="0.25">
      <c r="A1714" s="43">
        <v>45168</v>
      </c>
      <c r="B1714" s="47">
        <v>15750</v>
      </c>
      <c r="C1714" s="44" t="s">
        <v>838</v>
      </c>
      <c r="D1714" s="45">
        <v>-375.58</v>
      </c>
      <c r="E1714" s="48" t="s">
        <v>299</v>
      </c>
      <c r="F1714" s="48" t="s">
        <v>90</v>
      </c>
      <c r="G1714" s="48" t="s">
        <v>305</v>
      </c>
      <c r="I1714" s="44" t="s">
        <v>917</v>
      </c>
      <c r="J1714" s="44">
        <f>YEAR(A1714)</f>
        <v>2023</v>
      </c>
    </row>
    <row r="1715" spans="1:11" ht="12" customHeight="1" x14ac:dyDescent="0.25">
      <c r="A1715" s="43">
        <v>45168</v>
      </c>
      <c r="B1715" s="47">
        <v>15751</v>
      </c>
      <c r="C1715" s="44" t="s">
        <v>444</v>
      </c>
      <c r="D1715" s="45">
        <v>97.19</v>
      </c>
      <c r="E1715" s="48" t="s">
        <v>180</v>
      </c>
      <c r="F1715" s="48" t="s">
        <v>96</v>
      </c>
      <c r="G1715" s="48" t="s">
        <v>555</v>
      </c>
      <c r="J1715" s="44">
        <f>YEAR(A1715)</f>
        <v>2023</v>
      </c>
    </row>
    <row r="1716" spans="1:11" ht="12" customHeight="1" x14ac:dyDescent="0.25">
      <c r="A1716" s="43">
        <v>45168</v>
      </c>
      <c r="B1716" s="47">
        <v>15751</v>
      </c>
      <c r="C1716" s="44" t="s">
        <v>444</v>
      </c>
      <c r="D1716" s="45">
        <v>-97.19</v>
      </c>
      <c r="E1716" s="48" t="s">
        <v>294</v>
      </c>
      <c r="F1716" s="48" t="s">
        <v>90</v>
      </c>
      <c r="G1716" s="48" t="s">
        <v>91</v>
      </c>
      <c r="J1716" s="44">
        <f>YEAR(A1716)</f>
        <v>2023</v>
      </c>
      <c r="K1716" s="49" t="s">
        <v>1082</v>
      </c>
    </row>
    <row r="1717" spans="1:11" ht="12" customHeight="1" x14ac:dyDescent="0.25">
      <c r="A1717" s="43">
        <v>45168</v>
      </c>
      <c r="B1717" s="47">
        <v>15752</v>
      </c>
      <c r="C1717" s="44" t="s">
        <v>839</v>
      </c>
      <c r="D1717" s="45">
        <v>29.4</v>
      </c>
      <c r="E1717" s="48" t="s">
        <v>145</v>
      </c>
      <c r="F1717" s="48" t="s">
        <v>135</v>
      </c>
      <c r="G1717" s="48" t="s">
        <v>91</v>
      </c>
      <c r="J1717" s="44">
        <f>YEAR(A1717)</f>
        <v>2023</v>
      </c>
      <c r="K1717" s="49" t="s">
        <v>846</v>
      </c>
    </row>
    <row r="1718" spans="1:11" ht="12" customHeight="1" x14ac:dyDescent="0.25">
      <c r="A1718" s="43">
        <v>45168</v>
      </c>
      <c r="B1718" s="47">
        <v>15752</v>
      </c>
      <c r="C1718" s="44" t="s">
        <v>839</v>
      </c>
      <c r="D1718" s="45">
        <v>-29.4</v>
      </c>
      <c r="E1718" s="48" t="s">
        <v>299</v>
      </c>
      <c r="F1718" s="48" t="s">
        <v>90</v>
      </c>
      <c r="G1718" s="48" t="s">
        <v>305</v>
      </c>
      <c r="I1718" s="44" t="s">
        <v>917</v>
      </c>
      <c r="J1718" s="44">
        <f>YEAR(A1718)</f>
        <v>2023</v>
      </c>
    </row>
    <row r="1719" spans="1:11" ht="12" customHeight="1" x14ac:dyDescent="0.25">
      <c r="A1719" s="43">
        <v>45167</v>
      </c>
      <c r="B1719" s="47">
        <v>15753</v>
      </c>
      <c r="C1719" s="44" t="s">
        <v>840</v>
      </c>
      <c r="D1719" s="45">
        <v>10</v>
      </c>
      <c r="E1719" s="48" t="s">
        <v>145</v>
      </c>
      <c r="F1719" s="48" t="s">
        <v>135</v>
      </c>
      <c r="G1719" s="48" t="s">
        <v>91</v>
      </c>
      <c r="J1719" s="44">
        <f>YEAR(A1719)</f>
        <v>2023</v>
      </c>
    </row>
    <row r="1720" spans="1:11" ht="12" customHeight="1" x14ac:dyDescent="0.25">
      <c r="A1720" s="43">
        <v>45167</v>
      </c>
      <c r="B1720" s="47">
        <v>15753</v>
      </c>
      <c r="C1720" s="44" t="s">
        <v>441</v>
      </c>
      <c r="D1720" s="45">
        <v>-10</v>
      </c>
      <c r="E1720" s="48" t="s">
        <v>299</v>
      </c>
      <c r="F1720" s="48" t="s">
        <v>101</v>
      </c>
      <c r="G1720" s="48" t="s">
        <v>91</v>
      </c>
      <c r="J1720" s="44">
        <f>YEAR(A1720)</f>
        <v>2023</v>
      </c>
    </row>
    <row r="1721" spans="1:11" ht="12" customHeight="1" x14ac:dyDescent="0.25">
      <c r="A1721" s="43">
        <v>45168</v>
      </c>
      <c r="B1721" s="47">
        <v>15754</v>
      </c>
      <c r="C1721" s="44" t="s">
        <v>841</v>
      </c>
      <c r="D1721" s="45">
        <v>2.8</v>
      </c>
      <c r="E1721" s="48" t="s">
        <v>89</v>
      </c>
      <c r="F1721" s="48" t="s">
        <v>96</v>
      </c>
      <c r="G1721" s="48" t="s">
        <v>91</v>
      </c>
      <c r="J1721" s="44">
        <f>YEAR(A1721)</f>
        <v>2023</v>
      </c>
    </row>
    <row r="1722" spans="1:11" ht="12" customHeight="1" x14ac:dyDescent="0.25">
      <c r="A1722" s="43">
        <v>45168</v>
      </c>
      <c r="B1722" s="47">
        <v>15754</v>
      </c>
      <c r="C1722" s="44" t="s">
        <v>841</v>
      </c>
      <c r="D1722" s="45">
        <v>-2.8</v>
      </c>
      <c r="E1722" s="48" t="s">
        <v>299</v>
      </c>
      <c r="F1722" s="48" t="s">
        <v>90</v>
      </c>
      <c r="G1722" s="48" t="s">
        <v>305</v>
      </c>
      <c r="I1722" s="44" t="s">
        <v>917</v>
      </c>
      <c r="J1722" s="44">
        <f>YEAR(A1722)</f>
        <v>2023</v>
      </c>
    </row>
    <row r="1723" spans="1:11" ht="12" customHeight="1" x14ac:dyDescent="0.25">
      <c r="A1723" s="43">
        <v>45168</v>
      </c>
      <c r="B1723" s="47">
        <v>15755</v>
      </c>
      <c r="C1723" s="44" t="s">
        <v>472</v>
      </c>
      <c r="D1723" s="45">
        <v>94</v>
      </c>
      <c r="E1723" s="48" t="s">
        <v>197</v>
      </c>
      <c r="F1723" s="48" t="s">
        <v>96</v>
      </c>
      <c r="G1723" s="48" t="s">
        <v>99</v>
      </c>
      <c r="J1723" s="44">
        <f>YEAR(A1723)</f>
        <v>2023</v>
      </c>
    </row>
    <row r="1724" spans="1:11" ht="12" customHeight="1" x14ac:dyDescent="0.25">
      <c r="A1724" s="43">
        <v>45168</v>
      </c>
      <c r="B1724" s="47">
        <v>15755</v>
      </c>
      <c r="C1724" s="44" t="s">
        <v>472</v>
      </c>
      <c r="D1724" s="45">
        <v>-94</v>
      </c>
      <c r="E1724" s="48" t="s">
        <v>299</v>
      </c>
      <c r="F1724" s="48" t="s">
        <v>90</v>
      </c>
      <c r="G1724" s="48" t="s">
        <v>305</v>
      </c>
      <c r="I1724" s="44" t="s">
        <v>917</v>
      </c>
      <c r="J1724" s="44">
        <f>YEAR(A1724)</f>
        <v>2023</v>
      </c>
    </row>
    <row r="1725" spans="1:11" ht="12" customHeight="1" x14ac:dyDescent="0.25">
      <c r="A1725" s="43">
        <v>45170</v>
      </c>
      <c r="B1725" s="47">
        <v>15756</v>
      </c>
      <c r="C1725" s="44" t="s">
        <v>843</v>
      </c>
      <c r="D1725" s="45">
        <v>14</v>
      </c>
      <c r="E1725" s="48" t="s">
        <v>145</v>
      </c>
      <c r="F1725" s="48" t="s">
        <v>135</v>
      </c>
      <c r="G1725" s="48" t="s">
        <v>91</v>
      </c>
      <c r="J1725" s="44">
        <f>YEAR(A1725)</f>
        <v>2023</v>
      </c>
    </row>
    <row r="1726" spans="1:11" ht="12" customHeight="1" x14ac:dyDescent="0.25">
      <c r="A1726" s="43">
        <v>45170</v>
      </c>
      <c r="B1726" s="47">
        <v>15756</v>
      </c>
      <c r="C1726" s="44" t="s">
        <v>843</v>
      </c>
      <c r="D1726" s="45">
        <v>-14</v>
      </c>
      <c r="E1726" s="48" t="s">
        <v>299</v>
      </c>
      <c r="F1726" s="48" t="s">
        <v>90</v>
      </c>
      <c r="G1726" s="48" t="s">
        <v>305</v>
      </c>
      <c r="I1726" s="44" t="s">
        <v>946</v>
      </c>
      <c r="J1726" s="44">
        <f>YEAR(A1726)</f>
        <v>2023</v>
      </c>
    </row>
    <row r="1727" spans="1:11" ht="12" customHeight="1" x14ac:dyDescent="0.25">
      <c r="A1727" s="43">
        <v>45171</v>
      </c>
      <c r="B1727" s="47">
        <v>15757</v>
      </c>
      <c r="C1727" s="44" t="s">
        <v>441</v>
      </c>
      <c r="D1727" s="45">
        <v>-7.09</v>
      </c>
      <c r="E1727" s="48" t="s">
        <v>299</v>
      </c>
      <c r="F1727" s="48" t="s">
        <v>101</v>
      </c>
      <c r="G1727" s="48" t="s">
        <v>91</v>
      </c>
      <c r="J1727" s="44">
        <f>YEAR(A1727)</f>
        <v>2023</v>
      </c>
    </row>
    <row r="1728" spans="1:11" ht="12" customHeight="1" x14ac:dyDescent="0.25">
      <c r="A1728" s="43">
        <v>45171</v>
      </c>
      <c r="B1728" s="47">
        <v>15757</v>
      </c>
      <c r="C1728" s="44" t="s">
        <v>842</v>
      </c>
      <c r="D1728" s="45">
        <v>2</v>
      </c>
      <c r="E1728" s="48" t="s">
        <v>89</v>
      </c>
      <c r="F1728" s="48" t="s">
        <v>96</v>
      </c>
      <c r="G1728" s="48" t="s">
        <v>91</v>
      </c>
      <c r="J1728" s="44">
        <f>YEAR(A1728)</f>
        <v>2023</v>
      </c>
    </row>
    <row r="1729" spans="1:11" ht="12" customHeight="1" x14ac:dyDescent="0.25">
      <c r="A1729" s="43">
        <v>45171</v>
      </c>
      <c r="B1729" s="47">
        <v>15757</v>
      </c>
      <c r="C1729" s="44" t="s">
        <v>474</v>
      </c>
      <c r="D1729" s="45">
        <v>5.09</v>
      </c>
      <c r="E1729" s="48" t="s">
        <v>145</v>
      </c>
      <c r="F1729" s="48" t="s">
        <v>116</v>
      </c>
      <c r="G1729" s="48" t="s">
        <v>91</v>
      </c>
      <c r="J1729" s="44">
        <f>YEAR(A1729)</f>
        <v>2023</v>
      </c>
    </row>
    <row r="1730" spans="1:11" ht="12" customHeight="1" x14ac:dyDescent="0.25">
      <c r="A1730" s="43">
        <v>45171</v>
      </c>
      <c r="B1730" s="47">
        <v>15758</v>
      </c>
      <c r="C1730" s="44" t="s">
        <v>844</v>
      </c>
      <c r="D1730" s="45">
        <v>5</v>
      </c>
      <c r="E1730" s="48" t="s">
        <v>89</v>
      </c>
      <c r="F1730" s="48" t="s">
        <v>96</v>
      </c>
      <c r="G1730" s="48" t="s">
        <v>91</v>
      </c>
      <c r="J1730" s="44">
        <f>YEAR(A1730)</f>
        <v>2023</v>
      </c>
    </row>
    <row r="1731" spans="1:11" ht="12" customHeight="1" x14ac:dyDescent="0.25">
      <c r="A1731" s="43">
        <v>45171</v>
      </c>
      <c r="B1731" s="47">
        <v>15758</v>
      </c>
      <c r="C1731" s="44" t="s">
        <v>844</v>
      </c>
      <c r="D1731" s="45">
        <v>-5</v>
      </c>
      <c r="E1731" s="48" t="s">
        <v>299</v>
      </c>
      <c r="F1731" s="48" t="s">
        <v>90</v>
      </c>
      <c r="G1731" s="48" t="s">
        <v>305</v>
      </c>
      <c r="I1731" s="44" t="s">
        <v>946</v>
      </c>
      <c r="J1731" s="44">
        <f>YEAR(A1731)</f>
        <v>2023</v>
      </c>
    </row>
    <row r="1732" spans="1:11" ht="12" customHeight="1" x14ac:dyDescent="0.25">
      <c r="A1732" s="43">
        <v>45172</v>
      </c>
      <c r="B1732" s="47">
        <v>15759</v>
      </c>
      <c r="C1732" s="44" t="s">
        <v>845</v>
      </c>
      <c r="D1732" s="45">
        <v>16.899999999999999</v>
      </c>
      <c r="E1732" s="48" t="s">
        <v>89</v>
      </c>
      <c r="F1732" s="48" t="s">
        <v>90</v>
      </c>
      <c r="G1732" s="48" t="s">
        <v>91</v>
      </c>
      <c r="J1732" s="44">
        <f>YEAR(A1732)</f>
        <v>2023</v>
      </c>
      <c r="K1732" s="49" t="s">
        <v>364</v>
      </c>
    </row>
    <row r="1733" spans="1:11" ht="12" customHeight="1" x14ac:dyDescent="0.25">
      <c r="A1733" s="43">
        <v>45172</v>
      </c>
      <c r="B1733" s="47">
        <v>15759</v>
      </c>
      <c r="C1733" s="44" t="s">
        <v>845</v>
      </c>
      <c r="D1733" s="45">
        <v>-16.899999999999999</v>
      </c>
      <c r="E1733" s="48" t="s">
        <v>299</v>
      </c>
      <c r="F1733" s="48" t="s">
        <v>90</v>
      </c>
      <c r="G1733" s="48" t="s">
        <v>305</v>
      </c>
      <c r="I1733" s="44" t="s">
        <v>946</v>
      </c>
      <c r="J1733" s="44">
        <f>YEAR(A1733)</f>
        <v>2023</v>
      </c>
    </row>
    <row r="1734" spans="1:11" ht="12" customHeight="1" x14ac:dyDescent="0.25">
      <c r="A1734" s="43">
        <v>45172</v>
      </c>
      <c r="B1734" s="47">
        <v>15760</v>
      </c>
      <c r="C1734" s="44" t="s">
        <v>847</v>
      </c>
      <c r="D1734" s="45">
        <v>12.85</v>
      </c>
      <c r="E1734" s="48" t="s">
        <v>89</v>
      </c>
      <c r="F1734" s="48" t="s">
        <v>90</v>
      </c>
      <c r="G1734" s="48" t="s">
        <v>91</v>
      </c>
      <c r="J1734" s="44">
        <f>YEAR(A1734)</f>
        <v>2023</v>
      </c>
      <c r="K1734" s="49" t="s">
        <v>364</v>
      </c>
    </row>
    <row r="1735" spans="1:11" ht="12" customHeight="1" x14ac:dyDescent="0.25">
      <c r="A1735" s="43">
        <v>45172</v>
      </c>
      <c r="B1735" s="47">
        <v>15760</v>
      </c>
      <c r="C1735" s="44" t="s">
        <v>847</v>
      </c>
      <c r="D1735" s="45">
        <v>-12.85</v>
      </c>
      <c r="E1735" s="48" t="s">
        <v>299</v>
      </c>
      <c r="F1735" s="48" t="s">
        <v>90</v>
      </c>
      <c r="G1735" s="48" t="s">
        <v>305</v>
      </c>
      <c r="I1735" s="44" t="s">
        <v>946</v>
      </c>
      <c r="J1735" s="44">
        <f>YEAR(A1735)</f>
        <v>2023</v>
      </c>
    </row>
    <row r="1736" spans="1:11" ht="12" customHeight="1" x14ac:dyDescent="0.25">
      <c r="A1736" s="43">
        <v>45172</v>
      </c>
      <c r="B1736" s="47">
        <v>15761</v>
      </c>
      <c r="C1736" s="44" t="s">
        <v>848</v>
      </c>
      <c r="D1736" s="45">
        <v>19.02</v>
      </c>
      <c r="E1736" s="48" t="s">
        <v>89</v>
      </c>
      <c r="F1736" s="48" t="s">
        <v>90</v>
      </c>
      <c r="G1736" s="48" t="s">
        <v>91</v>
      </c>
      <c r="J1736" s="44">
        <f>YEAR(A1736)</f>
        <v>2023</v>
      </c>
      <c r="K1736" s="49" t="s">
        <v>364</v>
      </c>
    </row>
    <row r="1737" spans="1:11" ht="12" customHeight="1" x14ac:dyDescent="0.25">
      <c r="A1737" s="43">
        <v>45172</v>
      </c>
      <c r="B1737" s="47">
        <v>15761</v>
      </c>
      <c r="C1737" s="44" t="s">
        <v>848</v>
      </c>
      <c r="D1737" s="45">
        <v>-19.02</v>
      </c>
      <c r="E1737" s="48" t="s">
        <v>299</v>
      </c>
      <c r="F1737" s="48" t="s">
        <v>90</v>
      </c>
      <c r="G1737" s="48" t="s">
        <v>305</v>
      </c>
      <c r="I1737" s="44" t="s">
        <v>946</v>
      </c>
      <c r="J1737" s="44">
        <f>YEAR(A1737)</f>
        <v>2023</v>
      </c>
    </row>
    <row r="1738" spans="1:11" ht="12" customHeight="1" x14ac:dyDescent="0.25">
      <c r="A1738" s="43">
        <v>45172</v>
      </c>
      <c r="B1738" s="47">
        <v>15762</v>
      </c>
      <c r="C1738" s="44" t="s">
        <v>849</v>
      </c>
      <c r="D1738" s="45">
        <v>-44.56</v>
      </c>
      <c r="E1738" s="48" t="s">
        <v>299</v>
      </c>
      <c r="F1738" s="48" t="s">
        <v>90</v>
      </c>
      <c r="G1738" s="48" t="s">
        <v>91</v>
      </c>
      <c r="H1738" s="44" t="s">
        <v>459</v>
      </c>
      <c r="I1738" s="44" t="s">
        <v>920</v>
      </c>
      <c r="J1738" s="44">
        <f>YEAR(A1738)</f>
        <v>2023</v>
      </c>
    </row>
    <row r="1739" spans="1:11" ht="12" customHeight="1" x14ac:dyDescent="0.25">
      <c r="A1739" s="43">
        <v>45172</v>
      </c>
      <c r="B1739" s="47">
        <v>15762</v>
      </c>
      <c r="C1739" s="44" t="s">
        <v>849</v>
      </c>
      <c r="D1739" s="45">
        <v>44.56</v>
      </c>
      <c r="E1739" s="48" t="s">
        <v>89</v>
      </c>
      <c r="F1739" s="48" t="s">
        <v>90</v>
      </c>
      <c r="G1739" s="48" t="s">
        <v>91</v>
      </c>
      <c r="J1739" s="44">
        <f>YEAR(A1739)</f>
        <v>2023</v>
      </c>
      <c r="K1739" s="49" t="s">
        <v>364</v>
      </c>
    </row>
    <row r="1740" spans="1:11" ht="12" customHeight="1" x14ac:dyDescent="0.25">
      <c r="A1740" s="43">
        <v>45173</v>
      </c>
      <c r="B1740" s="47">
        <v>15763</v>
      </c>
      <c r="C1740" s="44" t="s">
        <v>850</v>
      </c>
      <c r="D1740" s="45">
        <v>3.6</v>
      </c>
      <c r="E1740" s="48" t="s">
        <v>105</v>
      </c>
      <c r="F1740" s="48" t="s">
        <v>90</v>
      </c>
      <c r="G1740" s="48" t="s">
        <v>91</v>
      </c>
      <c r="J1740" s="44">
        <f>YEAR(A1740)</f>
        <v>2023</v>
      </c>
      <c r="K1740" s="49" t="s">
        <v>364</v>
      </c>
    </row>
    <row r="1741" spans="1:11" ht="12" customHeight="1" x14ac:dyDescent="0.25">
      <c r="A1741" s="43">
        <v>45173</v>
      </c>
      <c r="B1741" s="47">
        <v>15763</v>
      </c>
      <c r="C1741" s="44" t="s">
        <v>850</v>
      </c>
      <c r="D1741" s="45">
        <v>-3.6</v>
      </c>
      <c r="E1741" s="48" t="s">
        <v>299</v>
      </c>
      <c r="F1741" s="48" t="s">
        <v>90</v>
      </c>
      <c r="G1741" s="48" t="s">
        <v>305</v>
      </c>
      <c r="I1741" s="44" t="s">
        <v>946</v>
      </c>
      <c r="J1741" s="44">
        <f>YEAR(A1741)</f>
        <v>2023</v>
      </c>
    </row>
    <row r="1742" spans="1:11" ht="12" customHeight="1" x14ac:dyDescent="0.25">
      <c r="A1742" s="43">
        <v>45225</v>
      </c>
      <c r="B1742" s="47">
        <v>15764</v>
      </c>
      <c r="C1742" s="44" t="s">
        <v>851</v>
      </c>
      <c r="D1742" s="45">
        <v>-1390</v>
      </c>
      <c r="E1742" s="48" t="s">
        <v>299</v>
      </c>
      <c r="F1742" s="48" t="s">
        <v>90</v>
      </c>
      <c r="G1742" s="48" t="s">
        <v>91</v>
      </c>
      <c r="H1742" s="44" t="s">
        <v>391</v>
      </c>
      <c r="I1742" s="44" t="s">
        <v>987</v>
      </c>
      <c r="J1742" s="44">
        <f>YEAR(A1742)</f>
        <v>2023</v>
      </c>
    </row>
    <row r="1743" spans="1:11" ht="12" customHeight="1" x14ac:dyDescent="0.25">
      <c r="A1743" s="43">
        <v>45225</v>
      </c>
      <c r="B1743" s="47">
        <v>15764</v>
      </c>
      <c r="C1743" s="44" t="s">
        <v>851</v>
      </c>
      <c r="D1743" s="45">
        <v>1390</v>
      </c>
      <c r="E1743" s="48" t="s">
        <v>110</v>
      </c>
      <c r="F1743" s="48" t="s">
        <v>96</v>
      </c>
      <c r="G1743" s="48" t="s">
        <v>852</v>
      </c>
      <c r="J1743" s="44">
        <f>YEAR(A1743)</f>
        <v>2023</v>
      </c>
    </row>
    <row r="1744" spans="1:11" ht="12" customHeight="1" x14ac:dyDescent="0.25">
      <c r="A1744" s="43">
        <v>45225</v>
      </c>
      <c r="B1744" s="47">
        <v>15765</v>
      </c>
      <c r="C1744" s="44" t="s">
        <v>853</v>
      </c>
      <c r="D1744" s="45">
        <v>-3735</v>
      </c>
      <c r="E1744" s="48" t="s">
        <v>299</v>
      </c>
      <c r="F1744" s="48" t="s">
        <v>90</v>
      </c>
      <c r="G1744" s="48" t="s">
        <v>91</v>
      </c>
      <c r="H1744" s="44" t="s">
        <v>391</v>
      </c>
      <c r="I1744" s="44" t="s">
        <v>987</v>
      </c>
      <c r="J1744" s="44">
        <f>YEAR(A1744)</f>
        <v>2023</v>
      </c>
    </row>
    <row r="1745" spans="1:10" ht="12" customHeight="1" x14ac:dyDescent="0.25">
      <c r="A1745" s="43">
        <v>45225</v>
      </c>
      <c r="B1745" s="47">
        <v>15765</v>
      </c>
      <c r="C1745" s="44" t="s">
        <v>853</v>
      </c>
      <c r="D1745" s="45">
        <v>3735</v>
      </c>
      <c r="E1745" s="48" t="s">
        <v>110</v>
      </c>
      <c r="F1745" s="48" t="s">
        <v>96</v>
      </c>
      <c r="G1745" s="48" t="s">
        <v>112</v>
      </c>
      <c r="J1745" s="44">
        <f>YEAR(A1745)</f>
        <v>2023</v>
      </c>
    </row>
    <row r="1746" spans="1:10" ht="12" customHeight="1" x14ac:dyDescent="0.25">
      <c r="A1746" s="43">
        <v>45174</v>
      </c>
      <c r="B1746" s="47">
        <v>15766</v>
      </c>
      <c r="C1746" s="44" t="s">
        <v>452</v>
      </c>
      <c r="D1746" s="45">
        <v>-409.96</v>
      </c>
      <c r="E1746" s="48" t="s">
        <v>299</v>
      </c>
      <c r="F1746" s="48" t="s">
        <v>90</v>
      </c>
      <c r="G1746" s="48" t="s">
        <v>91</v>
      </c>
      <c r="H1746" s="44" t="s">
        <v>402</v>
      </c>
      <c r="I1746" s="44" t="s">
        <v>920</v>
      </c>
      <c r="J1746" s="44">
        <f>YEAR(A1746)</f>
        <v>2023</v>
      </c>
    </row>
    <row r="1747" spans="1:10" ht="12" customHeight="1" x14ac:dyDescent="0.25">
      <c r="A1747" s="43">
        <v>45165</v>
      </c>
      <c r="B1747" s="47">
        <v>15766</v>
      </c>
      <c r="C1747" s="44" t="s">
        <v>469</v>
      </c>
      <c r="D1747" s="45">
        <v>4.5</v>
      </c>
      <c r="E1747" s="48" t="s">
        <v>89</v>
      </c>
      <c r="F1747" s="48" t="s">
        <v>90</v>
      </c>
      <c r="G1747" s="48" t="s">
        <v>91</v>
      </c>
      <c r="J1747" s="44">
        <f>YEAR(A1747)</f>
        <v>2023</v>
      </c>
    </row>
    <row r="1748" spans="1:10" ht="12" customHeight="1" x14ac:dyDescent="0.25">
      <c r="A1748" s="43">
        <v>45170</v>
      </c>
      <c r="B1748" s="47">
        <v>15766</v>
      </c>
      <c r="C1748" s="44" t="s">
        <v>854</v>
      </c>
      <c r="D1748" s="45">
        <v>1.5</v>
      </c>
      <c r="E1748" s="48" t="s">
        <v>180</v>
      </c>
      <c r="F1748" s="48" t="s">
        <v>90</v>
      </c>
      <c r="G1748" s="48" t="s">
        <v>91</v>
      </c>
      <c r="H1748" s="44" t="s">
        <v>442</v>
      </c>
      <c r="J1748" s="44">
        <f>YEAR(A1748)</f>
        <v>2023</v>
      </c>
    </row>
    <row r="1749" spans="1:10" ht="12" customHeight="1" x14ac:dyDescent="0.25">
      <c r="A1749" s="43">
        <v>45171</v>
      </c>
      <c r="B1749" s="47">
        <v>15766</v>
      </c>
      <c r="C1749" s="44" t="s">
        <v>855</v>
      </c>
      <c r="D1749" s="45">
        <v>56.22</v>
      </c>
      <c r="E1749" s="48" t="s">
        <v>157</v>
      </c>
      <c r="F1749" s="48" t="s">
        <v>122</v>
      </c>
      <c r="G1749" s="48" t="s">
        <v>91</v>
      </c>
      <c r="J1749" s="44">
        <f>YEAR(A1749)</f>
        <v>2023</v>
      </c>
    </row>
    <row r="1750" spans="1:10" ht="12" customHeight="1" x14ac:dyDescent="0.25">
      <c r="A1750" s="43">
        <v>45171</v>
      </c>
      <c r="B1750" s="47">
        <v>15766</v>
      </c>
      <c r="C1750" s="44" t="s">
        <v>856</v>
      </c>
      <c r="D1750" s="45">
        <v>9.4</v>
      </c>
      <c r="E1750" s="48" t="s">
        <v>89</v>
      </c>
      <c r="F1750" s="48" t="s">
        <v>96</v>
      </c>
      <c r="G1750" s="48" t="s">
        <v>91</v>
      </c>
      <c r="J1750" s="44">
        <f>YEAR(A1750)</f>
        <v>2023</v>
      </c>
    </row>
    <row r="1751" spans="1:10" ht="12" customHeight="1" x14ac:dyDescent="0.25">
      <c r="A1751" s="43">
        <v>45171</v>
      </c>
      <c r="B1751" s="47">
        <v>15766</v>
      </c>
      <c r="C1751" s="44" t="s">
        <v>857</v>
      </c>
      <c r="D1751" s="45">
        <v>98.6</v>
      </c>
      <c r="E1751" s="48" t="s">
        <v>180</v>
      </c>
      <c r="F1751" s="48" t="s">
        <v>96</v>
      </c>
      <c r="G1751" s="48" t="s">
        <v>187</v>
      </c>
      <c r="J1751" s="44">
        <f>YEAR(A1751)</f>
        <v>2023</v>
      </c>
    </row>
    <row r="1752" spans="1:10" ht="12" customHeight="1" x14ac:dyDescent="0.25">
      <c r="A1752" s="43">
        <v>45171</v>
      </c>
      <c r="B1752" s="47">
        <v>15766</v>
      </c>
      <c r="C1752" s="44" t="s">
        <v>858</v>
      </c>
      <c r="D1752" s="45">
        <v>47.6</v>
      </c>
      <c r="E1752" s="48" t="s">
        <v>89</v>
      </c>
      <c r="F1752" s="48" t="s">
        <v>96</v>
      </c>
      <c r="G1752" s="48" t="s">
        <v>91</v>
      </c>
      <c r="J1752" s="44">
        <f>YEAR(A1752)</f>
        <v>2023</v>
      </c>
    </row>
    <row r="1753" spans="1:10" ht="12" customHeight="1" x14ac:dyDescent="0.25">
      <c r="A1753" s="43">
        <v>45172</v>
      </c>
      <c r="B1753" s="47">
        <v>15766</v>
      </c>
      <c r="C1753" s="44" t="s">
        <v>451</v>
      </c>
      <c r="D1753" s="45">
        <v>5.2</v>
      </c>
      <c r="E1753" s="48" t="s">
        <v>89</v>
      </c>
      <c r="F1753" s="48" t="s">
        <v>90</v>
      </c>
      <c r="G1753" s="48" t="s">
        <v>91</v>
      </c>
      <c r="J1753" s="44">
        <f>YEAR(A1753)</f>
        <v>2023</v>
      </c>
    </row>
    <row r="1754" spans="1:10" ht="12" customHeight="1" x14ac:dyDescent="0.25">
      <c r="A1754" s="43">
        <v>45172</v>
      </c>
      <c r="B1754" s="47">
        <v>15766</v>
      </c>
      <c r="C1754" s="44" t="s">
        <v>859</v>
      </c>
      <c r="D1754" s="45">
        <v>18.91</v>
      </c>
      <c r="E1754" s="48" t="s">
        <v>89</v>
      </c>
      <c r="F1754" s="48" t="s">
        <v>90</v>
      </c>
      <c r="G1754" s="48" t="s">
        <v>91</v>
      </c>
      <c r="J1754" s="44">
        <f>YEAR(A1754)</f>
        <v>2023</v>
      </c>
    </row>
    <row r="1755" spans="1:10" ht="12" customHeight="1" x14ac:dyDescent="0.25">
      <c r="A1755" s="43">
        <v>45173</v>
      </c>
      <c r="B1755" s="47">
        <v>15766</v>
      </c>
      <c r="C1755" s="44" t="s">
        <v>860</v>
      </c>
      <c r="D1755" s="45">
        <v>165.83</v>
      </c>
      <c r="E1755" s="48" t="s">
        <v>89</v>
      </c>
      <c r="F1755" s="48" t="s">
        <v>90</v>
      </c>
      <c r="G1755" s="48" t="s">
        <v>91</v>
      </c>
      <c r="J1755" s="44">
        <f>YEAR(A1755)</f>
        <v>2023</v>
      </c>
    </row>
    <row r="1756" spans="1:10" ht="12" customHeight="1" x14ac:dyDescent="0.25">
      <c r="A1756" s="43">
        <v>45174</v>
      </c>
      <c r="B1756" s="47">
        <v>15766</v>
      </c>
      <c r="C1756" s="44" t="s">
        <v>451</v>
      </c>
      <c r="D1756" s="45">
        <v>2.2000000000000002</v>
      </c>
      <c r="E1756" s="48" t="s">
        <v>89</v>
      </c>
      <c r="F1756" s="48" t="s">
        <v>90</v>
      </c>
      <c r="G1756" s="48" t="s">
        <v>91</v>
      </c>
      <c r="J1756" s="44">
        <f>YEAR(A1756)</f>
        <v>2023</v>
      </c>
    </row>
    <row r="1757" spans="1:10" ht="12" customHeight="1" x14ac:dyDescent="0.25">
      <c r="A1757" s="43">
        <v>45174</v>
      </c>
      <c r="B1757" s="47">
        <v>15767</v>
      </c>
      <c r="C1757" s="44" t="s">
        <v>474</v>
      </c>
      <c r="D1757" s="45">
        <v>7.5</v>
      </c>
      <c r="E1757" s="48" t="s">
        <v>89</v>
      </c>
      <c r="F1757" s="48" t="s">
        <v>90</v>
      </c>
      <c r="G1757" s="48" t="s">
        <v>91</v>
      </c>
      <c r="J1757" s="44">
        <f>YEAR(A1757)</f>
        <v>2023</v>
      </c>
    </row>
    <row r="1758" spans="1:10" ht="12" customHeight="1" x14ac:dyDescent="0.25">
      <c r="A1758" s="43">
        <v>45174</v>
      </c>
      <c r="B1758" s="47">
        <v>15767</v>
      </c>
      <c r="C1758" s="44" t="s">
        <v>441</v>
      </c>
      <c r="D1758" s="45">
        <v>-21</v>
      </c>
      <c r="E1758" s="48" t="s">
        <v>299</v>
      </c>
      <c r="F1758" s="48" t="s">
        <v>101</v>
      </c>
      <c r="G1758" s="48" t="s">
        <v>91</v>
      </c>
      <c r="J1758" s="44">
        <f>YEAR(A1758)</f>
        <v>2023</v>
      </c>
    </row>
    <row r="1759" spans="1:10" ht="12" customHeight="1" x14ac:dyDescent="0.25">
      <c r="A1759" s="43">
        <v>45175</v>
      </c>
      <c r="B1759" s="47">
        <v>15767</v>
      </c>
      <c r="C1759" s="44" t="s">
        <v>861</v>
      </c>
      <c r="D1759" s="45">
        <v>2.2000000000000002</v>
      </c>
      <c r="E1759" s="48" t="s">
        <v>89</v>
      </c>
      <c r="F1759" s="48" t="s">
        <v>90</v>
      </c>
      <c r="G1759" s="48" t="s">
        <v>91</v>
      </c>
      <c r="J1759" s="44">
        <f>YEAR(A1759)</f>
        <v>2023</v>
      </c>
    </row>
    <row r="1760" spans="1:10" ht="12" customHeight="1" x14ac:dyDescent="0.25">
      <c r="A1760" s="43">
        <v>45175</v>
      </c>
      <c r="B1760" s="47">
        <v>15767</v>
      </c>
      <c r="C1760" s="44" t="s">
        <v>863</v>
      </c>
      <c r="D1760" s="45">
        <v>1.5</v>
      </c>
      <c r="E1760" s="48" t="s">
        <v>145</v>
      </c>
      <c r="F1760" s="48" t="s">
        <v>135</v>
      </c>
      <c r="G1760" s="48" t="s">
        <v>91</v>
      </c>
      <c r="J1760" s="44">
        <f>YEAR(A1760)</f>
        <v>2023</v>
      </c>
    </row>
    <row r="1761" spans="1:10" ht="12" customHeight="1" x14ac:dyDescent="0.25">
      <c r="A1761" s="43">
        <v>45188</v>
      </c>
      <c r="B1761" s="47">
        <v>15767</v>
      </c>
      <c r="C1761" s="44" t="s">
        <v>474</v>
      </c>
      <c r="D1761" s="45">
        <v>9.8000000000000007</v>
      </c>
      <c r="E1761" s="48" t="s">
        <v>89</v>
      </c>
      <c r="F1761" s="48" t="s">
        <v>90</v>
      </c>
      <c r="G1761" s="48" t="s">
        <v>91</v>
      </c>
      <c r="J1761" s="44">
        <f>YEAR(A1761)</f>
        <v>2023</v>
      </c>
    </row>
    <row r="1762" spans="1:10" ht="12" customHeight="1" x14ac:dyDescent="0.25">
      <c r="A1762" s="43">
        <v>45174</v>
      </c>
      <c r="B1762" s="47">
        <v>15768</v>
      </c>
      <c r="C1762" s="44" t="s">
        <v>862</v>
      </c>
      <c r="D1762" s="45">
        <v>3.2</v>
      </c>
      <c r="E1762" s="48" t="s">
        <v>89</v>
      </c>
      <c r="F1762" s="48" t="s">
        <v>96</v>
      </c>
      <c r="G1762" s="48" t="s">
        <v>91</v>
      </c>
      <c r="J1762" s="44">
        <f>YEAR(A1762)</f>
        <v>2023</v>
      </c>
    </row>
    <row r="1763" spans="1:10" ht="12" customHeight="1" x14ac:dyDescent="0.25">
      <c r="A1763" s="43">
        <v>45174</v>
      </c>
      <c r="B1763" s="47">
        <v>15768</v>
      </c>
      <c r="C1763" s="44" t="s">
        <v>862</v>
      </c>
      <c r="D1763" s="45">
        <v>-3.2</v>
      </c>
      <c r="E1763" s="48" t="s">
        <v>299</v>
      </c>
      <c r="F1763" s="48" t="s">
        <v>90</v>
      </c>
      <c r="G1763" s="48" t="s">
        <v>305</v>
      </c>
      <c r="I1763" s="44" t="s">
        <v>946</v>
      </c>
      <c r="J1763" s="44">
        <f>YEAR(A1763)</f>
        <v>2023</v>
      </c>
    </row>
    <row r="1764" spans="1:10" ht="12" customHeight="1" x14ac:dyDescent="0.25">
      <c r="A1764" s="43">
        <v>45175</v>
      </c>
      <c r="B1764" s="47">
        <v>15769</v>
      </c>
      <c r="C1764" s="44" t="s">
        <v>863</v>
      </c>
      <c r="D1764" s="45">
        <v>9.6999999999999993</v>
      </c>
      <c r="E1764" s="48" t="s">
        <v>145</v>
      </c>
      <c r="F1764" s="48" t="s">
        <v>116</v>
      </c>
      <c r="G1764" s="48" t="s">
        <v>91</v>
      </c>
      <c r="J1764" s="44">
        <f>YEAR(A1764)</f>
        <v>2023</v>
      </c>
    </row>
    <row r="1765" spans="1:10" ht="12" customHeight="1" x14ac:dyDescent="0.25">
      <c r="A1765" s="43">
        <v>45175</v>
      </c>
      <c r="B1765" s="47">
        <v>15769</v>
      </c>
      <c r="C1765" s="44" t="s">
        <v>863</v>
      </c>
      <c r="D1765" s="45">
        <v>-9.6999999999999993</v>
      </c>
      <c r="E1765" s="48" t="s">
        <v>299</v>
      </c>
      <c r="F1765" s="48" t="s">
        <v>90</v>
      </c>
      <c r="G1765" s="48" t="s">
        <v>305</v>
      </c>
      <c r="I1765" s="44" t="s">
        <v>946</v>
      </c>
      <c r="J1765" s="44">
        <f>YEAR(A1765)</f>
        <v>2023</v>
      </c>
    </row>
    <row r="1766" spans="1:10" ht="12" customHeight="1" x14ac:dyDescent="0.25">
      <c r="A1766" s="43">
        <v>45175</v>
      </c>
      <c r="B1766" s="47">
        <v>15770</v>
      </c>
      <c r="C1766" s="44" t="s">
        <v>849</v>
      </c>
      <c r="D1766" s="45">
        <v>2.4900000000000002</v>
      </c>
      <c r="E1766" s="48" t="s">
        <v>197</v>
      </c>
      <c r="F1766" s="48" t="s">
        <v>96</v>
      </c>
      <c r="G1766" s="48" t="s">
        <v>91</v>
      </c>
      <c r="J1766" s="44">
        <f>YEAR(A1766)</f>
        <v>2023</v>
      </c>
    </row>
    <row r="1767" spans="1:10" ht="12" customHeight="1" x14ac:dyDescent="0.25">
      <c r="A1767" s="43">
        <v>45175</v>
      </c>
      <c r="B1767" s="47">
        <v>15770</v>
      </c>
      <c r="C1767" s="44" t="s">
        <v>849</v>
      </c>
      <c r="D1767" s="45">
        <v>-2.4900000000000002</v>
      </c>
      <c r="E1767" s="48" t="s">
        <v>299</v>
      </c>
      <c r="F1767" s="48" t="s">
        <v>90</v>
      </c>
      <c r="G1767" s="48" t="s">
        <v>305</v>
      </c>
      <c r="I1767" s="44" t="s">
        <v>946</v>
      </c>
      <c r="J1767" s="44">
        <f>YEAR(A1767)</f>
        <v>2023</v>
      </c>
    </row>
    <row r="1768" spans="1:10" ht="12" customHeight="1" x14ac:dyDescent="0.25">
      <c r="A1768" s="43">
        <v>45175</v>
      </c>
      <c r="B1768" s="47">
        <v>15771</v>
      </c>
      <c r="C1768" s="44" t="s">
        <v>481</v>
      </c>
      <c r="D1768" s="45">
        <v>6.19</v>
      </c>
      <c r="E1768" s="48" t="s">
        <v>89</v>
      </c>
      <c r="F1768" s="48" t="s">
        <v>90</v>
      </c>
      <c r="G1768" s="48" t="s">
        <v>91</v>
      </c>
      <c r="J1768" s="44">
        <f>YEAR(A1768)</f>
        <v>2023</v>
      </c>
    </row>
    <row r="1769" spans="1:10" ht="12" customHeight="1" x14ac:dyDescent="0.25">
      <c r="A1769" s="43">
        <v>45175</v>
      </c>
      <c r="B1769" s="47">
        <v>15771</v>
      </c>
      <c r="C1769" s="44" t="s">
        <v>481</v>
      </c>
      <c r="D1769" s="45">
        <v>-6.19</v>
      </c>
      <c r="E1769" s="48" t="s">
        <v>299</v>
      </c>
      <c r="F1769" s="48" t="s">
        <v>90</v>
      </c>
      <c r="G1769" s="48" t="s">
        <v>305</v>
      </c>
      <c r="I1769" s="44" t="s">
        <v>946</v>
      </c>
      <c r="J1769" s="44">
        <f>YEAR(A1769)</f>
        <v>2023</v>
      </c>
    </row>
    <row r="1770" spans="1:10" ht="12" customHeight="1" x14ac:dyDescent="0.25">
      <c r="A1770" s="43">
        <v>45175</v>
      </c>
      <c r="B1770" s="47">
        <v>15772</v>
      </c>
      <c r="C1770" s="44" t="s">
        <v>850</v>
      </c>
      <c r="D1770" s="45">
        <v>5.8</v>
      </c>
      <c r="E1770" s="48" t="s">
        <v>105</v>
      </c>
      <c r="F1770" s="48" t="s">
        <v>90</v>
      </c>
      <c r="G1770" s="48" t="s">
        <v>91</v>
      </c>
      <c r="J1770" s="44">
        <f>YEAR(A1770)</f>
        <v>2023</v>
      </c>
    </row>
    <row r="1771" spans="1:10" ht="12" customHeight="1" x14ac:dyDescent="0.25">
      <c r="A1771" s="43">
        <v>45175</v>
      </c>
      <c r="B1771" s="47">
        <v>15772</v>
      </c>
      <c r="C1771" s="44" t="s">
        <v>850</v>
      </c>
      <c r="D1771" s="45">
        <v>-5.8</v>
      </c>
      <c r="E1771" s="48" t="s">
        <v>299</v>
      </c>
      <c r="F1771" s="48" t="s">
        <v>90</v>
      </c>
      <c r="G1771" s="48" t="s">
        <v>305</v>
      </c>
      <c r="I1771" s="44" t="s">
        <v>946</v>
      </c>
      <c r="J1771" s="44">
        <f>YEAR(A1771)</f>
        <v>2023</v>
      </c>
    </row>
    <row r="1772" spans="1:10" ht="12" customHeight="1" x14ac:dyDescent="0.25">
      <c r="A1772" s="43">
        <v>45175</v>
      </c>
      <c r="B1772" s="47">
        <v>15773</v>
      </c>
      <c r="C1772" s="44" t="s">
        <v>864</v>
      </c>
      <c r="D1772" s="45">
        <v>10.1</v>
      </c>
      <c r="E1772" s="48" t="s">
        <v>145</v>
      </c>
      <c r="F1772" s="48" t="s">
        <v>135</v>
      </c>
      <c r="G1772" s="48" t="s">
        <v>91</v>
      </c>
      <c r="J1772" s="44">
        <f>YEAR(A1772)</f>
        <v>2023</v>
      </c>
    </row>
    <row r="1773" spans="1:10" ht="12" customHeight="1" x14ac:dyDescent="0.25">
      <c r="A1773" s="43">
        <v>45175</v>
      </c>
      <c r="B1773" s="47">
        <v>15773</v>
      </c>
      <c r="C1773" s="44" t="s">
        <v>864</v>
      </c>
      <c r="D1773" s="45">
        <v>14.45</v>
      </c>
      <c r="E1773" s="48" t="s">
        <v>197</v>
      </c>
      <c r="F1773" s="48" t="s">
        <v>96</v>
      </c>
      <c r="G1773" s="48" t="s">
        <v>91</v>
      </c>
      <c r="J1773" s="44">
        <f>YEAR(A1773)</f>
        <v>2023</v>
      </c>
    </row>
    <row r="1774" spans="1:10" ht="12" customHeight="1" x14ac:dyDescent="0.25">
      <c r="A1774" s="43">
        <v>45175</v>
      </c>
      <c r="B1774" s="47">
        <v>15773</v>
      </c>
      <c r="C1774" s="44" t="s">
        <v>864</v>
      </c>
      <c r="D1774" s="45">
        <v>-24.55</v>
      </c>
      <c r="E1774" s="48" t="s">
        <v>299</v>
      </c>
      <c r="F1774" s="48" t="s">
        <v>90</v>
      </c>
      <c r="G1774" s="48" t="s">
        <v>305</v>
      </c>
      <c r="I1774" s="44" t="s">
        <v>946</v>
      </c>
      <c r="J1774" s="44">
        <f>YEAR(A1774)</f>
        <v>2023</v>
      </c>
    </row>
    <row r="1775" spans="1:10" ht="12" customHeight="1" x14ac:dyDescent="0.25">
      <c r="A1775" s="43">
        <v>45175</v>
      </c>
      <c r="B1775" s="47">
        <v>15774</v>
      </c>
      <c r="C1775" s="44" t="s">
        <v>865</v>
      </c>
      <c r="D1775" s="45">
        <v>79</v>
      </c>
      <c r="E1775" s="48" t="s">
        <v>105</v>
      </c>
      <c r="F1775" s="48" t="s">
        <v>90</v>
      </c>
      <c r="G1775" s="48" t="s">
        <v>99</v>
      </c>
      <c r="J1775" s="44">
        <f>YEAR(A1775)</f>
        <v>2023</v>
      </c>
    </row>
    <row r="1776" spans="1:10" ht="12" customHeight="1" x14ac:dyDescent="0.25">
      <c r="A1776" s="43">
        <v>45175</v>
      </c>
      <c r="B1776" s="47">
        <v>15774</v>
      </c>
      <c r="C1776" s="44" t="s">
        <v>865</v>
      </c>
      <c r="D1776" s="45">
        <v>-79</v>
      </c>
      <c r="E1776" s="48" t="s">
        <v>299</v>
      </c>
      <c r="F1776" s="48" t="s">
        <v>90</v>
      </c>
      <c r="G1776" s="48" t="s">
        <v>305</v>
      </c>
      <c r="I1776" s="44" t="s">
        <v>946</v>
      </c>
      <c r="J1776" s="44">
        <f>YEAR(A1776)</f>
        <v>2023</v>
      </c>
    </row>
    <row r="1777" spans="1:10" ht="12" customHeight="1" x14ac:dyDescent="0.25">
      <c r="A1777" s="43">
        <v>45175</v>
      </c>
      <c r="B1777" s="47">
        <v>15775</v>
      </c>
      <c r="C1777" s="44" t="s">
        <v>866</v>
      </c>
      <c r="D1777" s="45">
        <v>8.3000000000000007</v>
      </c>
      <c r="E1777" s="48" t="s">
        <v>157</v>
      </c>
      <c r="F1777" s="48" t="s">
        <v>96</v>
      </c>
      <c r="G1777" s="48" t="s">
        <v>91</v>
      </c>
      <c r="J1777" s="44">
        <f>YEAR(A1777)</f>
        <v>2023</v>
      </c>
    </row>
    <row r="1778" spans="1:10" ht="12" customHeight="1" x14ac:dyDescent="0.25">
      <c r="A1778" s="43">
        <v>45175</v>
      </c>
      <c r="B1778" s="47">
        <v>15775</v>
      </c>
      <c r="C1778" s="44" t="s">
        <v>866</v>
      </c>
      <c r="D1778" s="45">
        <v>-8.3000000000000007</v>
      </c>
      <c r="E1778" s="48" t="s">
        <v>299</v>
      </c>
      <c r="F1778" s="48" t="s">
        <v>90</v>
      </c>
      <c r="G1778" s="48" t="s">
        <v>305</v>
      </c>
      <c r="I1778" s="44" t="s">
        <v>946</v>
      </c>
      <c r="J1778" s="44">
        <f>YEAR(A1778)</f>
        <v>2023</v>
      </c>
    </row>
    <row r="1779" spans="1:10" ht="12" customHeight="1" x14ac:dyDescent="0.25">
      <c r="A1779" s="43">
        <v>45176</v>
      </c>
      <c r="B1779" s="47">
        <v>15776</v>
      </c>
      <c r="C1779" s="44" t="s">
        <v>861</v>
      </c>
      <c r="D1779" s="45">
        <v>3.2</v>
      </c>
      <c r="E1779" s="48" t="s">
        <v>89</v>
      </c>
      <c r="F1779" s="48" t="s">
        <v>90</v>
      </c>
      <c r="G1779" s="48" t="s">
        <v>91</v>
      </c>
      <c r="J1779" s="44">
        <f>YEAR(A1779)</f>
        <v>2023</v>
      </c>
    </row>
    <row r="1780" spans="1:10" ht="12" customHeight="1" x14ac:dyDescent="0.25">
      <c r="A1780" s="43">
        <v>45175</v>
      </c>
      <c r="B1780" s="47">
        <v>15776</v>
      </c>
      <c r="C1780" s="44" t="s">
        <v>861</v>
      </c>
      <c r="D1780" s="45">
        <v>-3.2</v>
      </c>
      <c r="E1780" s="48" t="s">
        <v>299</v>
      </c>
      <c r="F1780" s="48" t="s">
        <v>90</v>
      </c>
      <c r="G1780" s="48" t="s">
        <v>305</v>
      </c>
      <c r="I1780" s="44" t="s">
        <v>946</v>
      </c>
      <c r="J1780" s="44">
        <f>YEAR(A1780)</f>
        <v>2023</v>
      </c>
    </row>
    <row r="1781" spans="1:10" ht="12" customHeight="1" x14ac:dyDescent="0.25">
      <c r="A1781" s="43">
        <v>45179</v>
      </c>
      <c r="B1781" s="47">
        <v>15777</v>
      </c>
      <c r="C1781" s="44" t="s">
        <v>890</v>
      </c>
      <c r="D1781" s="45">
        <v>5</v>
      </c>
      <c r="E1781" s="48" t="s">
        <v>145</v>
      </c>
      <c r="F1781" s="48" t="s">
        <v>116</v>
      </c>
      <c r="G1781" s="48" t="s">
        <v>93</v>
      </c>
      <c r="J1781" s="44">
        <f>YEAR(A1781)</f>
        <v>2023</v>
      </c>
    </row>
    <row r="1782" spans="1:10" ht="12" customHeight="1" x14ac:dyDescent="0.25">
      <c r="A1782" s="43">
        <v>45179</v>
      </c>
      <c r="B1782" s="47">
        <v>15777</v>
      </c>
      <c r="C1782" s="44" t="s">
        <v>441</v>
      </c>
      <c r="D1782" s="45">
        <v>-44.68</v>
      </c>
      <c r="E1782" s="48" t="s">
        <v>299</v>
      </c>
      <c r="F1782" s="48" t="s">
        <v>101</v>
      </c>
      <c r="G1782" s="48" t="s">
        <v>91</v>
      </c>
      <c r="J1782" s="44">
        <f>YEAR(A1782)</f>
        <v>2023</v>
      </c>
    </row>
    <row r="1783" spans="1:10" ht="12" customHeight="1" x14ac:dyDescent="0.25">
      <c r="A1783" s="43">
        <v>45181</v>
      </c>
      <c r="B1783" s="47">
        <v>15777</v>
      </c>
      <c r="C1783" s="44" t="s">
        <v>869</v>
      </c>
      <c r="D1783" s="45">
        <v>1</v>
      </c>
      <c r="E1783" s="48" t="s">
        <v>89</v>
      </c>
      <c r="F1783" s="48" t="s">
        <v>90</v>
      </c>
      <c r="G1783" s="48" t="s">
        <v>91</v>
      </c>
      <c r="J1783" s="44">
        <f>YEAR(A1783)</f>
        <v>2023</v>
      </c>
    </row>
    <row r="1784" spans="1:10" ht="12" customHeight="1" x14ac:dyDescent="0.25">
      <c r="A1784" s="43">
        <v>45184</v>
      </c>
      <c r="B1784" s="47">
        <v>15777</v>
      </c>
      <c r="C1784" s="44" t="s">
        <v>891</v>
      </c>
      <c r="D1784" s="45">
        <v>6</v>
      </c>
      <c r="E1784" s="48" t="s">
        <v>145</v>
      </c>
      <c r="F1784" s="48" t="s">
        <v>116</v>
      </c>
      <c r="G1784" s="48" t="s">
        <v>93</v>
      </c>
      <c r="J1784" s="44">
        <f>YEAR(A1784)</f>
        <v>2023</v>
      </c>
    </row>
    <row r="1785" spans="1:10" ht="12" customHeight="1" x14ac:dyDescent="0.25">
      <c r="A1785" s="43">
        <v>45184</v>
      </c>
      <c r="B1785" s="47">
        <v>15777</v>
      </c>
      <c r="C1785" s="44" t="s">
        <v>890</v>
      </c>
      <c r="D1785" s="45">
        <v>5</v>
      </c>
      <c r="E1785" s="48" t="s">
        <v>145</v>
      </c>
      <c r="F1785" s="48" t="s">
        <v>116</v>
      </c>
      <c r="G1785" s="48" t="s">
        <v>93</v>
      </c>
      <c r="J1785" s="44">
        <f>YEAR(A1785)</f>
        <v>2023</v>
      </c>
    </row>
    <row r="1786" spans="1:10" ht="12" customHeight="1" x14ac:dyDescent="0.25">
      <c r="A1786" s="43">
        <v>45184</v>
      </c>
      <c r="B1786" s="47">
        <v>15777</v>
      </c>
      <c r="C1786" s="44" t="s">
        <v>580</v>
      </c>
      <c r="D1786" s="45">
        <v>27.68</v>
      </c>
      <c r="E1786" s="48" t="s">
        <v>89</v>
      </c>
      <c r="F1786" s="48" t="s">
        <v>90</v>
      </c>
      <c r="G1786" s="48" t="s">
        <v>91</v>
      </c>
      <c r="J1786" s="44">
        <f>YEAR(A1786)</f>
        <v>2023</v>
      </c>
    </row>
    <row r="1787" spans="1:10" ht="12" customHeight="1" x14ac:dyDescent="0.25">
      <c r="A1787" s="43">
        <v>45177</v>
      </c>
      <c r="B1787" s="47">
        <v>15778</v>
      </c>
      <c r="C1787" s="44" t="s">
        <v>847</v>
      </c>
      <c r="D1787" s="45">
        <v>64.66</v>
      </c>
      <c r="E1787" s="48" t="s">
        <v>89</v>
      </c>
      <c r="F1787" s="48" t="s">
        <v>90</v>
      </c>
      <c r="G1787" s="48" t="s">
        <v>91</v>
      </c>
      <c r="J1787" s="44">
        <f>YEAR(A1787)</f>
        <v>2023</v>
      </c>
    </row>
    <row r="1788" spans="1:10" ht="12" customHeight="1" x14ac:dyDescent="0.25">
      <c r="A1788" s="43">
        <v>45177</v>
      </c>
      <c r="B1788" s="47">
        <v>15778</v>
      </c>
      <c r="C1788" s="44" t="s">
        <v>847</v>
      </c>
      <c r="D1788" s="45">
        <v>-64.66</v>
      </c>
      <c r="E1788" s="48" t="s">
        <v>299</v>
      </c>
      <c r="F1788" s="48" t="s">
        <v>90</v>
      </c>
      <c r="G1788" s="48" t="s">
        <v>305</v>
      </c>
      <c r="I1788" s="44" t="s">
        <v>946</v>
      </c>
      <c r="J1788" s="44">
        <f>YEAR(A1788)</f>
        <v>2023</v>
      </c>
    </row>
    <row r="1789" spans="1:10" ht="12" customHeight="1" x14ac:dyDescent="0.25">
      <c r="A1789" s="43">
        <v>45177</v>
      </c>
      <c r="B1789" s="47">
        <v>15779</v>
      </c>
      <c r="C1789" s="44" t="s">
        <v>867</v>
      </c>
      <c r="D1789" s="45">
        <v>82</v>
      </c>
      <c r="E1789" s="48" t="s">
        <v>89</v>
      </c>
      <c r="F1789" s="48" t="s">
        <v>90</v>
      </c>
      <c r="G1789" s="48" t="s">
        <v>91</v>
      </c>
      <c r="J1789" s="44">
        <f>YEAR(A1789)</f>
        <v>2023</v>
      </c>
    </row>
    <row r="1790" spans="1:10" ht="12" customHeight="1" x14ac:dyDescent="0.25">
      <c r="A1790" s="43">
        <v>45177</v>
      </c>
      <c r="B1790" s="47">
        <v>15779</v>
      </c>
      <c r="C1790" s="44" t="s">
        <v>867</v>
      </c>
      <c r="D1790" s="45">
        <v>-82</v>
      </c>
      <c r="E1790" s="48" t="s">
        <v>299</v>
      </c>
      <c r="F1790" s="48" t="s">
        <v>90</v>
      </c>
      <c r="G1790" s="48" t="s">
        <v>305</v>
      </c>
      <c r="I1790" s="44" t="s">
        <v>946</v>
      </c>
      <c r="J1790" s="44">
        <f>YEAR(A1790)</f>
        <v>2023</v>
      </c>
    </row>
    <row r="1791" spans="1:10" ht="12" customHeight="1" x14ac:dyDescent="0.25">
      <c r="A1791" s="43">
        <v>45177</v>
      </c>
      <c r="B1791" s="47">
        <v>15780</v>
      </c>
      <c r="C1791" s="44" t="s">
        <v>868</v>
      </c>
      <c r="D1791" s="45">
        <v>13</v>
      </c>
      <c r="E1791" s="48" t="s">
        <v>145</v>
      </c>
      <c r="F1791" s="48" t="s">
        <v>135</v>
      </c>
      <c r="G1791" s="48" t="s">
        <v>91</v>
      </c>
      <c r="J1791" s="44">
        <f>YEAR(A1791)</f>
        <v>2023</v>
      </c>
    </row>
    <row r="1792" spans="1:10" ht="12" customHeight="1" x14ac:dyDescent="0.25">
      <c r="A1792" s="43">
        <v>45177</v>
      </c>
      <c r="B1792" s="47">
        <v>15780</v>
      </c>
      <c r="C1792" s="44" t="s">
        <v>868</v>
      </c>
      <c r="D1792" s="45">
        <v>-13</v>
      </c>
      <c r="E1792" s="48" t="s">
        <v>299</v>
      </c>
      <c r="F1792" s="48" t="s">
        <v>90</v>
      </c>
      <c r="G1792" s="48" t="s">
        <v>305</v>
      </c>
      <c r="I1792" s="44" t="s">
        <v>946</v>
      </c>
      <c r="J1792" s="44">
        <f>YEAR(A1792)</f>
        <v>2023</v>
      </c>
    </row>
    <row r="1793" spans="1:10" ht="12" customHeight="1" x14ac:dyDescent="0.25">
      <c r="A1793" s="43">
        <v>45180</v>
      </c>
      <c r="B1793" s="47">
        <v>15781</v>
      </c>
      <c r="C1793" s="44" t="s">
        <v>553</v>
      </c>
      <c r="D1793" s="45">
        <v>80</v>
      </c>
      <c r="E1793" s="48" t="s">
        <v>299</v>
      </c>
      <c r="F1793" s="48" t="s">
        <v>101</v>
      </c>
      <c r="G1793" s="48" t="s">
        <v>91</v>
      </c>
      <c r="J1793" s="44">
        <f>YEAR(A1793)</f>
        <v>2023</v>
      </c>
    </row>
    <row r="1794" spans="1:10" ht="12" customHeight="1" x14ac:dyDescent="0.25">
      <c r="A1794" s="43">
        <v>45177</v>
      </c>
      <c r="B1794" s="47">
        <v>15781</v>
      </c>
      <c r="C1794" s="44" t="s">
        <v>553</v>
      </c>
      <c r="D1794" s="45">
        <v>-80</v>
      </c>
      <c r="E1794" s="48" t="s">
        <v>299</v>
      </c>
      <c r="F1794" s="48" t="s">
        <v>90</v>
      </c>
      <c r="G1794" s="48" t="s">
        <v>91</v>
      </c>
      <c r="H1794" s="44" t="s">
        <v>922</v>
      </c>
      <c r="I1794" s="44" t="s">
        <v>920</v>
      </c>
      <c r="J1794" s="44">
        <f>YEAR(A1794)</f>
        <v>2023</v>
      </c>
    </row>
    <row r="1795" spans="1:10" ht="12" customHeight="1" x14ac:dyDescent="0.25">
      <c r="A1795" s="43">
        <v>45181</v>
      </c>
      <c r="B1795" s="47">
        <v>15782</v>
      </c>
      <c r="C1795" s="44" t="s">
        <v>861</v>
      </c>
      <c r="D1795" s="45">
        <v>3.45</v>
      </c>
      <c r="E1795" s="48" t="s">
        <v>89</v>
      </c>
      <c r="F1795" s="48" t="s">
        <v>90</v>
      </c>
      <c r="G1795" s="48" t="s">
        <v>91</v>
      </c>
      <c r="J1795" s="44">
        <f>YEAR(A1795)</f>
        <v>2023</v>
      </c>
    </row>
    <row r="1796" spans="1:10" ht="12" customHeight="1" x14ac:dyDescent="0.25">
      <c r="A1796" s="43">
        <v>45181</v>
      </c>
      <c r="B1796" s="47">
        <v>15782</v>
      </c>
      <c r="C1796" s="44" t="s">
        <v>861</v>
      </c>
      <c r="D1796" s="45">
        <v>-3.45</v>
      </c>
      <c r="E1796" s="48" t="s">
        <v>299</v>
      </c>
      <c r="F1796" s="48" t="s">
        <v>90</v>
      </c>
      <c r="G1796" s="48" t="s">
        <v>305</v>
      </c>
      <c r="I1796" s="44" t="s">
        <v>946</v>
      </c>
      <c r="J1796" s="44">
        <f>YEAR(A1796)</f>
        <v>2023</v>
      </c>
    </row>
    <row r="1797" spans="1:10" ht="12" customHeight="1" x14ac:dyDescent="0.25">
      <c r="A1797" s="43">
        <v>45181</v>
      </c>
      <c r="B1797" s="47">
        <v>15783</v>
      </c>
      <c r="C1797" s="44" t="s">
        <v>870</v>
      </c>
      <c r="D1797" s="45">
        <v>66</v>
      </c>
      <c r="E1797" s="48" t="s">
        <v>145</v>
      </c>
      <c r="F1797" s="48" t="s">
        <v>116</v>
      </c>
      <c r="G1797" s="48" t="s">
        <v>91</v>
      </c>
      <c r="J1797" s="44">
        <f>YEAR(A1797)</f>
        <v>2023</v>
      </c>
    </row>
    <row r="1798" spans="1:10" ht="12" customHeight="1" x14ac:dyDescent="0.25">
      <c r="A1798" s="43">
        <v>45181</v>
      </c>
      <c r="B1798" s="47">
        <v>15783</v>
      </c>
      <c r="C1798" s="44" t="s">
        <v>870</v>
      </c>
      <c r="D1798" s="45">
        <v>-66</v>
      </c>
      <c r="E1798" s="48" t="s">
        <v>299</v>
      </c>
      <c r="F1798" s="48" t="s">
        <v>90</v>
      </c>
      <c r="G1798" s="48" t="s">
        <v>305</v>
      </c>
      <c r="I1798" s="44" t="s">
        <v>946</v>
      </c>
      <c r="J1798" s="44">
        <f>YEAR(A1798)</f>
        <v>2023</v>
      </c>
    </row>
    <row r="1799" spans="1:10" ht="12" customHeight="1" x14ac:dyDescent="0.25">
      <c r="A1799" s="43">
        <v>45181</v>
      </c>
      <c r="B1799" s="47">
        <v>15784</v>
      </c>
      <c r="C1799" s="44" t="s">
        <v>870</v>
      </c>
      <c r="D1799" s="45">
        <v>14.9</v>
      </c>
      <c r="E1799" s="48" t="s">
        <v>145</v>
      </c>
      <c r="F1799" s="48" t="s">
        <v>116</v>
      </c>
      <c r="G1799" s="48" t="s">
        <v>91</v>
      </c>
      <c r="J1799" s="44">
        <f>YEAR(A1799)</f>
        <v>2023</v>
      </c>
    </row>
    <row r="1800" spans="1:10" ht="12" customHeight="1" x14ac:dyDescent="0.25">
      <c r="A1800" s="43">
        <v>45181</v>
      </c>
      <c r="B1800" s="47">
        <v>15784</v>
      </c>
      <c r="C1800" s="44" t="s">
        <v>870</v>
      </c>
      <c r="D1800" s="45">
        <v>-14.9</v>
      </c>
      <c r="E1800" s="48" t="s">
        <v>299</v>
      </c>
      <c r="F1800" s="48" t="s">
        <v>90</v>
      </c>
      <c r="G1800" s="48" t="s">
        <v>305</v>
      </c>
      <c r="I1800" s="44" t="s">
        <v>946</v>
      </c>
      <c r="J1800" s="44">
        <f>YEAR(A1800)</f>
        <v>2023</v>
      </c>
    </row>
    <row r="1801" spans="1:10" ht="12" customHeight="1" x14ac:dyDescent="0.25">
      <c r="A1801" s="43">
        <v>45181</v>
      </c>
      <c r="B1801" s="47">
        <v>15785</v>
      </c>
      <c r="C1801" s="44" t="s">
        <v>871</v>
      </c>
      <c r="D1801" s="45">
        <v>23.45</v>
      </c>
      <c r="E1801" s="48" t="s">
        <v>145</v>
      </c>
      <c r="F1801" s="48" t="s">
        <v>116</v>
      </c>
      <c r="G1801" s="48" t="s">
        <v>91</v>
      </c>
      <c r="J1801" s="44">
        <f>YEAR(A1801)</f>
        <v>2023</v>
      </c>
    </row>
    <row r="1802" spans="1:10" ht="12" customHeight="1" x14ac:dyDescent="0.25">
      <c r="A1802" s="43">
        <v>45181</v>
      </c>
      <c r="B1802" s="47">
        <v>15785</v>
      </c>
      <c r="C1802" s="44" t="s">
        <v>871</v>
      </c>
      <c r="D1802" s="45">
        <v>-23.45</v>
      </c>
      <c r="E1802" s="48" t="s">
        <v>299</v>
      </c>
      <c r="F1802" s="48" t="s">
        <v>90</v>
      </c>
      <c r="G1802" s="48" t="s">
        <v>305</v>
      </c>
      <c r="I1802" s="44" t="s">
        <v>946</v>
      </c>
      <c r="J1802" s="44">
        <f>YEAR(A1802)</f>
        <v>2023</v>
      </c>
    </row>
    <row r="1803" spans="1:10" ht="12" customHeight="1" x14ac:dyDescent="0.25">
      <c r="A1803" s="43">
        <v>45181</v>
      </c>
      <c r="B1803" s="47">
        <v>15786</v>
      </c>
      <c r="C1803" s="44" t="s">
        <v>872</v>
      </c>
      <c r="D1803" s="45">
        <v>9.6</v>
      </c>
      <c r="E1803" s="48" t="s">
        <v>180</v>
      </c>
      <c r="F1803" s="48" t="s">
        <v>90</v>
      </c>
      <c r="G1803" s="48" t="s">
        <v>91</v>
      </c>
      <c r="J1803" s="44">
        <f>YEAR(A1803)</f>
        <v>2023</v>
      </c>
    </row>
    <row r="1804" spans="1:10" ht="12" customHeight="1" x14ac:dyDescent="0.25">
      <c r="A1804" s="43">
        <v>45181</v>
      </c>
      <c r="B1804" s="47">
        <v>15786</v>
      </c>
      <c r="C1804" s="44" t="s">
        <v>872</v>
      </c>
      <c r="D1804" s="45">
        <v>-9.6</v>
      </c>
      <c r="E1804" s="48" t="s">
        <v>299</v>
      </c>
      <c r="F1804" s="48" t="s">
        <v>90</v>
      </c>
      <c r="G1804" s="48" t="s">
        <v>305</v>
      </c>
      <c r="I1804" s="44" t="s">
        <v>946</v>
      </c>
      <c r="J1804" s="44">
        <f>YEAR(A1804)</f>
        <v>2023</v>
      </c>
    </row>
    <row r="1805" spans="1:10" ht="12" customHeight="1" x14ac:dyDescent="0.25">
      <c r="A1805" s="43">
        <v>45182</v>
      </c>
      <c r="B1805" s="47">
        <v>15787</v>
      </c>
      <c r="C1805" s="44" t="s">
        <v>873</v>
      </c>
      <c r="D1805" s="45">
        <v>253.04</v>
      </c>
      <c r="E1805" s="48" t="s">
        <v>89</v>
      </c>
      <c r="F1805" s="48" t="s">
        <v>90</v>
      </c>
      <c r="G1805" s="48" t="s">
        <v>91</v>
      </c>
      <c r="J1805" s="44">
        <f>YEAR(A1805)</f>
        <v>2023</v>
      </c>
    </row>
    <row r="1806" spans="1:10" ht="12" customHeight="1" x14ac:dyDescent="0.25">
      <c r="A1806" s="43">
        <v>45182</v>
      </c>
      <c r="B1806" s="47">
        <v>15787</v>
      </c>
      <c r="C1806" s="44" t="s">
        <v>873</v>
      </c>
      <c r="D1806" s="45">
        <v>-253.04</v>
      </c>
      <c r="E1806" s="48" t="s">
        <v>299</v>
      </c>
      <c r="F1806" s="48" t="s">
        <v>90</v>
      </c>
      <c r="G1806" s="48" t="s">
        <v>305</v>
      </c>
      <c r="I1806" s="44" t="s">
        <v>946</v>
      </c>
      <c r="J1806" s="44">
        <f>YEAR(A1806)</f>
        <v>2023</v>
      </c>
    </row>
    <row r="1807" spans="1:10" ht="12" customHeight="1" x14ac:dyDescent="0.25">
      <c r="A1807" s="43">
        <v>45182</v>
      </c>
      <c r="B1807" s="47">
        <v>15788</v>
      </c>
      <c r="C1807" s="44" t="s">
        <v>874</v>
      </c>
      <c r="D1807" s="45">
        <v>55</v>
      </c>
      <c r="E1807" s="48" t="s">
        <v>89</v>
      </c>
      <c r="F1807" s="48" t="s">
        <v>96</v>
      </c>
      <c r="G1807" s="48" t="s">
        <v>91</v>
      </c>
      <c r="J1807" s="44">
        <f>YEAR(A1807)</f>
        <v>2023</v>
      </c>
    </row>
    <row r="1808" spans="1:10" ht="12" customHeight="1" x14ac:dyDescent="0.25">
      <c r="A1808" s="43">
        <v>45182</v>
      </c>
      <c r="B1808" s="47">
        <v>15788</v>
      </c>
      <c r="C1808" s="44" t="s">
        <v>874</v>
      </c>
      <c r="D1808" s="45">
        <v>-55</v>
      </c>
      <c r="E1808" s="48" t="s">
        <v>299</v>
      </c>
      <c r="F1808" s="48" t="s">
        <v>101</v>
      </c>
      <c r="G1808" s="48" t="s">
        <v>91</v>
      </c>
      <c r="J1808" s="44">
        <f>YEAR(A1808)</f>
        <v>2023</v>
      </c>
    </row>
    <row r="1809" spans="1:10" ht="12" customHeight="1" x14ac:dyDescent="0.25">
      <c r="A1809" s="43">
        <v>45183</v>
      </c>
      <c r="B1809" s="47">
        <v>15789</v>
      </c>
      <c r="C1809" s="44" t="s">
        <v>875</v>
      </c>
      <c r="D1809" s="45">
        <v>69</v>
      </c>
      <c r="E1809" s="48" t="s">
        <v>157</v>
      </c>
      <c r="F1809" s="48" t="s">
        <v>116</v>
      </c>
      <c r="G1809" s="48" t="s">
        <v>91</v>
      </c>
      <c r="J1809" s="44">
        <f>YEAR(A1809)</f>
        <v>2023</v>
      </c>
    </row>
    <row r="1810" spans="1:10" ht="12" customHeight="1" x14ac:dyDescent="0.25">
      <c r="A1810" s="43">
        <v>45183</v>
      </c>
      <c r="B1810" s="47">
        <v>15789</v>
      </c>
      <c r="C1810" s="44" t="s">
        <v>875</v>
      </c>
      <c r="D1810" s="45">
        <v>-69</v>
      </c>
      <c r="E1810" s="48" t="s">
        <v>299</v>
      </c>
      <c r="F1810" s="48" t="s">
        <v>90</v>
      </c>
      <c r="G1810" s="48" t="s">
        <v>91</v>
      </c>
      <c r="H1810" s="44">
        <v>4072</v>
      </c>
      <c r="I1810" s="44" t="s">
        <v>949</v>
      </c>
      <c r="J1810" s="44">
        <f>YEAR(A1810)</f>
        <v>2023</v>
      </c>
    </row>
    <row r="1811" spans="1:10" ht="12" customHeight="1" x14ac:dyDescent="0.25">
      <c r="A1811" s="43">
        <v>45183</v>
      </c>
      <c r="B1811" s="47">
        <v>15789</v>
      </c>
      <c r="C1811" s="44" t="s">
        <v>875</v>
      </c>
      <c r="D1811" s="45">
        <v>-69</v>
      </c>
      <c r="E1811" s="48" t="s">
        <v>157</v>
      </c>
      <c r="F1811" s="48" t="s">
        <v>116</v>
      </c>
      <c r="G1811" s="48" t="s">
        <v>91</v>
      </c>
      <c r="J1811" s="44">
        <f>YEAR(A1811)</f>
        <v>2023</v>
      </c>
    </row>
    <row r="1812" spans="1:10" ht="12" customHeight="1" x14ac:dyDescent="0.25">
      <c r="A1812" s="43">
        <v>45183</v>
      </c>
      <c r="B1812" s="47">
        <v>15789</v>
      </c>
      <c r="C1812" s="44" t="s">
        <v>876</v>
      </c>
      <c r="D1812" s="45">
        <v>-31</v>
      </c>
      <c r="E1812" s="48" t="s">
        <v>89</v>
      </c>
      <c r="F1812" s="48" t="s">
        <v>90</v>
      </c>
      <c r="G1812" s="48" t="s">
        <v>91</v>
      </c>
      <c r="J1812" s="44">
        <f>YEAR(A1812)</f>
        <v>2023</v>
      </c>
    </row>
    <row r="1813" spans="1:10" ht="12" customHeight="1" x14ac:dyDescent="0.25">
      <c r="A1813" s="43">
        <v>45183</v>
      </c>
      <c r="B1813" s="47">
        <v>15789</v>
      </c>
      <c r="C1813" s="44" t="s">
        <v>876</v>
      </c>
      <c r="D1813" s="45">
        <v>100</v>
      </c>
      <c r="E1813" s="48" t="s">
        <v>299</v>
      </c>
      <c r="F1813" s="48" t="s">
        <v>101</v>
      </c>
      <c r="G1813" s="48" t="s">
        <v>91</v>
      </c>
      <c r="J1813" s="44">
        <f>YEAR(A1813)</f>
        <v>2023</v>
      </c>
    </row>
    <row r="1814" spans="1:10" ht="12" customHeight="1" x14ac:dyDescent="0.25">
      <c r="A1814" s="43">
        <v>45184</v>
      </c>
      <c r="B1814" s="47">
        <v>15790</v>
      </c>
      <c r="C1814" s="44" t="s">
        <v>452</v>
      </c>
      <c r="D1814" s="45">
        <v>-238.79</v>
      </c>
      <c r="E1814" s="48" t="s">
        <v>299</v>
      </c>
      <c r="F1814" s="48" t="s">
        <v>90</v>
      </c>
      <c r="G1814" s="48" t="s">
        <v>91</v>
      </c>
      <c r="I1814" s="44" t="s">
        <v>949</v>
      </c>
      <c r="J1814" s="44">
        <f>YEAR(A1814)</f>
        <v>2023</v>
      </c>
    </row>
    <row r="1815" spans="1:10" ht="12" customHeight="1" x14ac:dyDescent="0.25">
      <c r="A1815" s="43">
        <v>45177</v>
      </c>
      <c r="B1815" s="47">
        <v>15790</v>
      </c>
      <c r="C1815" s="44" t="s">
        <v>451</v>
      </c>
      <c r="D1815" s="45">
        <v>3.45</v>
      </c>
      <c r="E1815" s="48" t="s">
        <v>89</v>
      </c>
      <c r="F1815" s="48" t="s">
        <v>90</v>
      </c>
      <c r="G1815" s="48" t="s">
        <v>91</v>
      </c>
      <c r="J1815" s="44">
        <f>YEAR(A1815)</f>
        <v>2023</v>
      </c>
    </row>
    <row r="1816" spans="1:10" ht="12" customHeight="1" x14ac:dyDescent="0.25">
      <c r="A1816" s="43">
        <v>45178</v>
      </c>
      <c r="B1816" s="47">
        <v>15790</v>
      </c>
      <c r="C1816" s="44" t="s">
        <v>877</v>
      </c>
      <c r="D1816" s="45">
        <v>2.9</v>
      </c>
      <c r="E1816" s="48" t="s">
        <v>180</v>
      </c>
      <c r="F1816" s="48" t="s">
        <v>90</v>
      </c>
      <c r="G1816" s="48" t="s">
        <v>91</v>
      </c>
      <c r="J1816" s="44">
        <f>YEAR(A1816)</f>
        <v>2023</v>
      </c>
    </row>
    <row r="1817" spans="1:10" ht="12" customHeight="1" x14ac:dyDescent="0.25">
      <c r="A1817" s="43">
        <v>45178</v>
      </c>
      <c r="B1817" s="47">
        <v>15790</v>
      </c>
      <c r="C1817" s="44" t="s">
        <v>878</v>
      </c>
      <c r="D1817" s="45">
        <v>57.5</v>
      </c>
      <c r="E1817" s="48" t="s">
        <v>89</v>
      </c>
      <c r="F1817" s="48" t="s">
        <v>96</v>
      </c>
      <c r="G1817" s="48" t="s">
        <v>91</v>
      </c>
      <c r="J1817" s="44">
        <f>YEAR(A1817)</f>
        <v>2023</v>
      </c>
    </row>
    <row r="1818" spans="1:10" ht="12" customHeight="1" x14ac:dyDescent="0.25">
      <c r="A1818" s="43">
        <v>45179</v>
      </c>
      <c r="B1818" s="47">
        <v>15790</v>
      </c>
      <c r="C1818" s="44" t="s">
        <v>451</v>
      </c>
      <c r="D1818" s="45">
        <v>2.2000000000000002</v>
      </c>
      <c r="E1818" s="48" t="s">
        <v>89</v>
      </c>
      <c r="F1818" s="48" t="s">
        <v>90</v>
      </c>
      <c r="G1818" s="48" t="s">
        <v>91</v>
      </c>
      <c r="J1818" s="44">
        <f>YEAR(A1818)</f>
        <v>2023</v>
      </c>
    </row>
    <row r="1819" spans="1:10" ht="12" customHeight="1" x14ac:dyDescent="0.25">
      <c r="A1819" s="43">
        <v>45179</v>
      </c>
      <c r="B1819" s="47">
        <v>15790</v>
      </c>
      <c r="C1819" s="44" t="s">
        <v>879</v>
      </c>
      <c r="D1819" s="45">
        <v>13</v>
      </c>
      <c r="E1819" s="48" t="s">
        <v>89</v>
      </c>
      <c r="F1819" s="48" t="s">
        <v>96</v>
      </c>
      <c r="G1819" s="48" t="s">
        <v>91</v>
      </c>
      <c r="J1819" s="44">
        <f>YEAR(A1819)</f>
        <v>2023</v>
      </c>
    </row>
    <row r="1820" spans="1:10" ht="12" customHeight="1" x14ac:dyDescent="0.25">
      <c r="A1820" s="43">
        <v>45179</v>
      </c>
      <c r="B1820" s="47">
        <v>15790</v>
      </c>
      <c r="C1820" s="44" t="s">
        <v>880</v>
      </c>
      <c r="D1820" s="45">
        <v>14</v>
      </c>
      <c r="E1820" s="48" t="s">
        <v>180</v>
      </c>
      <c r="F1820" s="48" t="s">
        <v>128</v>
      </c>
      <c r="G1820" s="48" t="s">
        <v>91</v>
      </c>
      <c r="J1820" s="44">
        <f>YEAR(A1820)</f>
        <v>2023</v>
      </c>
    </row>
    <row r="1821" spans="1:10" ht="12" customHeight="1" x14ac:dyDescent="0.25">
      <c r="A1821" s="43">
        <v>45180</v>
      </c>
      <c r="B1821" s="47">
        <v>15790</v>
      </c>
      <c r="C1821" s="44" t="s">
        <v>451</v>
      </c>
      <c r="D1821" s="45">
        <v>4.3</v>
      </c>
      <c r="E1821" s="48" t="s">
        <v>89</v>
      </c>
      <c r="F1821" s="48" t="s">
        <v>90</v>
      </c>
      <c r="G1821" s="48" t="s">
        <v>91</v>
      </c>
      <c r="J1821" s="44">
        <f>YEAR(A1821)</f>
        <v>2023</v>
      </c>
    </row>
    <row r="1822" spans="1:10" ht="12" customHeight="1" x14ac:dyDescent="0.25">
      <c r="A1822" s="43">
        <v>45180</v>
      </c>
      <c r="B1822" s="47">
        <v>15790</v>
      </c>
      <c r="C1822" s="44" t="s">
        <v>881</v>
      </c>
      <c r="D1822" s="45">
        <v>2.99</v>
      </c>
      <c r="E1822" s="48" t="s">
        <v>89</v>
      </c>
      <c r="F1822" s="48" t="s">
        <v>90</v>
      </c>
      <c r="G1822" s="48" t="s">
        <v>91</v>
      </c>
      <c r="J1822" s="44">
        <f>YEAR(A1822)</f>
        <v>2023</v>
      </c>
    </row>
    <row r="1823" spans="1:10" ht="12" customHeight="1" x14ac:dyDescent="0.25">
      <c r="A1823" s="43">
        <v>45180</v>
      </c>
      <c r="B1823" s="47">
        <v>15790</v>
      </c>
      <c r="C1823" s="44" t="s">
        <v>882</v>
      </c>
      <c r="D1823" s="45">
        <v>2.65</v>
      </c>
      <c r="E1823" s="48" t="s">
        <v>89</v>
      </c>
      <c r="F1823" s="48" t="s">
        <v>90</v>
      </c>
      <c r="G1823" s="48" t="s">
        <v>91</v>
      </c>
      <c r="J1823" s="44">
        <f>YEAR(A1823)</f>
        <v>2023</v>
      </c>
    </row>
    <row r="1824" spans="1:10" ht="12" customHeight="1" x14ac:dyDescent="0.25">
      <c r="A1824" s="43">
        <v>45181</v>
      </c>
      <c r="B1824" s="47">
        <v>15790</v>
      </c>
      <c r="C1824" s="44" t="s">
        <v>883</v>
      </c>
      <c r="D1824" s="45">
        <v>1.2</v>
      </c>
      <c r="E1824" s="48" t="s">
        <v>180</v>
      </c>
      <c r="F1824" s="48" t="s">
        <v>90</v>
      </c>
      <c r="G1824" s="48" t="s">
        <v>91</v>
      </c>
      <c r="J1824" s="44">
        <f>YEAR(A1824)</f>
        <v>2023</v>
      </c>
    </row>
    <row r="1825" spans="1:11" ht="12" customHeight="1" x14ac:dyDescent="0.25">
      <c r="A1825" s="43">
        <v>45182</v>
      </c>
      <c r="B1825" s="47">
        <v>15790</v>
      </c>
      <c r="C1825" s="44" t="s">
        <v>469</v>
      </c>
      <c r="D1825" s="45">
        <v>2.2000000000000002</v>
      </c>
      <c r="E1825" s="48" t="s">
        <v>89</v>
      </c>
      <c r="F1825" s="48" t="s">
        <v>90</v>
      </c>
      <c r="G1825" s="48" t="s">
        <v>91</v>
      </c>
      <c r="J1825" s="44">
        <f>YEAR(A1825)</f>
        <v>2023</v>
      </c>
    </row>
    <row r="1826" spans="1:11" ht="12" customHeight="1" x14ac:dyDescent="0.25">
      <c r="A1826" s="43">
        <v>45182</v>
      </c>
      <c r="B1826" s="47">
        <v>15790</v>
      </c>
      <c r="C1826" s="44" t="s">
        <v>884</v>
      </c>
      <c r="D1826" s="45">
        <v>59</v>
      </c>
      <c r="E1826" s="48" t="s">
        <v>180</v>
      </c>
      <c r="F1826" s="48" t="s">
        <v>96</v>
      </c>
      <c r="G1826" s="48" t="s">
        <v>186</v>
      </c>
      <c r="J1826" s="44">
        <f>YEAR(A1826)</f>
        <v>2023</v>
      </c>
    </row>
    <row r="1827" spans="1:11" ht="12" customHeight="1" x14ac:dyDescent="0.25">
      <c r="A1827" s="43">
        <v>45183</v>
      </c>
      <c r="B1827" s="47">
        <v>15790</v>
      </c>
      <c r="C1827" s="44" t="s">
        <v>469</v>
      </c>
      <c r="D1827" s="45">
        <v>2.2000000000000002</v>
      </c>
      <c r="E1827" s="48" t="s">
        <v>89</v>
      </c>
      <c r="F1827" s="48" t="s">
        <v>90</v>
      </c>
      <c r="G1827" s="48" t="s">
        <v>91</v>
      </c>
      <c r="J1827" s="44">
        <f>YEAR(A1827)</f>
        <v>2023</v>
      </c>
    </row>
    <row r="1828" spans="1:11" ht="12" customHeight="1" x14ac:dyDescent="0.25">
      <c r="A1828" s="43">
        <v>45183</v>
      </c>
      <c r="B1828" s="47">
        <v>15790</v>
      </c>
      <c r="C1828" s="44" t="s">
        <v>885</v>
      </c>
      <c r="D1828" s="45">
        <v>1.6</v>
      </c>
      <c r="E1828" s="48" t="s">
        <v>180</v>
      </c>
      <c r="F1828" s="48" t="s">
        <v>90</v>
      </c>
      <c r="G1828" s="48" t="s">
        <v>91</v>
      </c>
      <c r="J1828" s="44">
        <f>YEAR(A1828)</f>
        <v>2023</v>
      </c>
    </row>
    <row r="1829" spans="1:11" ht="12" customHeight="1" x14ac:dyDescent="0.25">
      <c r="A1829" s="43">
        <v>45183</v>
      </c>
      <c r="B1829" s="47">
        <v>15790</v>
      </c>
      <c r="C1829" s="44" t="s">
        <v>886</v>
      </c>
      <c r="D1829" s="45">
        <v>0.5</v>
      </c>
      <c r="E1829" s="48" t="s">
        <v>197</v>
      </c>
      <c r="F1829" s="48" t="s">
        <v>96</v>
      </c>
      <c r="G1829" s="48" t="s">
        <v>91</v>
      </c>
      <c r="J1829" s="44">
        <f>YEAR(A1829)</f>
        <v>2023</v>
      </c>
    </row>
    <row r="1830" spans="1:11" ht="12" customHeight="1" x14ac:dyDescent="0.25">
      <c r="A1830" s="43">
        <v>45182</v>
      </c>
      <c r="B1830" s="47">
        <v>15790</v>
      </c>
      <c r="C1830" s="44" t="s">
        <v>887</v>
      </c>
      <c r="D1830" s="45">
        <v>10</v>
      </c>
      <c r="E1830" s="48" t="s">
        <v>89</v>
      </c>
      <c r="F1830" s="48" t="s">
        <v>96</v>
      </c>
      <c r="G1830" s="48" t="s">
        <v>91</v>
      </c>
      <c r="J1830" s="44">
        <f>YEAR(A1830)</f>
        <v>2023</v>
      </c>
    </row>
    <row r="1831" spans="1:11" ht="12" customHeight="1" x14ac:dyDescent="0.25">
      <c r="A1831" s="43">
        <v>45184</v>
      </c>
      <c r="B1831" s="47">
        <v>15790</v>
      </c>
      <c r="C1831" s="44" t="s">
        <v>451</v>
      </c>
      <c r="D1831" s="45">
        <v>2.2000000000000002</v>
      </c>
      <c r="E1831" s="48" t="s">
        <v>89</v>
      </c>
      <c r="F1831" s="48" t="s">
        <v>90</v>
      </c>
      <c r="G1831" s="48" t="s">
        <v>91</v>
      </c>
      <c r="J1831" s="44">
        <f>YEAR(A1831)</f>
        <v>2023</v>
      </c>
    </row>
    <row r="1832" spans="1:11" ht="12" customHeight="1" x14ac:dyDescent="0.25">
      <c r="A1832" s="43">
        <v>45183</v>
      </c>
      <c r="B1832" s="47">
        <v>15790</v>
      </c>
      <c r="C1832" s="44" t="s">
        <v>888</v>
      </c>
      <c r="D1832" s="45">
        <v>54</v>
      </c>
      <c r="E1832" s="48" t="s">
        <v>89</v>
      </c>
      <c r="F1832" s="48" t="s">
        <v>96</v>
      </c>
      <c r="G1832" s="48" t="s">
        <v>91</v>
      </c>
      <c r="J1832" s="44">
        <f>YEAR(A1832)</f>
        <v>2023</v>
      </c>
    </row>
    <row r="1833" spans="1:11" ht="12" customHeight="1" x14ac:dyDescent="0.25">
      <c r="A1833" s="43">
        <v>45183</v>
      </c>
      <c r="B1833" s="47">
        <v>15790</v>
      </c>
      <c r="C1833" s="44" t="s">
        <v>877</v>
      </c>
      <c r="D1833" s="45">
        <v>2.9</v>
      </c>
      <c r="E1833" s="48" t="s">
        <v>180</v>
      </c>
      <c r="F1833" s="48" t="s">
        <v>90</v>
      </c>
      <c r="G1833" s="48" t="s">
        <v>91</v>
      </c>
      <c r="J1833" s="44">
        <f>YEAR(A1833)</f>
        <v>2023</v>
      </c>
    </row>
    <row r="1834" spans="1:11" ht="12" customHeight="1" x14ac:dyDescent="0.25">
      <c r="A1834" s="43">
        <v>45182</v>
      </c>
      <c r="B1834" s="47">
        <v>15791</v>
      </c>
      <c r="C1834" s="44" t="s">
        <v>862</v>
      </c>
      <c r="D1834" s="45">
        <v>20.399999999999999</v>
      </c>
      <c r="E1834" s="48" t="s">
        <v>145</v>
      </c>
      <c r="F1834" s="48" t="s">
        <v>135</v>
      </c>
      <c r="G1834" s="48" t="s">
        <v>91</v>
      </c>
      <c r="J1834" s="44">
        <f>YEAR(A1834)</f>
        <v>2023</v>
      </c>
      <c r="K1834" s="49" t="s">
        <v>892</v>
      </c>
    </row>
    <row r="1835" spans="1:11" ht="12" customHeight="1" x14ac:dyDescent="0.25">
      <c r="A1835" s="43">
        <v>45182</v>
      </c>
      <c r="B1835" s="47">
        <v>15791</v>
      </c>
      <c r="C1835" s="44" t="s">
        <v>862</v>
      </c>
      <c r="D1835" s="45">
        <v>-20.399999999999999</v>
      </c>
      <c r="E1835" s="48" t="s">
        <v>299</v>
      </c>
      <c r="F1835" s="48" t="s">
        <v>90</v>
      </c>
      <c r="G1835" s="48" t="s">
        <v>305</v>
      </c>
      <c r="I1835" s="44" t="s">
        <v>946</v>
      </c>
      <c r="J1835" s="44">
        <f>YEAR(A1835)</f>
        <v>2023</v>
      </c>
    </row>
    <row r="1836" spans="1:11" ht="12" customHeight="1" x14ac:dyDescent="0.25">
      <c r="A1836" s="43">
        <v>45184</v>
      </c>
      <c r="B1836" s="47">
        <v>15792</v>
      </c>
      <c r="C1836" s="44" t="s">
        <v>849</v>
      </c>
      <c r="D1836" s="45">
        <v>9.82</v>
      </c>
      <c r="E1836" s="48" t="s">
        <v>89</v>
      </c>
      <c r="F1836" s="48" t="s">
        <v>90</v>
      </c>
      <c r="G1836" s="48" t="s">
        <v>91</v>
      </c>
      <c r="J1836" s="44">
        <f>YEAR(A1836)</f>
        <v>2023</v>
      </c>
    </row>
    <row r="1837" spans="1:11" ht="12" customHeight="1" x14ac:dyDescent="0.25">
      <c r="A1837" s="43">
        <v>45184</v>
      </c>
      <c r="B1837" s="47">
        <v>15792</v>
      </c>
      <c r="C1837" s="44" t="s">
        <v>849</v>
      </c>
      <c r="D1837" s="45">
        <v>-9.82</v>
      </c>
      <c r="E1837" s="48" t="s">
        <v>299</v>
      </c>
      <c r="F1837" s="48" t="s">
        <v>90</v>
      </c>
      <c r="G1837" s="48" t="s">
        <v>305</v>
      </c>
      <c r="I1837" s="44" t="s">
        <v>946</v>
      </c>
      <c r="J1837" s="44">
        <f>YEAR(A1837)</f>
        <v>2023</v>
      </c>
    </row>
    <row r="1838" spans="1:11" ht="12" customHeight="1" x14ac:dyDescent="0.25">
      <c r="A1838" s="43">
        <v>45184</v>
      </c>
      <c r="B1838" s="47">
        <v>15793</v>
      </c>
      <c r="C1838" s="44" t="s">
        <v>845</v>
      </c>
      <c r="D1838" s="45">
        <v>63.5</v>
      </c>
      <c r="E1838" s="48" t="s">
        <v>89</v>
      </c>
      <c r="F1838" s="48" t="s">
        <v>90</v>
      </c>
      <c r="G1838" s="48" t="s">
        <v>91</v>
      </c>
      <c r="J1838" s="44">
        <f>YEAR(A1838)</f>
        <v>2023</v>
      </c>
    </row>
    <row r="1839" spans="1:11" ht="12" customHeight="1" x14ac:dyDescent="0.25">
      <c r="A1839" s="43">
        <v>45184</v>
      </c>
      <c r="B1839" s="47">
        <v>15793</v>
      </c>
      <c r="C1839" s="44" t="s">
        <v>845</v>
      </c>
      <c r="D1839" s="45">
        <v>-63.5</v>
      </c>
      <c r="E1839" s="48" t="s">
        <v>299</v>
      </c>
      <c r="F1839" s="48" t="s">
        <v>90</v>
      </c>
      <c r="G1839" s="48" t="s">
        <v>305</v>
      </c>
      <c r="I1839" s="44" t="s">
        <v>946</v>
      </c>
      <c r="J1839" s="44">
        <f>YEAR(A1839)</f>
        <v>2023</v>
      </c>
    </row>
    <row r="1840" spans="1:11" ht="12" customHeight="1" x14ac:dyDescent="0.25">
      <c r="A1840" s="43">
        <v>45184</v>
      </c>
      <c r="B1840" s="47">
        <v>15794</v>
      </c>
      <c r="C1840" s="44" t="s">
        <v>847</v>
      </c>
      <c r="D1840" s="45">
        <v>62.4</v>
      </c>
      <c r="E1840" s="48" t="s">
        <v>89</v>
      </c>
      <c r="F1840" s="48" t="s">
        <v>90</v>
      </c>
      <c r="G1840" s="48" t="s">
        <v>91</v>
      </c>
      <c r="J1840" s="44">
        <f>YEAR(A1840)</f>
        <v>2023</v>
      </c>
    </row>
    <row r="1841" spans="1:11" ht="12" customHeight="1" x14ac:dyDescent="0.25">
      <c r="A1841" s="43">
        <v>45184</v>
      </c>
      <c r="B1841" s="47">
        <v>15794</v>
      </c>
      <c r="C1841" s="44" t="s">
        <v>847</v>
      </c>
      <c r="D1841" s="45">
        <v>-62.4</v>
      </c>
      <c r="E1841" s="48" t="s">
        <v>299</v>
      </c>
      <c r="F1841" s="48" t="s">
        <v>90</v>
      </c>
      <c r="G1841" s="48" t="s">
        <v>305</v>
      </c>
      <c r="I1841" s="44" t="s">
        <v>946</v>
      </c>
      <c r="J1841" s="44">
        <f>YEAR(A1841)</f>
        <v>2023</v>
      </c>
    </row>
    <row r="1842" spans="1:11" ht="12" customHeight="1" x14ac:dyDescent="0.25">
      <c r="A1842" s="43">
        <v>45184</v>
      </c>
      <c r="B1842" s="47">
        <v>15795</v>
      </c>
      <c r="C1842" s="44" t="s">
        <v>893</v>
      </c>
      <c r="D1842" s="45">
        <v>2.91</v>
      </c>
      <c r="E1842" s="48" t="s">
        <v>180</v>
      </c>
      <c r="F1842" s="48" t="s">
        <v>90</v>
      </c>
      <c r="G1842" s="48" t="s">
        <v>91</v>
      </c>
      <c r="J1842" s="44">
        <f>YEAR(A1842)</f>
        <v>2023</v>
      </c>
    </row>
    <row r="1843" spans="1:11" ht="12" customHeight="1" x14ac:dyDescent="0.25">
      <c r="A1843" s="43">
        <v>45184</v>
      </c>
      <c r="B1843" s="47">
        <v>15795</v>
      </c>
      <c r="C1843" s="44" t="s">
        <v>893</v>
      </c>
      <c r="D1843" s="45">
        <v>-2.91</v>
      </c>
      <c r="E1843" s="48" t="s">
        <v>299</v>
      </c>
      <c r="F1843" s="48" t="s">
        <v>90</v>
      </c>
      <c r="G1843" s="48" t="s">
        <v>305</v>
      </c>
      <c r="I1843" s="44" t="s">
        <v>946</v>
      </c>
      <c r="J1843" s="44">
        <f>YEAR(A1843)</f>
        <v>2023</v>
      </c>
    </row>
    <row r="1844" spans="1:11" ht="12" customHeight="1" x14ac:dyDescent="0.25">
      <c r="A1844" s="43">
        <v>45184</v>
      </c>
      <c r="B1844" s="47">
        <v>15795</v>
      </c>
      <c r="C1844" s="44" t="s">
        <v>893</v>
      </c>
      <c r="D1844" s="45">
        <v>2.91</v>
      </c>
      <c r="E1844" s="48" t="s">
        <v>180</v>
      </c>
      <c r="F1844" s="48" t="s">
        <v>90</v>
      </c>
      <c r="G1844" s="48" t="s">
        <v>91</v>
      </c>
      <c r="J1844" s="44">
        <f>YEAR(A1844)</f>
        <v>2023</v>
      </c>
    </row>
    <row r="1845" spans="1:11" ht="12" customHeight="1" x14ac:dyDescent="0.25">
      <c r="A1845" s="43">
        <v>45184</v>
      </c>
      <c r="B1845" s="47">
        <v>15795</v>
      </c>
      <c r="C1845" s="44" t="s">
        <v>893</v>
      </c>
      <c r="D1845" s="45">
        <v>-2.91</v>
      </c>
      <c r="E1845" s="48" t="s">
        <v>299</v>
      </c>
      <c r="F1845" s="48" t="s">
        <v>90</v>
      </c>
      <c r="G1845" s="48" t="s">
        <v>305</v>
      </c>
      <c r="I1845" s="44" t="s">
        <v>946</v>
      </c>
      <c r="J1845" s="44">
        <f>YEAR(A1845)</f>
        <v>2023</v>
      </c>
    </row>
    <row r="1846" spans="1:11" ht="12" customHeight="1" x14ac:dyDescent="0.25">
      <c r="A1846" s="43">
        <v>45184</v>
      </c>
      <c r="B1846" s="47">
        <v>15796</v>
      </c>
      <c r="C1846" s="44" t="s">
        <v>894</v>
      </c>
      <c r="D1846" s="45">
        <v>7.6</v>
      </c>
      <c r="E1846" s="48" t="s">
        <v>180</v>
      </c>
      <c r="F1846" s="48" t="s">
        <v>90</v>
      </c>
      <c r="G1846" s="48" t="s">
        <v>91</v>
      </c>
      <c r="J1846" s="44">
        <f>YEAR(A1846)</f>
        <v>2023</v>
      </c>
    </row>
    <row r="1847" spans="1:11" ht="12" customHeight="1" x14ac:dyDescent="0.25">
      <c r="A1847" s="43">
        <v>45184</v>
      </c>
      <c r="B1847" s="47">
        <v>15796</v>
      </c>
      <c r="C1847" s="44" t="s">
        <v>894</v>
      </c>
      <c r="D1847" s="45">
        <v>-7.6</v>
      </c>
      <c r="E1847" s="48" t="s">
        <v>299</v>
      </c>
      <c r="F1847" s="48" t="s">
        <v>90</v>
      </c>
      <c r="G1847" s="48" t="s">
        <v>305</v>
      </c>
      <c r="I1847" s="44" t="s">
        <v>946</v>
      </c>
      <c r="J1847" s="44">
        <f>YEAR(A1847)</f>
        <v>2023</v>
      </c>
    </row>
    <row r="1848" spans="1:11" ht="12" customHeight="1" x14ac:dyDescent="0.25">
      <c r="A1848" s="43">
        <v>45185</v>
      </c>
      <c r="B1848" s="47">
        <v>15797</v>
      </c>
      <c r="C1848" s="44" t="s">
        <v>487</v>
      </c>
      <c r="D1848" s="45">
        <v>6.9</v>
      </c>
      <c r="E1848" s="48" t="s">
        <v>89</v>
      </c>
      <c r="F1848" s="48" t="s">
        <v>90</v>
      </c>
      <c r="G1848" s="48" t="s">
        <v>91</v>
      </c>
      <c r="J1848" s="44">
        <f>YEAR(A1848)</f>
        <v>2023</v>
      </c>
    </row>
    <row r="1849" spans="1:11" ht="12" customHeight="1" x14ac:dyDescent="0.25">
      <c r="A1849" s="43">
        <v>45185</v>
      </c>
      <c r="B1849" s="47">
        <v>15797</v>
      </c>
      <c r="C1849" s="44" t="s">
        <v>487</v>
      </c>
      <c r="D1849" s="45">
        <v>-6.9</v>
      </c>
      <c r="E1849" s="48" t="s">
        <v>299</v>
      </c>
      <c r="F1849" s="48" t="s">
        <v>90</v>
      </c>
      <c r="G1849" s="48" t="s">
        <v>305</v>
      </c>
      <c r="I1849" s="44" t="s">
        <v>946</v>
      </c>
      <c r="J1849" s="44">
        <f>YEAR(A1849)</f>
        <v>2023</v>
      </c>
    </row>
    <row r="1850" spans="1:11" ht="12" customHeight="1" x14ac:dyDescent="0.25">
      <c r="A1850" s="43">
        <v>45185</v>
      </c>
      <c r="B1850" s="47">
        <v>15798</v>
      </c>
      <c r="C1850" s="44" t="s">
        <v>895</v>
      </c>
      <c r="D1850" s="45">
        <v>10</v>
      </c>
      <c r="E1850" s="48" t="s">
        <v>145</v>
      </c>
      <c r="F1850" s="48" t="s">
        <v>116</v>
      </c>
      <c r="G1850" s="48" t="s">
        <v>93</v>
      </c>
      <c r="J1850" s="44">
        <f>YEAR(A1850)</f>
        <v>2023</v>
      </c>
      <c r="K1850" s="49" t="s">
        <v>896</v>
      </c>
    </row>
    <row r="1851" spans="1:11" ht="12" customHeight="1" x14ac:dyDescent="0.25">
      <c r="A1851" s="43">
        <v>45185</v>
      </c>
      <c r="B1851" s="47">
        <v>15798</v>
      </c>
      <c r="C1851" s="44" t="s">
        <v>895</v>
      </c>
      <c r="D1851" s="45">
        <v>-10</v>
      </c>
      <c r="E1851" s="48" t="s">
        <v>299</v>
      </c>
      <c r="F1851" s="48" t="s">
        <v>90</v>
      </c>
      <c r="G1851" s="48" t="s">
        <v>305</v>
      </c>
      <c r="I1851" s="44" t="s">
        <v>946</v>
      </c>
      <c r="J1851" s="44">
        <f>YEAR(A1851)</f>
        <v>2023</v>
      </c>
    </row>
    <row r="1852" spans="1:11" ht="12" customHeight="1" x14ac:dyDescent="0.25">
      <c r="A1852" s="43">
        <v>45177</v>
      </c>
      <c r="B1852" s="47">
        <v>15799</v>
      </c>
      <c r="C1852" s="44" t="s">
        <v>849</v>
      </c>
      <c r="D1852" s="45">
        <v>-5.96</v>
      </c>
      <c r="E1852" s="48" t="s">
        <v>299</v>
      </c>
      <c r="F1852" s="48" t="s">
        <v>90</v>
      </c>
      <c r="G1852" s="48" t="s">
        <v>91</v>
      </c>
      <c r="H1852" s="44" t="s">
        <v>459</v>
      </c>
      <c r="I1852" s="44" t="s">
        <v>920</v>
      </c>
      <c r="J1852" s="44">
        <f>YEAR(A1852)</f>
        <v>2023</v>
      </c>
    </row>
    <row r="1853" spans="1:11" ht="12" customHeight="1" x14ac:dyDescent="0.25">
      <c r="A1853" s="43">
        <v>45177</v>
      </c>
      <c r="B1853" s="47">
        <v>15799</v>
      </c>
      <c r="C1853" s="44" t="s">
        <v>849</v>
      </c>
      <c r="D1853" s="45">
        <v>5.96</v>
      </c>
      <c r="E1853" s="48" t="s">
        <v>157</v>
      </c>
      <c r="F1853" s="48" t="s">
        <v>96</v>
      </c>
      <c r="G1853" s="48" t="s">
        <v>91</v>
      </c>
      <c r="J1853" s="44">
        <f>YEAR(A1853)</f>
        <v>2023</v>
      </c>
    </row>
    <row r="1854" spans="1:11" ht="12" customHeight="1" x14ac:dyDescent="0.25">
      <c r="A1854" s="43">
        <v>45185</v>
      </c>
      <c r="B1854" s="47">
        <v>15800</v>
      </c>
      <c r="C1854" s="44" t="s">
        <v>897</v>
      </c>
      <c r="D1854" s="45">
        <v>-135</v>
      </c>
      <c r="E1854" s="48" t="s">
        <v>89</v>
      </c>
      <c r="F1854" s="48" t="s">
        <v>90</v>
      </c>
      <c r="G1854" s="48" t="s">
        <v>91</v>
      </c>
      <c r="J1854" s="44">
        <f>YEAR(A1854)</f>
        <v>2023</v>
      </c>
    </row>
    <row r="1855" spans="1:11" ht="12" customHeight="1" x14ac:dyDescent="0.25">
      <c r="A1855" s="43">
        <v>45185</v>
      </c>
      <c r="B1855" s="47">
        <v>15800</v>
      </c>
      <c r="C1855" s="44" t="s">
        <v>897</v>
      </c>
      <c r="D1855" s="45">
        <v>135</v>
      </c>
      <c r="E1855" s="48" t="s">
        <v>299</v>
      </c>
      <c r="F1855" s="48" t="s">
        <v>307</v>
      </c>
      <c r="G1855" s="48" t="s">
        <v>91</v>
      </c>
      <c r="J1855" s="44">
        <f>YEAR(A1855)</f>
        <v>2023</v>
      </c>
    </row>
    <row r="1856" spans="1:11" ht="12" customHeight="1" x14ac:dyDescent="0.25">
      <c r="A1856" s="43">
        <v>45185</v>
      </c>
      <c r="B1856" s="47">
        <v>15801</v>
      </c>
      <c r="C1856" s="44" t="s">
        <v>850</v>
      </c>
      <c r="D1856" s="45">
        <v>8.4499999999999993</v>
      </c>
      <c r="E1856" s="48" t="s">
        <v>105</v>
      </c>
      <c r="F1856" s="48" t="s">
        <v>90</v>
      </c>
      <c r="G1856" s="48" t="s">
        <v>91</v>
      </c>
      <c r="J1856" s="44">
        <f>YEAR(A1856)</f>
        <v>2023</v>
      </c>
    </row>
    <row r="1857" spans="1:11" ht="12" customHeight="1" x14ac:dyDescent="0.25">
      <c r="A1857" s="43">
        <v>45185</v>
      </c>
      <c r="B1857" s="47">
        <v>15801</v>
      </c>
      <c r="C1857" s="44" t="s">
        <v>850</v>
      </c>
      <c r="D1857" s="45">
        <v>-8.4499999999999993</v>
      </c>
      <c r="E1857" s="48" t="s">
        <v>299</v>
      </c>
      <c r="F1857" s="48" t="s">
        <v>90</v>
      </c>
      <c r="G1857" s="48" t="s">
        <v>305</v>
      </c>
      <c r="I1857" s="44" t="s">
        <v>946</v>
      </c>
      <c r="J1857" s="44">
        <f>YEAR(A1857)</f>
        <v>2023</v>
      </c>
    </row>
    <row r="1858" spans="1:11" ht="12" customHeight="1" x14ac:dyDescent="0.25">
      <c r="A1858" s="43">
        <v>45185</v>
      </c>
      <c r="B1858" s="47">
        <v>15802</v>
      </c>
      <c r="C1858" s="44" t="s">
        <v>487</v>
      </c>
      <c r="D1858" s="45">
        <v>30.7</v>
      </c>
      <c r="E1858" s="48" t="s">
        <v>145</v>
      </c>
      <c r="F1858" s="48" t="s">
        <v>135</v>
      </c>
      <c r="G1858" s="48" t="s">
        <v>91</v>
      </c>
      <c r="J1858" s="44">
        <f>YEAR(A1858)</f>
        <v>2023</v>
      </c>
    </row>
    <row r="1859" spans="1:11" ht="12" customHeight="1" x14ac:dyDescent="0.25">
      <c r="A1859" s="43">
        <v>45185</v>
      </c>
      <c r="B1859" s="47">
        <v>15802</v>
      </c>
      <c r="C1859" s="44" t="s">
        <v>487</v>
      </c>
      <c r="D1859" s="45">
        <v>-30.7</v>
      </c>
      <c r="E1859" s="48" t="s">
        <v>299</v>
      </c>
      <c r="F1859" s="48" t="s">
        <v>90</v>
      </c>
      <c r="G1859" s="48" t="s">
        <v>305</v>
      </c>
      <c r="I1859" s="44" t="s">
        <v>946</v>
      </c>
      <c r="J1859" s="44">
        <f>YEAR(A1859)</f>
        <v>2023</v>
      </c>
    </row>
    <row r="1860" spans="1:11" ht="12" customHeight="1" x14ac:dyDescent="0.25">
      <c r="A1860" s="43">
        <v>45185</v>
      </c>
      <c r="B1860" s="47">
        <v>15803</v>
      </c>
      <c r="C1860" s="44" t="s">
        <v>898</v>
      </c>
      <c r="D1860" s="45">
        <v>19.8</v>
      </c>
      <c r="E1860" s="48" t="s">
        <v>157</v>
      </c>
      <c r="F1860" s="48" t="s">
        <v>96</v>
      </c>
      <c r="G1860" s="48" t="s">
        <v>93</v>
      </c>
      <c r="J1860" s="44">
        <f>YEAR(A1860)</f>
        <v>2023</v>
      </c>
    </row>
    <row r="1861" spans="1:11" ht="12" customHeight="1" x14ac:dyDescent="0.25">
      <c r="A1861" s="43">
        <v>45185</v>
      </c>
      <c r="B1861" s="47">
        <v>15803</v>
      </c>
      <c r="C1861" s="44" t="s">
        <v>898</v>
      </c>
      <c r="D1861" s="45">
        <v>-19.8</v>
      </c>
      <c r="E1861" s="48" t="s">
        <v>299</v>
      </c>
      <c r="F1861" s="48" t="s">
        <v>90</v>
      </c>
      <c r="G1861" s="48" t="s">
        <v>305</v>
      </c>
      <c r="I1861" s="44" t="s">
        <v>946</v>
      </c>
      <c r="J1861" s="44">
        <f>YEAR(A1861)</f>
        <v>2023</v>
      </c>
    </row>
    <row r="1862" spans="1:11" ht="12" customHeight="1" x14ac:dyDescent="0.25">
      <c r="A1862" s="43">
        <v>45186</v>
      </c>
      <c r="B1862" s="47">
        <v>15804</v>
      </c>
      <c r="C1862" s="44" t="s">
        <v>761</v>
      </c>
      <c r="D1862" s="45">
        <v>2.7</v>
      </c>
      <c r="E1862" s="48" t="s">
        <v>180</v>
      </c>
      <c r="F1862" s="48" t="s">
        <v>90</v>
      </c>
      <c r="G1862" s="48" t="s">
        <v>91</v>
      </c>
      <c r="J1862" s="44">
        <f>YEAR(A1862)</f>
        <v>2023</v>
      </c>
    </row>
    <row r="1863" spans="1:11" ht="12" customHeight="1" x14ac:dyDescent="0.25">
      <c r="A1863" s="43">
        <v>45186</v>
      </c>
      <c r="B1863" s="47">
        <v>15804</v>
      </c>
      <c r="C1863" s="44" t="s">
        <v>761</v>
      </c>
      <c r="D1863" s="45">
        <v>-2.7</v>
      </c>
      <c r="E1863" s="48" t="s">
        <v>299</v>
      </c>
      <c r="F1863" s="48" t="s">
        <v>90</v>
      </c>
      <c r="G1863" s="48" t="s">
        <v>305</v>
      </c>
      <c r="I1863" s="44" t="s">
        <v>946</v>
      </c>
      <c r="J1863" s="44">
        <f>YEAR(A1863)</f>
        <v>2023</v>
      </c>
    </row>
    <row r="1864" spans="1:11" ht="12" customHeight="1" x14ac:dyDescent="0.25">
      <c r="A1864" s="43">
        <v>45186</v>
      </c>
      <c r="B1864" s="47">
        <v>15805</v>
      </c>
      <c r="C1864" s="44" t="s">
        <v>761</v>
      </c>
      <c r="D1864" s="45">
        <v>1.8</v>
      </c>
      <c r="E1864" s="48" t="s">
        <v>180</v>
      </c>
      <c r="F1864" s="48" t="s">
        <v>90</v>
      </c>
      <c r="G1864" s="48" t="s">
        <v>91</v>
      </c>
      <c r="J1864" s="44">
        <f>YEAR(A1864)</f>
        <v>2023</v>
      </c>
    </row>
    <row r="1865" spans="1:11" ht="12" customHeight="1" x14ac:dyDescent="0.25">
      <c r="A1865" s="43">
        <v>45186</v>
      </c>
      <c r="B1865" s="47">
        <v>15805</v>
      </c>
      <c r="C1865" s="44" t="s">
        <v>761</v>
      </c>
      <c r="D1865" s="45">
        <v>-1.8</v>
      </c>
      <c r="E1865" s="48" t="s">
        <v>299</v>
      </c>
      <c r="F1865" s="48" t="s">
        <v>90</v>
      </c>
      <c r="G1865" s="48" t="s">
        <v>305</v>
      </c>
      <c r="I1865" s="44" t="s">
        <v>946</v>
      </c>
      <c r="J1865" s="44">
        <f>YEAR(A1865)</f>
        <v>2023</v>
      </c>
    </row>
    <row r="1866" spans="1:11" ht="12" customHeight="1" x14ac:dyDescent="0.25">
      <c r="A1866" s="43">
        <v>45186</v>
      </c>
      <c r="B1866" s="47">
        <v>15806</v>
      </c>
      <c r="C1866" s="44" t="s">
        <v>899</v>
      </c>
      <c r="D1866" s="45">
        <v>2.5</v>
      </c>
      <c r="E1866" s="48" t="s">
        <v>89</v>
      </c>
      <c r="F1866" s="48" t="s">
        <v>96</v>
      </c>
      <c r="G1866" s="48" t="s">
        <v>91</v>
      </c>
      <c r="J1866" s="44">
        <f>YEAR(A1866)</f>
        <v>2023</v>
      </c>
    </row>
    <row r="1867" spans="1:11" ht="12" customHeight="1" x14ac:dyDescent="0.25">
      <c r="A1867" s="43">
        <v>45186</v>
      </c>
      <c r="B1867" s="47">
        <v>15806</v>
      </c>
      <c r="C1867" s="44" t="s">
        <v>899</v>
      </c>
      <c r="D1867" s="45">
        <v>-2.5</v>
      </c>
      <c r="E1867" s="48" t="s">
        <v>299</v>
      </c>
      <c r="F1867" s="48" t="s">
        <v>90</v>
      </c>
      <c r="G1867" s="48" t="s">
        <v>305</v>
      </c>
      <c r="I1867" s="44" t="s">
        <v>946</v>
      </c>
      <c r="J1867" s="44">
        <f>YEAR(A1867)</f>
        <v>2023</v>
      </c>
    </row>
    <row r="1868" spans="1:11" ht="12" customHeight="1" x14ac:dyDescent="0.25">
      <c r="A1868" s="43">
        <v>45186</v>
      </c>
      <c r="B1868" s="47">
        <v>15807</v>
      </c>
      <c r="C1868" s="44" t="s">
        <v>761</v>
      </c>
      <c r="D1868" s="45">
        <v>9.6999999999999993</v>
      </c>
      <c r="E1868" s="48" t="s">
        <v>180</v>
      </c>
      <c r="F1868" s="48" t="s">
        <v>90</v>
      </c>
      <c r="G1868" s="48" t="s">
        <v>91</v>
      </c>
      <c r="J1868" s="44">
        <f>YEAR(A1868)</f>
        <v>2023</v>
      </c>
    </row>
    <row r="1869" spans="1:11" ht="12" customHeight="1" x14ac:dyDescent="0.25">
      <c r="A1869" s="43">
        <v>45186</v>
      </c>
      <c r="B1869" s="47">
        <v>15807</v>
      </c>
      <c r="C1869" s="44" t="s">
        <v>761</v>
      </c>
      <c r="D1869" s="45">
        <v>-9.6999999999999993</v>
      </c>
      <c r="E1869" s="48" t="s">
        <v>299</v>
      </c>
      <c r="F1869" s="48" t="s">
        <v>90</v>
      </c>
      <c r="G1869" s="48" t="s">
        <v>305</v>
      </c>
      <c r="I1869" s="44" t="s">
        <v>946</v>
      </c>
      <c r="J1869" s="44">
        <f>YEAR(A1869)</f>
        <v>2023</v>
      </c>
    </row>
    <row r="1870" spans="1:11" ht="12" customHeight="1" x14ac:dyDescent="0.25">
      <c r="A1870" s="43">
        <v>45186</v>
      </c>
      <c r="B1870" s="47">
        <v>15808</v>
      </c>
      <c r="C1870" s="44" t="s">
        <v>900</v>
      </c>
      <c r="D1870" s="45">
        <v>69.5</v>
      </c>
      <c r="E1870" s="48" t="s">
        <v>89</v>
      </c>
      <c r="F1870" s="48" t="s">
        <v>96</v>
      </c>
      <c r="G1870" s="48" t="s">
        <v>91</v>
      </c>
      <c r="J1870" s="44">
        <f>YEAR(A1870)</f>
        <v>2023</v>
      </c>
    </row>
    <row r="1871" spans="1:11" ht="12" customHeight="1" x14ac:dyDescent="0.25">
      <c r="A1871" s="43">
        <v>45186</v>
      </c>
      <c r="B1871" s="47">
        <v>15808</v>
      </c>
      <c r="C1871" s="44" t="s">
        <v>900</v>
      </c>
      <c r="D1871" s="45">
        <v>-69.5</v>
      </c>
      <c r="E1871" s="48" t="s">
        <v>299</v>
      </c>
      <c r="F1871" s="48" t="s">
        <v>90</v>
      </c>
      <c r="G1871" s="48" t="s">
        <v>305</v>
      </c>
      <c r="I1871" s="44" t="s">
        <v>946</v>
      </c>
      <c r="J1871" s="44">
        <f>YEAR(A1871)</f>
        <v>2023</v>
      </c>
    </row>
    <row r="1872" spans="1:11" ht="12" customHeight="1" x14ac:dyDescent="0.25">
      <c r="A1872" s="43">
        <v>45186</v>
      </c>
      <c r="B1872" s="47">
        <v>15809</v>
      </c>
      <c r="C1872" s="44" t="s">
        <v>901</v>
      </c>
      <c r="D1872" s="45">
        <v>6</v>
      </c>
      <c r="E1872" s="48" t="s">
        <v>180</v>
      </c>
      <c r="F1872" s="48" t="s">
        <v>90</v>
      </c>
      <c r="G1872" s="48" t="s">
        <v>91</v>
      </c>
      <c r="J1872" s="44">
        <f>YEAR(A1872)</f>
        <v>2023</v>
      </c>
      <c r="K1872" s="49" t="s">
        <v>902</v>
      </c>
    </row>
    <row r="1873" spans="1:11" ht="12" customHeight="1" x14ac:dyDescent="0.25">
      <c r="A1873" s="43">
        <v>45186</v>
      </c>
      <c r="B1873" s="47">
        <v>15809</v>
      </c>
      <c r="C1873" s="44" t="s">
        <v>901</v>
      </c>
      <c r="D1873" s="45">
        <v>-6</v>
      </c>
      <c r="E1873" s="48" t="s">
        <v>299</v>
      </c>
      <c r="F1873" s="48" t="s">
        <v>90</v>
      </c>
      <c r="G1873" s="48" t="s">
        <v>305</v>
      </c>
      <c r="I1873" s="44" t="s">
        <v>946</v>
      </c>
      <c r="J1873" s="44">
        <f>YEAR(A1873)</f>
        <v>2023</v>
      </c>
    </row>
    <row r="1874" spans="1:11" ht="12" customHeight="1" x14ac:dyDescent="0.25">
      <c r="A1874" s="43">
        <v>45186</v>
      </c>
      <c r="B1874" s="47">
        <v>15810</v>
      </c>
      <c r="C1874" s="44" t="s">
        <v>761</v>
      </c>
      <c r="D1874" s="45">
        <v>21.4</v>
      </c>
      <c r="E1874" s="48" t="s">
        <v>180</v>
      </c>
      <c r="F1874" s="48" t="s">
        <v>90</v>
      </c>
      <c r="G1874" s="48" t="s">
        <v>91</v>
      </c>
      <c r="J1874" s="44">
        <f>YEAR(A1874)</f>
        <v>2023</v>
      </c>
    </row>
    <row r="1875" spans="1:11" ht="12" customHeight="1" x14ac:dyDescent="0.25">
      <c r="A1875" s="43">
        <v>45186</v>
      </c>
      <c r="B1875" s="47">
        <v>15810</v>
      </c>
      <c r="C1875" s="44" t="s">
        <v>761</v>
      </c>
      <c r="D1875" s="45">
        <v>-21.4</v>
      </c>
      <c r="E1875" s="48" t="s">
        <v>299</v>
      </c>
      <c r="F1875" s="48" t="s">
        <v>90</v>
      </c>
      <c r="G1875" s="48" t="s">
        <v>305</v>
      </c>
      <c r="I1875" s="44" t="s">
        <v>946</v>
      </c>
      <c r="J1875" s="44">
        <f>YEAR(A1875)</f>
        <v>2023</v>
      </c>
    </row>
    <row r="1876" spans="1:11" ht="12" customHeight="1" x14ac:dyDescent="0.25">
      <c r="A1876" s="43">
        <v>45186</v>
      </c>
      <c r="B1876" s="47">
        <v>15811</v>
      </c>
      <c r="C1876" s="44" t="s">
        <v>903</v>
      </c>
      <c r="D1876" s="45">
        <v>4</v>
      </c>
      <c r="E1876" s="48" t="s">
        <v>89</v>
      </c>
      <c r="F1876" s="48" t="s">
        <v>96</v>
      </c>
      <c r="G1876" s="48" t="s">
        <v>91</v>
      </c>
      <c r="J1876" s="44">
        <f>YEAR(A1876)</f>
        <v>2023</v>
      </c>
    </row>
    <row r="1877" spans="1:11" ht="12" customHeight="1" x14ac:dyDescent="0.25">
      <c r="A1877" s="43">
        <v>45186</v>
      </c>
      <c r="B1877" s="47">
        <v>15811</v>
      </c>
      <c r="C1877" s="44" t="s">
        <v>903</v>
      </c>
      <c r="D1877" s="45">
        <v>-2</v>
      </c>
      <c r="E1877" s="48" t="s">
        <v>299</v>
      </c>
      <c r="F1877" s="48" t="s">
        <v>90</v>
      </c>
      <c r="G1877" s="48" t="s">
        <v>305</v>
      </c>
      <c r="I1877" s="44" t="s">
        <v>946</v>
      </c>
      <c r="J1877" s="44">
        <f>YEAR(A1877)</f>
        <v>2023</v>
      </c>
    </row>
    <row r="1878" spans="1:11" ht="12" customHeight="1" x14ac:dyDescent="0.25">
      <c r="A1878" s="43">
        <v>45186</v>
      </c>
      <c r="B1878" s="47">
        <v>15811</v>
      </c>
      <c r="C1878" s="44" t="s">
        <v>903</v>
      </c>
      <c r="D1878" s="45">
        <v>-2</v>
      </c>
      <c r="E1878" s="48" t="s">
        <v>294</v>
      </c>
      <c r="F1878" s="48" t="s">
        <v>90</v>
      </c>
      <c r="G1878" s="48" t="s">
        <v>91</v>
      </c>
      <c r="J1878" s="44">
        <f>YEAR(A1878)</f>
        <v>2023</v>
      </c>
      <c r="K1878" s="49" t="s">
        <v>1083</v>
      </c>
    </row>
    <row r="1879" spans="1:11" ht="12" customHeight="1" x14ac:dyDescent="0.25">
      <c r="A1879" s="43">
        <v>45186</v>
      </c>
      <c r="B1879" s="47">
        <v>15812</v>
      </c>
      <c r="C1879" s="44" t="s">
        <v>904</v>
      </c>
      <c r="D1879" s="45">
        <v>41.73</v>
      </c>
      <c r="E1879" s="48" t="s">
        <v>180</v>
      </c>
      <c r="F1879" s="48" t="s">
        <v>96</v>
      </c>
      <c r="G1879" s="48" t="s">
        <v>187</v>
      </c>
      <c r="J1879" s="44">
        <f>YEAR(A1879)</f>
        <v>2023</v>
      </c>
    </row>
    <row r="1880" spans="1:11" ht="12" customHeight="1" x14ac:dyDescent="0.25">
      <c r="A1880" s="43">
        <v>45186</v>
      </c>
      <c r="B1880" s="47">
        <v>15812</v>
      </c>
      <c r="C1880" s="44" t="s">
        <v>904</v>
      </c>
      <c r="D1880" s="45">
        <v>-41.73</v>
      </c>
      <c r="E1880" s="48" t="s">
        <v>299</v>
      </c>
      <c r="F1880" s="48" t="s">
        <v>90</v>
      </c>
      <c r="G1880" s="48" t="s">
        <v>305</v>
      </c>
      <c r="I1880" s="44" t="s">
        <v>946</v>
      </c>
      <c r="J1880" s="44">
        <f>YEAR(A1880)</f>
        <v>2023</v>
      </c>
    </row>
    <row r="1881" spans="1:11" ht="12" customHeight="1" x14ac:dyDescent="0.25">
      <c r="A1881" s="43">
        <v>45186</v>
      </c>
      <c r="B1881" s="47">
        <v>15813</v>
      </c>
      <c r="C1881" s="44" t="s">
        <v>761</v>
      </c>
      <c r="D1881" s="45">
        <v>36.6</v>
      </c>
      <c r="E1881" s="48" t="s">
        <v>180</v>
      </c>
      <c r="F1881" s="48" t="s">
        <v>90</v>
      </c>
      <c r="G1881" s="48" t="s">
        <v>91</v>
      </c>
      <c r="J1881" s="44">
        <f>YEAR(A1881)</f>
        <v>2023</v>
      </c>
    </row>
    <row r="1882" spans="1:11" ht="12" customHeight="1" x14ac:dyDescent="0.25">
      <c r="A1882" s="43">
        <v>45186</v>
      </c>
      <c r="B1882" s="47">
        <v>15813</v>
      </c>
      <c r="C1882" s="44" t="s">
        <v>761</v>
      </c>
      <c r="D1882" s="45">
        <v>-36.6</v>
      </c>
      <c r="E1882" s="48" t="s">
        <v>299</v>
      </c>
      <c r="F1882" s="48" t="s">
        <v>90</v>
      </c>
      <c r="G1882" s="48" t="s">
        <v>305</v>
      </c>
      <c r="I1882" s="44" t="s">
        <v>946</v>
      </c>
      <c r="J1882" s="44">
        <f>YEAR(A1882)</f>
        <v>2023</v>
      </c>
    </row>
    <row r="1883" spans="1:11" ht="12" customHeight="1" x14ac:dyDescent="0.25">
      <c r="A1883" s="43">
        <v>45188</v>
      </c>
      <c r="B1883" s="47">
        <v>15814</v>
      </c>
      <c r="C1883" s="44" t="s">
        <v>568</v>
      </c>
      <c r="D1883" s="45">
        <v>24.13</v>
      </c>
      <c r="E1883" s="48" t="s">
        <v>89</v>
      </c>
      <c r="F1883" s="48" t="s">
        <v>90</v>
      </c>
      <c r="G1883" s="48" t="s">
        <v>91</v>
      </c>
      <c r="J1883" s="44">
        <f>YEAR(A1883)</f>
        <v>2023</v>
      </c>
    </row>
    <row r="1884" spans="1:11" ht="12" customHeight="1" x14ac:dyDescent="0.25">
      <c r="A1884" s="43">
        <v>45188</v>
      </c>
      <c r="B1884" s="47">
        <v>15814</v>
      </c>
      <c r="C1884" s="44" t="s">
        <v>568</v>
      </c>
      <c r="D1884" s="45">
        <v>-24.13</v>
      </c>
      <c r="E1884" s="48" t="s">
        <v>299</v>
      </c>
      <c r="F1884" s="48" t="s">
        <v>90</v>
      </c>
      <c r="G1884" s="48" t="s">
        <v>305</v>
      </c>
      <c r="I1884" s="44" t="s">
        <v>946</v>
      </c>
      <c r="J1884" s="44">
        <f>YEAR(A1884)</f>
        <v>2023</v>
      </c>
    </row>
    <row r="1885" spans="1:11" ht="12" customHeight="1" x14ac:dyDescent="0.25">
      <c r="A1885" s="43">
        <v>45188</v>
      </c>
      <c r="B1885" s="47">
        <v>15815</v>
      </c>
      <c r="C1885" s="44" t="s">
        <v>475</v>
      </c>
      <c r="D1885" s="45">
        <v>18.329999999999998</v>
      </c>
      <c r="E1885" s="48" t="s">
        <v>89</v>
      </c>
      <c r="F1885" s="48" t="s">
        <v>90</v>
      </c>
      <c r="G1885" s="48" t="s">
        <v>91</v>
      </c>
      <c r="J1885" s="44">
        <f>YEAR(A1885)</f>
        <v>2023</v>
      </c>
    </row>
    <row r="1886" spans="1:11" ht="12" customHeight="1" x14ac:dyDescent="0.25">
      <c r="A1886" s="43">
        <v>45188</v>
      </c>
      <c r="B1886" s="47">
        <v>15815</v>
      </c>
      <c r="C1886" s="44" t="s">
        <v>475</v>
      </c>
      <c r="D1886" s="45">
        <v>-18.329999999999998</v>
      </c>
      <c r="E1886" s="48" t="s">
        <v>299</v>
      </c>
      <c r="F1886" s="48" t="s">
        <v>90</v>
      </c>
      <c r="G1886" s="48" t="s">
        <v>305</v>
      </c>
      <c r="I1886" s="44" t="s">
        <v>946</v>
      </c>
      <c r="J1886" s="44">
        <f>YEAR(A1886)</f>
        <v>2023</v>
      </c>
    </row>
    <row r="1887" spans="1:11" ht="12" customHeight="1" x14ac:dyDescent="0.25">
      <c r="A1887" s="43">
        <v>45188</v>
      </c>
      <c r="B1887" s="47">
        <v>15816</v>
      </c>
      <c r="C1887" s="44" t="s">
        <v>453</v>
      </c>
      <c r="D1887" s="45">
        <v>18.899999999999999</v>
      </c>
      <c r="E1887" s="48" t="s">
        <v>89</v>
      </c>
      <c r="F1887" s="48" t="s">
        <v>90</v>
      </c>
      <c r="G1887" s="48" t="s">
        <v>91</v>
      </c>
      <c r="J1887" s="44">
        <f>YEAR(A1887)</f>
        <v>2023</v>
      </c>
    </row>
    <row r="1888" spans="1:11" ht="12" customHeight="1" x14ac:dyDescent="0.25">
      <c r="A1888" s="43">
        <v>45188</v>
      </c>
      <c r="B1888" s="47">
        <v>15816</v>
      </c>
      <c r="C1888" s="44" t="s">
        <v>453</v>
      </c>
      <c r="D1888" s="45">
        <v>-18.899999999999999</v>
      </c>
      <c r="E1888" s="48" t="s">
        <v>299</v>
      </c>
      <c r="F1888" s="48" t="s">
        <v>90</v>
      </c>
      <c r="G1888" s="48" t="s">
        <v>305</v>
      </c>
      <c r="I1888" s="44" t="s">
        <v>946</v>
      </c>
      <c r="J1888" s="44">
        <f>YEAR(A1888)</f>
        <v>2023</v>
      </c>
    </row>
    <row r="1889" spans="1:10" ht="12" customHeight="1" x14ac:dyDescent="0.25">
      <c r="A1889" s="43">
        <v>45188</v>
      </c>
      <c r="B1889" s="47">
        <v>15817</v>
      </c>
      <c r="C1889" s="44" t="s">
        <v>454</v>
      </c>
      <c r="D1889" s="45">
        <v>20.7</v>
      </c>
      <c r="E1889" s="48" t="s">
        <v>89</v>
      </c>
      <c r="F1889" s="48" t="s">
        <v>90</v>
      </c>
      <c r="G1889" s="48" t="s">
        <v>91</v>
      </c>
      <c r="J1889" s="44">
        <f>YEAR(A1889)</f>
        <v>2023</v>
      </c>
    </row>
    <row r="1890" spans="1:10" ht="12" customHeight="1" x14ac:dyDescent="0.25">
      <c r="A1890" s="43">
        <v>45188</v>
      </c>
      <c r="B1890" s="47">
        <v>15817</v>
      </c>
      <c r="C1890" s="44" t="s">
        <v>454</v>
      </c>
      <c r="D1890" s="45">
        <v>-20.7</v>
      </c>
      <c r="E1890" s="48" t="s">
        <v>299</v>
      </c>
      <c r="F1890" s="48" t="s">
        <v>90</v>
      </c>
      <c r="G1890" s="48" t="s">
        <v>305</v>
      </c>
      <c r="I1890" s="44" t="s">
        <v>946</v>
      </c>
      <c r="J1890" s="44">
        <f>YEAR(A1890)</f>
        <v>2023</v>
      </c>
    </row>
    <row r="1891" spans="1:10" ht="12" customHeight="1" x14ac:dyDescent="0.25">
      <c r="A1891" s="43">
        <v>45188</v>
      </c>
      <c r="B1891" s="47">
        <v>15818</v>
      </c>
      <c r="C1891" s="44" t="s">
        <v>455</v>
      </c>
      <c r="D1891" s="45">
        <v>82.64</v>
      </c>
      <c r="E1891" s="48" t="s">
        <v>180</v>
      </c>
      <c r="F1891" s="48" t="s">
        <v>96</v>
      </c>
      <c r="G1891" s="48" t="s">
        <v>187</v>
      </c>
      <c r="J1891" s="44">
        <f>YEAR(A1891)</f>
        <v>2023</v>
      </c>
    </row>
    <row r="1892" spans="1:10" ht="12" customHeight="1" x14ac:dyDescent="0.25">
      <c r="A1892" s="43">
        <v>45188</v>
      </c>
      <c r="B1892" s="47">
        <v>15818</v>
      </c>
      <c r="C1892" s="44" t="s">
        <v>455</v>
      </c>
      <c r="D1892" s="45">
        <v>-82.64</v>
      </c>
      <c r="E1892" s="48" t="s">
        <v>299</v>
      </c>
      <c r="F1892" s="48" t="s">
        <v>90</v>
      </c>
      <c r="G1892" s="48" t="s">
        <v>305</v>
      </c>
      <c r="I1892" s="44" t="s">
        <v>946</v>
      </c>
      <c r="J1892" s="44">
        <f>YEAR(A1892)</f>
        <v>2023</v>
      </c>
    </row>
    <row r="1893" spans="1:10" ht="12" customHeight="1" x14ac:dyDescent="0.25">
      <c r="A1893" s="43">
        <v>45188</v>
      </c>
      <c r="B1893" s="47">
        <v>15819</v>
      </c>
      <c r="C1893" s="44" t="s">
        <v>446</v>
      </c>
      <c r="D1893" s="45">
        <v>88.84</v>
      </c>
      <c r="E1893" s="48" t="s">
        <v>89</v>
      </c>
      <c r="F1893" s="48" t="s">
        <v>90</v>
      </c>
      <c r="G1893" s="48" t="s">
        <v>91</v>
      </c>
      <c r="J1893" s="44">
        <f>YEAR(A1893)</f>
        <v>2023</v>
      </c>
    </row>
    <row r="1894" spans="1:10" ht="12" customHeight="1" x14ac:dyDescent="0.25">
      <c r="A1894" s="43">
        <v>45188</v>
      </c>
      <c r="B1894" s="47">
        <v>15819</v>
      </c>
      <c r="C1894" s="44" t="s">
        <v>446</v>
      </c>
      <c r="D1894" s="45">
        <v>-88.84</v>
      </c>
      <c r="E1894" s="48" t="s">
        <v>299</v>
      </c>
      <c r="F1894" s="48" t="s">
        <v>90</v>
      </c>
      <c r="G1894" s="48" t="s">
        <v>305</v>
      </c>
      <c r="I1894" s="44" t="s">
        <v>946</v>
      </c>
      <c r="J1894" s="44">
        <f>YEAR(A1894)</f>
        <v>2023</v>
      </c>
    </row>
    <row r="1895" spans="1:10" ht="12" customHeight="1" x14ac:dyDescent="0.25">
      <c r="A1895" s="43">
        <v>45188</v>
      </c>
      <c r="B1895" s="47">
        <v>15820</v>
      </c>
      <c r="C1895" s="44" t="s">
        <v>480</v>
      </c>
      <c r="D1895" s="45">
        <v>8.98</v>
      </c>
      <c r="E1895" s="48" t="s">
        <v>89</v>
      </c>
      <c r="F1895" s="48" t="s">
        <v>101</v>
      </c>
      <c r="G1895" s="48" t="s">
        <v>91</v>
      </c>
      <c r="J1895" s="44">
        <f>YEAR(A1895)</f>
        <v>2023</v>
      </c>
    </row>
    <row r="1896" spans="1:10" ht="11.5" x14ac:dyDescent="0.25">
      <c r="A1896" s="43">
        <v>45188</v>
      </c>
      <c r="B1896" s="47">
        <v>15820</v>
      </c>
      <c r="C1896" s="44" t="s">
        <v>480</v>
      </c>
      <c r="D1896" s="45">
        <v>-8.98</v>
      </c>
      <c r="E1896" s="48" t="s">
        <v>299</v>
      </c>
      <c r="F1896" s="48" t="s">
        <v>90</v>
      </c>
      <c r="G1896" s="48" t="s">
        <v>305</v>
      </c>
      <c r="I1896" s="44" t="s">
        <v>946</v>
      </c>
      <c r="J1896" s="44">
        <f>YEAR(A1896)</f>
        <v>2023</v>
      </c>
    </row>
    <row r="1897" spans="1:10" ht="12" customHeight="1" x14ac:dyDescent="0.25">
      <c r="A1897" s="43">
        <v>45225</v>
      </c>
      <c r="B1897" s="47">
        <v>15821</v>
      </c>
      <c r="C1897" s="44" t="s">
        <v>905</v>
      </c>
      <c r="D1897" s="45">
        <v>-1726</v>
      </c>
      <c r="E1897" s="48" t="s">
        <v>299</v>
      </c>
      <c r="F1897" s="48" t="s">
        <v>90</v>
      </c>
      <c r="G1897" s="48" t="s">
        <v>91</v>
      </c>
      <c r="H1897" s="44" t="s">
        <v>391</v>
      </c>
      <c r="I1897" s="44" t="s">
        <v>987</v>
      </c>
      <c r="J1897" s="44">
        <f>YEAR(A1897)</f>
        <v>2023</v>
      </c>
    </row>
    <row r="1898" spans="1:10" ht="12" customHeight="1" x14ac:dyDescent="0.25">
      <c r="A1898" s="43">
        <v>45225</v>
      </c>
      <c r="B1898" s="47">
        <v>15821</v>
      </c>
      <c r="C1898" s="44" t="s">
        <v>905</v>
      </c>
      <c r="D1898" s="45">
        <v>1726</v>
      </c>
      <c r="E1898" s="48" t="s">
        <v>110</v>
      </c>
      <c r="F1898" s="48" t="s">
        <v>96</v>
      </c>
      <c r="G1898" s="48" t="s">
        <v>115</v>
      </c>
      <c r="J1898" s="44">
        <f>YEAR(A1898)</f>
        <v>2023</v>
      </c>
    </row>
    <row r="1899" spans="1:10" ht="12" customHeight="1" x14ac:dyDescent="0.25">
      <c r="A1899" s="43">
        <v>45189</v>
      </c>
      <c r="B1899" s="47">
        <v>15822</v>
      </c>
      <c r="C1899" s="44" t="s">
        <v>906</v>
      </c>
      <c r="D1899" s="45">
        <v>-45</v>
      </c>
      <c r="E1899" s="48" t="s">
        <v>299</v>
      </c>
      <c r="F1899" s="48" t="s">
        <v>90</v>
      </c>
      <c r="G1899" s="48" t="s">
        <v>305</v>
      </c>
      <c r="H1899" s="44" t="s">
        <v>402</v>
      </c>
      <c r="I1899" s="44" t="s">
        <v>946</v>
      </c>
      <c r="J1899" s="44">
        <f>YEAR(A1899)</f>
        <v>2023</v>
      </c>
    </row>
    <row r="1900" spans="1:10" ht="12" customHeight="1" x14ac:dyDescent="0.25">
      <c r="A1900" s="43">
        <v>45189</v>
      </c>
      <c r="B1900" s="47">
        <v>15822</v>
      </c>
      <c r="C1900" s="44" t="s">
        <v>906</v>
      </c>
      <c r="D1900" s="45">
        <v>45</v>
      </c>
      <c r="E1900" s="48" t="s">
        <v>110</v>
      </c>
      <c r="F1900" s="48" t="s">
        <v>122</v>
      </c>
      <c r="G1900" s="48" t="s">
        <v>91</v>
      </c>
      <c r="J1900" s="44">
        <f>YEAR(A1900)</f>
        <v>2023</v>
      </c>
    </row>
    <row r="1901" spans="1:10" ht="12" customHeight="1" x14ac:dyDescent="0.25">
      <c r="A1901" s="43">
        <v>45189</v>
      </c>
      <c r="B1901" s="47">
        <v>15823</v>
      </c>
      <c r="C1901" s="44" t="s">
        <v>907</v>
      </c>
      <c r="D1901" s="45">
        <v>-100</v>
      </c>
      <c r="E1901" s="48" t="s">
        <v>299</v>
      </c>
      <c r="F1901" s="48" t="s">
        <v>90</v>
      </c>
      <c r="G1901" s="48" t="s">
        <v>305</v>
      </c>
      <c r="H1901" s="44" t="s">
        <v>442</v>
      </c>
      <c r="I1901" s="44" t="s">
        <v>946</v>
      </c>
      <c r="J1901" s="44">
        <f>YEAR(A1901)</f>
        <v>2023</v>
      </c>
    </row>
    <row r="1902" spans="1:10" ht="12" customHeight="1" x14ac:dyDescent="0.25">
      <c r="A1902" s="43">
        <v>45189</v>
      </c>
      <c r="B1902" s="47">
        <v>15823</v>
      </c>
      <c r="C1902" s="44" t="s">
        <v>907</v>
      </c>
      <c r="D1902" s="45">
        <v>100</v>
      </c>
      <c r="E1902" s="48" t="s">
        <v>145</v>
      </c>
      <c r="F1902" s="48" t="s">
        <v>116</v>
      </c>
      <c r="G1902" s="48" t="s">
        <v>91</v>
      </c>
      <c r="J1902" s="44">
        <f>YEAR(A1902)</f>
        <v>2023</v>
      </c>
    </row>
    <row r="1903" spans="1:10" ht="12" customHeight="1" x14ac:dyDescent="0.25">
      <c r="A1903" s="43">
        <v>45190</v>
      </c>
      <c r="B1903" s="47">
        <v>15824</v>
      </c>
      <c r="C1903" s="44" t="s">
        <v>768</v>
      </c>
      <c r="D1903" s="45">
        <v>-300.26</v>
      </c>
      <c r="E1903" s="48" t="s">
        <v>299</v>
      </c>
      <c r="F1903" s="48" t="s">
        <v>90</v>
      </c>
      <c r="G1903" s="48" t="s">
        <v>91</v>
      </c>
      <c r="H1903" s="44" t="s">
        <v>402</v>
      </c>
      <c r="I1903" s="44" t="s">
        <v>949</v>
      </c>
      <c r="J1903" s="44">
        <f>YEAR(A1903)</f>
        <v>2023</v>
      </c>
    </row>
    <row r="1904" spans="1:10" ht="12" customHeight="1" x14ac:dyDescent="0.25">
      <c r="A1904" s="43">
        <v>45190</v>
      </c>
      <c r="B1904" s="47">
        <v>15824</v>
      </c>
      <c r="C1904" s="44" t="s">
        <v>767</v>
      </c>
      <c r="D1904" s="45">
        <v>300.26</v>
      </c>
      <c r="E1904" s="48" t="s">
        <v>244</v>
      </c>
      <c r="F1904" s="48" t="s">
        <v>90</v>
      </c>
      <c r="G1904" s="48" t="s">
        <v>114</v>
      </c>
      <c r="J1904" s="44">
        <f>YEAR(A1904)</f>
        <v>2023</v>
      </c>
    </row>
    <row r="1905" spans="1:10" ht="12" customHeight="1" x14ac:dyDescent="0.25">
      <c r="A1905" s="43">
        <v>45191</v>
      </c>
      <c r="B1905" s="47">
        <v>15825</v>
      </c>
      <c r="C1905" s="44" t="s">
        <v>908</v>
      </c>
      <c r="D1905" s="45">
        <v>-1601</v>
      </c>
      <c r="E1905" s="48" t="s">
        <v>299</v>
      </c>
      <c r="F1905" s="48" t="s">
        <v>90</v>
      </c>
      <c r="G1905" s="48" t="s">
        <v>91</v>
      </c>
      <c r="H1905" s="44">
        <v>4073</v>
      </c>
      <c r="I1905" s="44" t="s">
        <v>949</v>
      </c>
      <c r="J1905" s="44">
        <f>YEAR(A1905)</f>
        <v>2023</v>
      </c>
    </row>
    <row r="1906" spans="1:10" ht="12" customHeight="1" x14ac:dyDescent="0.25">
      <c r="A1906" s="43">
        <v>45191</v>
      </c>
      <c r="B1906" s="47">
        <v>15825</v>
      </c>
      <c r="C1906" s="44" t="s">
        <v>908</v>
      </c>
      <c r="D1906" s="45">
        <v>1601</v>
      </c>
      <c r="E1906" s="48" t="s">
        <v>139</v>
      </c>
      <c r="F1906" s="48" t="s">
        <v>128</v>
      </c>
      <c r="G1906" s="48" t="s">
        <v>91</v>
      </c>
      <c r="J1906" s="44">
        <f>YEAR(A1906)</f>
        <v>2023</v>
      </c>
    </row>
    <row r="1907" spans="1:10" ht="12" customHeight="1" x14ac:dyDescent="0.25">
      <c r="A1907" s="43">
        <v>45191</v>
      </c>
      <c r="B1907" s="47">
        <v>15826</v>
      </c>
      <c r="C1907" s="44" t="s">
        <v>915</v>
      </c>
      <c r="D1907" s="45">
        <v>-203.44</v>
      </c>
      <c r="E1907" s="48" t="s">
        <v>299</v>
      </c>
      <c r="F1907" s="48" t="s">
        <v>90</v>
      </c>
      <c r="G1907" s="48" t="s">
        <v>91</v>
      </c>
      <c r="H1907" s="44" t="s">
        <v>402</v>
      </c>
      <c r="I1907" s="44" t="s">
        <v>949</v>
      </c>
      <c r="J1907" s="44">
        <f>YEAR(A1907)</f>
        <v>2023</v>
      </c>
    </row>
    <row r="1908" spans="1:10" ht="12" customHeight="1" x14ac:dyDescent="0.25">
      <c r="A1908" s="43">
        <v>45184</v>
      </c>
      <c r="B1908" s="47">
        <v>15826</v>
      </c>
      <c r="C1908" s="44" t="s">
        <v>909</v>
      </c>
      <c r="D1908" s="45">
        <v>28</v>
      </c>
      <c r="E1908" s="48" t="s">
        <v>89</v>
      </c>
      <c r="F1908" s="48" t="s">
        <v>96</v>
      </c>
      <c r="G1908" s="48" t="s">
        <v>91</v>
      </c>
      <c r="J1908" s="44">
        <f>YEAR(A1908)</f>
        <v>2023</v>
      </c>
    </row>
    <row r="1909" spans="1:10" ht="12" customHeight="1" x14ac:dyDescent="0.25">
      <c r="A1909" s="43">
        <v>45184</v>
      </c>
      <c r="B1909" s="47">
        <v>15826</v>
      </c>
      <c r="C1909" s="44" t="s">
        <v>910</v>
      </c>
      <c r="D1909" s="45">
        <v>15.6</v>
      </c>
      <c r="E1909" s="48" t="s">
        <v>89</v>
      </c>
      <c r="F1909" s="48" t="s">
        <v>96</v>
      </c>
      <c r="G1909" s="48" t="s">
        <v>91</v>
      </c>
      <c r="J1909" s="44">
        <f>YEAR(A1909)</f>
        <v>2023</v>
      </c>
    </row>
    <row r="1910" spans="1:10" ht="12" customHeight="1" x14ac:dyDescent="0.25">
      <c r="A1910" s="43">
        <v>45185</v>
      </c>
      <c r="B1910" s="47">
        <v>15826</v>
      </c>
      <c r="C1910" s="44" t="s">
        <v>451</v>
      </c>
      <c r="D1910" s="45">
        <v>2.2000000000000002</v>
      </c>
      <c r="E1910" s="48" t="s">
        <v>89</v>
      </c>
      <c r="F1910" s="48" t="s">
        <v>90</v>
      </c>
      <c r="G1910" s="48" t="s">
        <v>91</v>
      </c>
      <c r="J1910" s="44">
        <f>YEAR(A1910)</f>
        <v>2023</v>
      </c>
    </row>
    <row r="1911" spans="1:10" ht="12" customHeight="1" x14ac:dyDescent="0.25">
      <c r="A1911" s="43">
        <v>45186</v>
      </c>
      <c r="B1911" s="47">
        <v>15826</v>
      </c>
      <c r="C1911" s="44" t="s">
        <v>451</v>
      </c>
      <c r="D1911" s="45">
        <v>9.75</v>
      </c>
      <c r="E1911" s="48" t="s">
        <v>89</v>
      </c>
      <c r="F1911" s="48" t="s">
        <v>90</v>
      </c>
      <c r="G1911" s="48" t="s">
        <v>91</v>
      </c>
      <c r="J1911" s="44">
        <f>YEAR(A1911)</f>
        <v>2023</v>
      </c>
    </row>
    <row r="1912" spans="1:10" ht="12" customHeight="1" x14ac:dyDescent="0.25">
      <c r="A1912" s="43">
        <v>45189</v>
      </c>
      <c r="B1912" s="47">
        <v>15826</v>
      </c>
      <c r="C1912" s="44" t="s">
        <v>911</v>
      </c>
      <c r="D1912" s="45">
        <v>100</v>
      </c>
      <c r="E1912" s="48" t="s">
        <v>139</v>
      </c>
      <c r="F1912" s="48" t="s">
        <v>128</v>
      </c>
      <c r="G1912" s="48" t="s">
        <v>91</v>
      </c>
      <c r="J1912" s="44">
        <f>YEAR(A1912)</f>
        <v>2023</v>
      </c>
    </row>
    <row r="1913" spans="1:10" ht="12" customHeight="1" x14ac:dyDescent="0.25">
      <c r="A1913" s="43">
        <v>45191</v>
      </c>
      <c r="B1913" s="47">
        <v>15826</v>
      </c>
      <c r="C1913" s="44" t="s">
        <v>449</v>
      </c>
      <c r="D1913" s="45">
        <v>7.56</v>
      </c>
      <c r="E1913" s="48" t="s">
        <v>89</v>
      </c>
      <c r="F1913" s="48" t="s">
        <v>90</v>
      </c>
      <c r="G1913" s="48" t="s">
        <v>91</v>
      </c>
      <c r="J1913" s="44">
        <f>YEAR(A1913)</f>
        <v>2023</v>
      </c>
    </row>
    <row r="1914" spans="1:10" ht="12" customHeight="1" x14ac:dyDescent="0.25">
      <c r="A1914" s="43">
        <v>45191</v>
      </c>
      <c r="B1914" s="47">
        <v>15826</v>
      </c>
      <c r="C1914" s="44" t="s">
        <v>912</v>
      </c>
      <c r="D1914" s="45">
        <v>11.24</v>
      </c>
      <c r="E1914" s="48" t="s">
        <v>197</v>
      </c>
      <c r="F1914" s="48" t="s">
        <v>96</v>
      </c>
      <c r="G1914" s="48" t="s">
        <v>91</v>
      </c>
      <c r="J1914" s="44">
        <f>YEAR(A1914)</f>
        <v>2023</v>
      </c>
    </row>
    <row r="1915" spans="1:10" ht="12" customHeight="1" x14ac:dyDescent="0.25">
      <c r="A1915" s="43">
        <v>45191</v>
      </c>
      <c r="B1915" s="47">
        <v>15826</v>
      </c>
      <c r="C1915" s="44" t="s">
        <v>913</v>
      </c>
      <c r="D1915" s="45">
        <v>5.37</v>
      </c>
      <c r="E1915" s="48" t="s">
        <v>157</v>
      </c>
      <c r="F1915" s="48" t="s">
        <v>96</v>
      </c>
      <c r="G1915" s="48" t="s">
        <v>91</v>
      </c>
      <c r="J1915" s="44">
        <f>YEAR(A1915)</f>
        <v>2023</v>
      </c>
    </row>
    <row r="1916" spans="1:10" ht="12" customHeight="1" x14ac:dyDescent="0.25">
      <c r="A1916" s="43">
        <v>45191</v>
      </c>
      <c r="B1916" s="47">
        <v>15826</v>
      </c>
      <c r="C1916" s="44" t="s">
        <v>914</v>
      </c>
      <c r="D1916" s="45">
        <v>3.76</v>
      </c>
      <c r="E1916" s="48" t="s">
        <v>139</v>
      </c>
      <c r="F1916" s="48" t="s">
        <v>90</v>
      </c>
      <c r="G1916" s="48" t="s">
        <v>91</v>
      </c>
      <c r="J1916" s="44">
        <f>YEAR(A1916)</f>
        <v>2023</v>
      </c>
    </row>
    <row r="1917" spans="1:10" ht="12" customHeight="1" x14ac:dyDescent="0.25">
      <c r="A1917" s="43">
        <v>45191</v>
      </c>
      <c r="B1917" s="47">
        <v>15826</v>
      </c>
      <c r="C1917" s="44" t="s">
        <v>502</v>
      </c>
      <c r="D1917" s="45">
        <v>19.96</v>
      </c>
      <c r="E1917" s="48" t="s">
        <v>89</v>
      </c>
      <c r="F1917" s="48" t="s">
        <v>90</v>
      </c>
      <c r="G1917" s="48" t="s">
        <v>91</v>
      </c>
      <c r="J1917" s="44">
        <f>YEAR(A1917)</f>
        <v>2023</v>
      </c>
    </row>
    <row r="1918" spans="1:10" ht="12" customHeight="1" x14ac:dyDescent="0.25">
      <c r="A1918" s="43">
        <v>45188</v>
      </c>
      <c r="B1918" s="47">
        <v>15827</v>
      </c>
      <c r="C1918" s="44" t="s">
        <v>448</v>
      </c>
      <c r="D1918" s="45">
        <v>10.9</v>
      </c>
      <c r="E1918" s="48" t="s">
        <v>180</v>
      </c>
      <c r="F1918" s="48" t="s">
        <v>90</v>
      </c>
      <c r="G1918" s="48" t="s">
        <v>91</v>
      </c>
      <c r="J1918" s="44">
        <f>YEAR(A1918)</f>
        <v>2023</v>
      </c>
    </row>
    <row r="1919" spans="1:10" ht="12" customHeight="1" x14ac:dyDescent="0.25">
      <c r="A1919" s="43">
        <v>45188</v>
      </c>
      <c r="B1919" s="47">
        <v>15827</v>
      </c>
      <c r="C1919" s="44" t="s">
        <v>448</v>
      </c>
      <c r="D1919" s="45">
        <v>-10.9</v>
      </c>
      <c r="E1919" s="48" t="s">
        <v>299</v>
      </c>
      <c r="F1919" s="48" t="s">
        <v>90</v>
      </c>
      <c r="G1919" s="48" t="s">
        <v>305</v>
      </c>
      <c r="I1919" s="44" t="s">
        <v>946</v>
      </c>
      <c r="J1919" s="44">
        <f>YEAR(A1919)</f>
        <v>2023</v>
      </c>
    </row>
    <row r="1920" spans="1:10" ht="12" customHeight="1" x14ac:dyDescent="0.25">
      <c r="A1920" s="43">
        <v>45190</v>
      </c>
      <c r="B1920" s="47">
        <v>15828</v>
      </c>
      <c r="C1920" s="44" t="s">
        <v>468</v>
      </c>
      <c r="D1920" s="45">
        <v>3.29</v>
      </c>
      <c r="E1920" s="48" t="s">
        <v>197</v>
      </c>
      <c r="F1920" s="48" t="s">
        <v>90</v>
      </c>
      <c r="G1920" s="48" t="s">
        <v>91</v>
      </c>
      <c r="J1920" s="44">
        <f>YEAR(A1920)</f>
        <v>2023</v>
      </c>
    </row>
    <row r="1921" spans="1:10" ht="12" customHeight="1" x14ac:dyDescent="0.25">
      <c r="A1921" s="43">
        <v>45190</v>
      </c>
      <c r="B1921" s="47">
        <v>15828</v>
      </c>
      <c r="C1921" s="44" t="s">
        <v>468</v>
      </c>
      <c r="D1921" s="45">
        <v>-3.29</v>
      </c>
      <c r="E1921" s="48" t="s">
        <v>299</v>
      </c>
      <c r="F1921" s="48" t="s">
        <v>90</v>
      </c>
      <c r="G1921" s="48" t="s">
        <v>305</v>
      </c>
      <c r="I1921" s="44" t="s">
        <v>946</v>
      </c>
      <c r="J1921" s="44">
        <f>YEAR(A1921)</f>
        <v>2023</v>
      </c>
    </row>
    <row r="1922" spans="1:10" ht="12" customHeight="1" x14ac:dyDescent="0.25">
      <c r="A1922" s="43">
        <v>45190</v>
      </c>
      <c r="B1922" s="47">
        <v>15829</v>
      </c>
      <c r="C1922" s="44" t="s">
        <v>468</v>
      </c>
      <c r="D1922" s="45">
        <v>3.29</v>
      </c>
      <c r="E1922" s="48" t="s">
        <v>197</v>
      </c>
      <c r="F1922" s="48" t="s">
        <v>90</v>
      </c>
      <c r="G1922" s="48" t="s">
        <v>91</v>
      </c>
      <c r="J1922" s="44">
        <f>YEAR(A1922)</f>
        <v>2023</v>
      </c>
    </row>
    <row r="1923" spans="1:10" ht="12" customHeight="1" x14ac:dyDescent="0.25">
      <c r="A1923" s="43">
        <v>45190</v>
      </c>
      <c r="B1923" s="47">
        <v>15829</v>
      </c>
      <c r="C1923" s="44" t="s">
        <v>468</v>
      </c>
      <c r="D1923" s="45">
        <v>-3.29</v>
      </c>
      <c r="E1923" s="48" t="s">
        <v>299</v>
      </c>
      <c r="F1923" s="48" t="s">
        <v>90</v>
      </c>
      <c r="G1923" s="48" t="s">
        <v>305</v>
      </c>
      <c r="I1923" s="44" t="s">
        <v>946</v>
      </c>
      <c r="J1923" s="44">
        <f>YEAR(A1923)</f>
        <v>2023</v>
      </c>
    </row>
    <row r="1924" spans="1:10" ht="12" customHeight="1" x14ac:dyDescent="0.25">
      <c r="A1924" s="43">
        <v>45190</v>
      </c>
      <c r="B1924" s="47">
        <v>15830</v>
      </c>
      <c r="C1924" s="44" t="s">
        <v>501</v>
      </c>
      <c r="D1924" s="45">
        <v>4.95</v>
      </c>
      <c r="E1924" s="48" t="s">
        <v>89</v>
      </c>
      <c r="F1924" s="48" t="s">
        <v>90</v>
      </c>
      <c r="G1924" s="48" t="s">
        <v>91</v>
      </c>
      <c r="J1924" s="44">
        <f>YEAR(A1924)</f>
        <v>2023</v>
      </c>
    </row>
    <row r="1925" spans="1:10" ht="12" customHeight="1" x14ac:dyDescent="0.25">
      <c r="A1925" s="43">
        <v>45190</v>
      </c>
      <c r="B1925" s="47">
        <v>15830</v>
      </c>
      <c r="C1925" s="44" t="s">
        <v>501</v>
      </c>
      <c r="D1925" s="45">
        <v>-4.95</v>
      </c>
      <c r="E1925" s="48" t="s">
        <v>299</v>
      </c>
      <c r="F1925" s="48" t="s">
        <v>90</v>
      </c>
      <c r="G1925" s="48" t="s">
        <v>305</v>
      </c>
      <c r="I1925" s="44" t="s">
        <v>946</v>
      </c>
      <c r="J1925" s="44">
        <f>YEAR(A1925)</f>
        <v>2023</v>
      </c>
    </row>
    <row r="1926" spans="1:10" ht="12" customHeight="1" x14ac:dyDescent="0.25">
      <c r="A1926" s="43">
        <v>45190</v>
      </c>
      <c r="B1926" s="47">
        <v>15831</v>
      </c>
      <c r="C1926" s="44" t="s">
        <v>444</v>
      </c>
      <c r="D1926" s="45">
        <v>-70.010000000000005</v>
      </c>
      <c r="E1926" s="48" t="s">
        <v>299</v>
      </c>
      <c r="F1926" s="48" t="s">
        <v>90</v>
      </c>
      <c r="G1926" s="48" t="s">
        <v>91</v>
      </c>
      <c r="H1926" s="44" t="s">
        <v>459</v>
      </c>
      <c r="I1926" s="44" t="s">
        <v>949</v>
      </c>
      <c r="J1926" s="44">
        <f>YEAR(A1926)</f>
        <v>2023</v>
      </c>
    </row>
    <row r="1927" spans="1:10" ht="12" customHeight="1" x14ac:dyDescent="0.25">
      <c r="A1927" s="43">
        <v>45190</v>
      </c>
      <c r="B1927" s="47">
        <v>15831</v>
      </c>
      <c r="C1927" s="44" t="s">
        <v>444</v>
      </c>
      <c r="D1927" s="45">
        <v>39.200000000000003</v>
      </c>
      <c r="E1927" s="48" t="s">
        <v>89</v>
      </c>
      <c r="F1927" s="48" t="s">
        <v>90</v>
      </c>
      <c r="G1927" s="48" t="s">
        <v>91</v>
      </c>
      <c r="J1927" s="44">
        <f>YEAR(A1927)</f>
        <v>2023</v>
      </c>
    </row>
    <row r="1928" spans="1:10" ht="12" customHeight="1" x14ac:dyDescent="0.25">
      <c r="A1928" s="43">
        <v>45190</v>
      </c>
      <c r="B1928" s="47">
        <v>15831</v>
      </c>
      <c r="C1928" s="44" t="s">
        <v>444</v>
      </c>
      <c r="D1928" s="45">
        <v>30.81</v>
      </c>
      <c r="E1928" s="48" t="s">
        <v>89</v>
      </c>
      <c r="F1928" s="48" t="s">
        <v>90</v>
      </c>
      <c r="G1928" s="48" t="s">
        <v>91</v>
      </c>
      <c r="J1928" s="44">
        <f>YEAR(A1928)</f>
        <v>2023</v>
      </c>
    </row>
    <row r="1929" spans="1:10" ht="12" customHeight="1" x14ac:dyDescent="0.25">
      <c r="A1929" s="43">
        <v>45191</v>
      </c>
      <c r="B1929" s="47">
        <v>15832</v>
      </c>
      <c r="C1929" s="44" t="s">
        <v>503</v>
      </c>
      <c r="D1929" s="45">
        <v>8.93</v>
      </c>
      <c r="E1929" s="48" t="s">
        <v>89</v>
      </c>
      <c r="F1929" s="48" t="s">
        <v>90</v>
      </c>
      <c r="G1929" s="48" t="s">
        <v>91</v>
      </c>
      <c r="J1929" s="44">
        <f>YEAR(A1929)</f>
        <v>2023</v>
      </c>
    </row>
    <row r="1930" spans="1:10" ht="12" customHeight="1" x14ac:dyDescent="0.25">
      <c r="A1930" s="43">
        <v>45191</v>
      </c>
      <c r="B1930" s="47">
        <v>15832</v>
      </c>
      <c r="C1930" s="44" t="s">
        <v>503</v>
      </c>
      <c r="D1930" s="45">
        <v>-8.93</v>
      </c>
      <c r="E1930" s="48" t="s">
        <v>299</v>
      </c>
      <c r="F1930" s="48" t="s">
        <v>90</v>
      </c>
      <c r="G1930" s="48" t="s">
        <v>305</v>
      </c>
      <c r="I1930" s="44" t="s">
        <v>946</v>
      </c>
      <c r="J1930" s="44">
        <f>YEAR(A1930)</f>
        <v>2023</v>
      </c>
    </row>
    <row r="1931" spans="1:10" ht="12" customHeight="1" x14ac:dyDescent="0.25">
      <c r="A1931" s="43">
        <v>45191</v>
      </c>
      <c r="B1931" s="47">
        <v>15833</v>
      </c>
      <c r="C1931" s="44" t="s">
        <v>463</v>
      </c>
      <c r="D1931" s="45">
        <v>33.74</v>
      </c>
      <c r="E1931" s="48" t="s">
        <v>89</v>
      </c>
      <c r="F1931" s="48" t="s">
        <v>90</v>
      </c>
      <c r="G1931" s="48" t="s">
        <v>91</v>
      </c>
      <c r="J1931" s="44">
        <f>YEAR(A1931)</f>
        <v>2023</v>
      </c>
    </row>
    <row r="1932" spans="1:10" ht="12" customHeight="1" x14ac:dyDescent="0.25">
      <c r="A1932" s="43">
        <v>45191</v>
      </c>
      <c r="B1932" s="47">
        <v>15833</v>
      </c>
      <c r="C1932" s="44" t="s">
        <v>463</v>
      </c>
      <c r="D1932" s="45">
        <v>-33.74</v>
      </c>
      <c r="E1932" s="48" t="s">
        <v>299</v>
      </c>
      <c r="F1932" s="48" t="s">
        <v>90</v>
      </c>
      <c r="G1932" s="48" t="s">
        <v>305</v>
      </c>
      <c r="I1932" s="44" t="s">
        <v>946</v>
      </c>
      <c r="J1932" s="44">
        <f>YEAR(A1932)</f>
        <v>2023</v>
      </c>
    </row>
    <row r="1933" spans="1:10" ht="12" customHeight="1" x14ac:dyDescent="0.25">
      <c r="A1933" s="43">
        <v>45191</v>
      </c>
      <c r="B1933" s="47">
        <v>15834</v>
      </c>
      <c r="C1933" s="44" t="s">
        <v>443</v>
      </c>
      <c r="D1933" s="45">
        <v>8.35</v>
      </c>
      <c r="E1933" s="48" t="s">
        <v>89</v>
      </c>
      <c r="F1933" s="48" t="s">
        <v>90</v>
      </c>
      <c r="G1933" s="48" t="s">
        <v>91</v>
      </c>
      <c r="J1933" s="44">
        <f>YEAR(A1933)</f>
        <v>2023</v>
      </c>
    </row>
    <row r="1934" spans="1:10" ht="12" customHeight="1" x14ac:dyDescent="0.25">
      <c r="A1934" s="43">
        <v>45191</v>
      </c>
      <c r="B1934" s="47">
        <v>15834</v>
      </c>
      <c r="C1934" s="44" t="s">
        <v>443</v>
      </c>
      <c r="D1934" s="45">
        <v>-8.35</v>
      </c>
      <c r="E1934" s="48" t="s">
        <v>299</v>
      </c>
      <c r="F1934" s="48" t="s">
        <v>90</v>
      </c>
      <c r="G1934" s="48" t="s">
        <v>305</v>
      </c>
      <c r="I1934" s="44" t="s">
        <v>946</v>
      </c>
      <c r="J1934" s="44">
        <f>YEAR(A1934)</f>
        <v>2023</v>
      </c>
    </row>
    <row r="1935" spans="1:10" ht="12" customHeight="1" x14ac:dyDescent="0.25">
      <c r="A1935" s="43">
        <v>45191</v>
      </c>
      <c r="B1935" s="47">
        <v>15835</v>
      </c>
      <c r="C1935" s="44" t="s">
        <v>647</v>
      </c>
      <c r="D1935" s="45">
        <v>75</v>
      </c>
      <c r="E1935" s="48" t="s">
        <v>197</v>
      </c>
      <c r="F1935" s="48" t="s">
        <v>90</v>
      </c>
      <c r="G1935" s="48" t="s">
        <v>99</v>
      </c>
      <c r="J1935" s="44">
        <f>YEAR(A1935)</f>
        <v>2023</v>
      </c>
    </row>
    <row r="1936" spans="1:10" ht="12" customHeight="1" x14ac:dyDescent="0.25">
      <c r="A1936" s="43">
        <v>45191</v>
      </c>
      <c r="B1936" s="47">
        <v>15835</v>
      </c>
      <c r="C1936" s="44" t="s">
        <v>647</v>
      </c>
      <c r="D1936" s="45">
        <v>-75</v>
      </c>
      <c r="E1936" s="48" t="s">
        <v>299</v>
      </c>
      <c r="F1936" s="48" t="s">
        <v>90</v>
      </c>
      <c r="G1936" s="48" t="s">
        <v>91</v>
      </c>
      <c r="H1936" s="44">
        <v>4074</v>
      </c>
      <c r="I1936" s="44" t="s">
        <v>949</v>
      </c>
      <c r="J1936" s="44">
        <f>YEAR(A1936)</f>
        <v>2023</v>
      </c>
    </row>
    <row r="1937" spans="1:10" ht="12" customHeight="1" x14ac:dyDescent="0.25">
      <c r="A1937" s="43">
        <v>45192</v>
      </c>
      <c r="B1937" s="47">
        <v>15836</v>
      </c>
      <c r="C1937" s="44" t="s">
        <v>444</v>
      </c>
      <c r="D1937" s="45">
        <v>-70.010000000000005</v>
      </c>
      <c r="E1937" s="48" t="s">
        <v>299</v>
      </c>
      <c r="F1937" s="48" t="s">
        <v>90</v>
      </c>
      <c r="G1937" s="48" t="s">
        <v>91</v>
      </c>
      <c r="H1937" s="44" t="s">
        <v>459</v>
      </c>
      <c r="I1937" s="44" t="s">
        <v>949</v>
      </c>
      <c r="J1937" s="44">
        <f>YEAR(A1937)</f>
        <v>2023</v>
      </c>
    </row>
    <row r="1938" spans="1:10" ht="12" customHeight="1" x14ac:dyDescent="0.25">
      <c r="A1938" s="43">
        <v>45192</v>
      </c>
      <c r="B1938" s="47">
        <v>15836</v>
      </c>
      <c r="C1938" s="44" t="s">
        <v>444</v>
      </c>
      <c r="D1938" s="45">
        <v>70.010000000000005</v>
      </c>
      <c r="E1938" s="48" t="s">
        <v>180</v>
      </c>
      <c r="F1938" s="48" t="s">
        <v>96</v>
      </c>
      <c r="G1938" s="48" t="s">
        <v>186</v>
      </c>
      <c r="J1938" s="44">
        <f>YEAR(A1938)</f>
        <v>2023</v>
      </c>
    </row>
    <row r="1939" spans="1:10" ht="12" customHeight="1" x14ac:dyDescent="0.25">
      <c r="A1939" s="43">
        <v>45192</v>
      </c>
      <c r="B1939" s="47">
        <v>15837</v>
      </c>
      <c r="C1939" s="44" t="s">
        <v>480</v>
      </c>
      <c r="D1939" s="45">
        <v>21</v>
      </c>
      <c r="E1939" s="48" t="s">
        <v>89</v>
      </c>
      <c r="F1939" s="48" t="s">
        <v>101</v>
      </c>
      <c r="G1939" s="48" t="s">
        <v>91</v>
      </c>
      <c r="J1939" s="44">
        <f>YEAR(A1939)</f>
        <v>2023</v>
      </c>
    </row>
    <row r="1940" spans="1:10" ht="12" customHeight="1" x14ac:dyDescent="0.25">
      <c r="A1940" s="43">
        <v>45192</v>
      </c>
      <c r="B1940" s="47">
        <v>15837</v>
      </c>
      <c r="C1940" s="44" t="s">
        <v>480</v>
      </c>
      <c r="D1940" s="45">
        <v>-31.66</v>
      </c>
      <c r="E1940" s="48" t="s">
        <v>299</v>
      </c>
      <c r="F1940" s="48" t="s">
        <v>90</v>
      </c>
      <c r="G1940" s="48" t="s">
        <v>305</v>
      </c>
      <c r="I1940" s="44" t="s">
        <v>946</v>
      </c>
      <c r="J1940" s="44">
        <f>YEAR(A1940)</f>
        <v>2023</v>
      </c>
    </row>
    <row r="1941" spans="1:10" ht="12" customHeight="1" x14ac:dyDescent="0.25">
      <c r="A1941" s="43">
        <v>45192</v>
      </c>
      <c r="B1941" s="47">
        <v>15837</v>
      </c>
      <c r="C1941" s="44" t="s">
        <v>480</v>
      </c>
      <c r="D1941" s="45">
        <v>10.66</v>
      </c>
      <c r="E1941" s="48" t="s">
        <v>89</v>
      </c>
      <c r="F1941" s="48" t="s">
        <v>90</v>
      </c>
      <c r="G1941" s="48" t="s">
        <v>91</v>
      </c>
      <c r="J1941" s="44">
        <f>YEAR(A1941)</f>
        <v>2023</v>
      </c>
    </row>
    <row r="1942" spans="1:10" ht="12" customHeight="1" x14ac:dyDescent="0.25">
      <c r="A1942" s="43">
        <v>45193</v>
      </c>
      <c r="B1942" s="47">
        <v>15838</v>
      </c>
      <c r="C1942" s="44" t="s">
        <v>916</v>
      </c>
      <c r="D1942" s="45">
        <v>-3.5</v>
      </c>
      <c r="E1942" s="48" t="s">
        <v>299</v>
      </c>
      <c r="F1942" s="48" t="s">
        <v>90</v>
      </c>
      <c r="G1942" s="48" t="s">
        <v>305</v>
      </c>
      <c r="I1942" s="44" t="s">
        <v>946</v>
      </c>
      <c r="J1942" s="44">
        <f>YEAR(A1942)</f>
        <v>2023</v>
      </c>
    </row>
    <row r="1943" spans="1:10" ht="12" customHeight="1" x14ac:dyDescent="0.25">
      <c r="A1943" s="43">
        <v>45193</v>
      </c>
      <c r="B1943" s="47">
        <v>15838</v>
      </c>
      <c r="C1943" s="44" t="s">
        <v>916</v>
      </c>
      <c r="D1943" s="45">
        <v>3.5</v>
      </c>
      <c r="E1943" s="48" t="s">
        <v>157</v>
      </c>
      <c r="F1943" s="48" t="s">
        <v>96</v>
      </c>
      <c r="G1943" s="48" t="s">
        <v>91</v>
      </c>
      <c r="J1943" s="44">
        <f>YEAR(A1943)</f>
        <v>2023</v>
      </c>
    </row>
    <row r="1944" spans="1:10" ht="12" customHeight="1" x14ac:dyDescent="0.25">
      <c r="A1944" s="43">
        <v>45168</v>
      </c>
      <c r="B1944" s="47">
        <v>15839</v>
      </c>
      <c r="C1944" s="44" t="s">
        <v>918</v>
      </c>
      <c r="D1944" s="45">
        <v>14.7</v>
      </c>
      <c r="E1944" s="48" t="s">
        <v>180</v>
      </c>
      <c r="F1944" s="48" t="s">
        <v>128</v>
      </c>
      <c r="G1944" s="48" t="s">
        <v>99</v>
      </c>
      <c r="J1944" s="44">
        <f>YEAR(A1944)</f>
        <v>2023</v>
      </c>
    </row>
    <row r="1945" spans="1:10" ht="12" customHeight="1" x14ac:dyDescent="0.25">
      <c r="A1945" s="43">
        <v>45168</v>
      </c>
      <c r="B1945" s="47">
        <v>15839</v>
      </c>
      <c r="C1945" s="44" t="s">
        <v>918</v>
      </c>
      <c r="D1945" s="45">
        <v>-14.7</v>
      </c>
      <c r="E1945" s="48" t="s">
        <v>299</v>
      </c>
      <c r="F1945" s="48" t="s">
        <v>90</v>
      </c>
      <c r="G1945" s="48" t="s">
        <v>305</v>
      </c>
      <c r="I1945" s="44" t="s">
        <v>917</v>
      </c>
      <c r="J1945" s="44">
        <f>YEAR(A1945)</f>
        <v>2023</v>
      </c>
    </row>
    <row r="1946" spans="1:10" ht="12" customHeight="1" x14ac:dyDescent="0.25">
      <c r="A1946" s="43">
        <v>45174</v>
      </c>
      <c r="B1946" s="47">
        <v>15840</v>
      </c>
      <c r="C1946" s="44" t="s">
        <v>417</v>
      </c>
      <c r="D1946" s="45">
        <v>-2222.91</v>
      </c>
      <c r="E1946" s="48" t="s">
        <v>299</v>
      </c>
      <c r="F1946" s="48" t="s">
        <v>90</v>
      </c>
      <c r="G1946" s="48" t="s">
        <v>91</v>
      </c>
      <c r="I1946" s="44" t="s">
        <v>920</v>
      </c>
      <c r="J1946" s="44">
        <f>YEAR(A1946)</f>
        <v>2023</v>
      </c>
    </row>
    <row r="1947" spans="1:10" ht="12" customHeight="1" x14ac:dyDescent="0.25">
      <c r="A1947" s="43">
        <v>45174</v>
      </c>
      <c r="B1947" s="47">
        <v>15840</v>
      </c>
      <c r="C1947" s="44" t="s">
        <v>417</v>
      </c>
      <c r="D1947" s="45">
        <v>2222.91</v>
      </c>
      <c r="E1947" s="48" t="s">
        <v>299</v>
      </c>
      <c r="F1947" s="48" t="s">
        <v>90</v>
      </c>
      <c r="G1947" s="48" t="s">
        <v>305</v>
      </c>
      <c r="I1947" s="44" t="s">
        <v>919</v>
      </c>
      <c r="J1947" s="44">
        <f>YEAR(A1947)</f>
        <v>2023</v>
      </c>
    </row>
    <row r="1948" spans="1:10" ht="12" customHeight="1" x14ac:dyDescent="0.25">
      <c r="A1948" s="43">
        <v>45176</v>
      </c>
      <c r="B1948" s="47">
        <v>15841</v>
      </c>
      <c r="C1948" s="44" t="s">
        <v>440</v>
      </c>
      <c r="D1948" s="45">
        <v>282.66000000000003</v>
      </c>
      <c r="E1948" s="48" t="s">
        <v>124</v>
      </c>
      <c r="F1948" s="48" t="s">
        <v>90</v>
      </c>
      <c r="G1948" s="48" t="s">
        <v>91</v>
      </c>
      <c r="J1948" s="44">
        <f>YEAR(A1948)</f>
        <v>2023</v>
      </c>
    </row>
    <row r="1949" spans="1:10" ht="12" customHeight="1" x14ac:dyDescent="0.25">
      <c r="A1949" s="43">
        <v>45176</v>
      </c>
      <c r="B1949" s="47">
        <v>15841</v>
      </c>
      <c r="C1949" s="44" t="s">
        <v>440</v>
      </c>
      <c r="D1949" s="45">
        <v>-282.66000000000003</v>
      </c>
      <c r="E1949" s="48" t="s">
        <v>299</v>
      </c>
      <c r="F1949" s="48" t="s">
        <v>90</v>
      </c>
      <c r="G1949" s="48" t="s">
        <v>91</v>
      </c>
      <c r="H1949" s="44" t="s">
        <v>391</v>
      </c>
      <c r="I1949" s="44" t="s">
        <v>920</v>
      </c>
      <c r="J1949" s="44">
        <f>YEAR(A1949)</f>
        <v>2023</v>
      </c>
    </row>
    <row r="1950" spans="1:10" ht="12" customHeight="1" x14ac:dyDescent="0.25">
      <c r="A1950" s="43">
        <v>45173</v>
      </c>
      <c r="B1950" s="47">
        <v>15842</v>
      </c>
      <c r="C1950" s="44" t="s">
        <v>409</v>
      </c>
      <c r="D1950" s="45">
        <v>-3300</v>
      </c>
      <c r="E1950" s="48" t="s">
        <v>214</v>
      </c>
      <c r="F1950" s="48" t="s">
        <v>90</v>
      </c>
      <c r="G1950" s="48" t="s">
        <v>107</v>
      </c>
      <c r="J1950" s="44">
        <f>YEAR(A1950)</f>
        <v>2023</v>
      </c>
    </row>
    <row r="1951" spans="1:10" ht="12" customHeight="1" x14ac:dyDescent="0.25">
      <c r="A1951" s="43">
        <v>45173</v>
      </c>
      <c r="B1951" s="47">
        <v>15842</v>
      </c>
      <c r="C1951" s="44" t="s">
        <v>409</v>
      </c>
      <c r="D1951" s="45">
        <v>3300</v>
      </c>
      <c r="E1951" s="48" t="s">
        <v>299</v>
      </c>
      <c r="F1951" s="48" t="s">
        <v>90</v>
      </c>
      <c r="G1951" s="48" t="s">
        <v>91</v>
      </c>
      <c r="H1951" s="44" t="s">
        <v>398</v>
      </c>
      <c r="I1951" s="44" t="s">
        <v>921</v>
      </c>
      <c r="J1951" s="44">
        <f>YEAR(A1951)</f>
        <v>2023</v>
      </c>
    </row>
    <row r="1952" spans="1:10" ht="12" customHeight="1" x14ac:dyDescent="0.25">
      <c r="A1952" s="43">
        <v>45155</v>
      </c>
      <c r="B1952" s="47">
        <v>15843</v>
      </c>
      <c r="C1952" s="44" t="s">
        <v>390</v>
      </c>
      <c r="D1952" s="45">
        <v>6.3</v>
      </c>
      <c r="E1952" s="48" t="s">
        <v>124</v>
      </c>
      <c r="F1952" s="48" t="s">
        <v>128</v>
      </c>
      <c r="G1952" s="48" t="s">
        <v>91</v>
      </c>
      <c r="J1952" s="44">
        <f>YEAR(A1952)</f>
        <v>2023</v>
      </c>
    </row>
    <row r="1953" spans="1:10" ht="12" customHeight="1" x14ac:dyDescent="0.25">
      <c r="A1953" s="43">
        <v>45155</v>
      </c>
      <c r="B1953" s="47">
        <v>15843</v>
      </c>
      <c r="C1953" s="44" t="s">
        <v>390</v>
      </c>
      <c r="D1953" s="45">
        <v>-6.3</v>
      </c>
      <c r="E1953" s="48" t="s">
        <v>299</v>
      </c>
      <c r="F1953" s="48" t="s">
        <v>90</v>
      </c>
      <c r="G1953" s="48" t="s">
        <v>91</v>
      </c>
      <c r="H1953" s="44" t="s">
        <v>391</v>
      </c>
      <c r="I1953" s="44" t="s">
        <v>920</v>
      </c>
      <c r="J1953" s="44">
        <f>YEAR(A1953)</f>
        <v>2023</v>
      </c>
    </row>
    <row r="1954" spans="1:10" ht="12" customHeight="1" x14ac:dyDescent="0.25">
      <c r="A1954" s="43">
        <v>45155</v>
      </c>
      <c r="B1954" s="47">
        <v>15843</v>
      </c>
      <c r="C1954" s="44" t="s">
        <v>393</v>
      </c>
      <c r="D1954" s="45">
        <v>16.100000000000001</v>
      </c>
      <c r="E1954" s="48" t="s">
        <v>124</v>
      </c>
      <c r="F1954" s="48" t="s">
        <v>128</v>
      </c>
      <c r="G1954" s="48" t="s">
        <v>91</v>
      </c>
      <c r="J1954" s="44">
        <f>YEAR(A1954)</f>
        <v>2023</v>
      </c>
    </row>
    <row r="1955" spans="1:10" ht="12" customHeight="1" x14ac:dyDescent="0.25">
      <c r="A1955" s="43">
        <v>45155</v>
      </c>
      <c r="B1955" s="47">
        <v>15843</v>
      </c>
      <c r="C1955" s="44" t="s">
        <v>393</v>
      </c>
      <c r="D1955" s="45">
        <v>-16.100000000000001</v>
      </c>
      <c r="E1955" s="48" t="s">
        <v>299</v>
      </c>
      <c r="F1955" s="48" t="s">
        <v>90</v>
      </c>
      <c r="G1955" s="48" t="s">
        <v>91</v>
      </c>
      <c r="H1955" s="44" t="s">
        <v>391</v>
      </c>
      <c r="I1955" s="44" t="s">
        <v>920</v>
      </c>
      <c r="J1955" s="44">
        <f>YEAR(A1955)</f>
        <v>2023</v>
      </c>
    </row>
    <row r="1956" spans="1:10" ht="12" customHeight="1" x14ac:dyDescent="0.25">
      <c r="A1956" s="43">
        <v>45155</v>
      </c>
      <c r="B1956" s="47">
        <v>15843</v>
      </c>
      <c r="C1956" s="44" t="s">
        <v>394</v>
      </c>
      <c r="D1956" s="45">
        <v>0.49</v>
      </c>
      <c r="E1956" s="48" t="s">
        <v>124</v>
      </c>
      <c r="F1956" s="48" t="s">
        <v>128</v>
      </c>
      <c r="G1956" s="48" t="s">
        <v>91</v>
      </c>
      <c r="J1956" s="44">
        <f>YEAR(A1956)</f>
        <v>2023</v>
      </c>
    </row>
    <row r="1957" spans="1:10" ht="12" customHeight="1" x14ac:dyDescent="0.25">
      <c r="A1957" s="43">
        <v>45155</v>
      </c>
      <c r="B1957" s="47">
        <v>15843</v>
      </c>
      <c r="C1957" s="44" t="s">
        <v>394</v>
      </c>
      <c r="D1957" s="45">
        <v>-0.49</v>
      </c>
      <c r="E1957" s="48" t="s">
        <v>299</v>
      </c>
      <c r="F1957" s="48" t="s">
        <v>90</v>
      </c>
      <c r="G1957" s="48" t="s">
        <v>91</v>
      </c>
      <c r="H1957" s="44" t="s">
        <v>391</v>
      </c>
      <c r="I1957" s="44" t="s">
        <v>920</v>
      </c>
      <c r="J1957" s="44">
        <f>YEAR(A1957)</f>
        <v>2023</v>
      </c>
    </row>
    <row r="1958" spans="1:10" ht="12" customHeight="1" x14ac:dyDescent="0.25">
      <c r="A1958" s="43">
        <v>45155</v>
      </c>
      <c r="B1958" s="47">
        <v>15843</v>
      </c>
      <c r="C1958" s="44" t="s">
        <v>395</v>
      </c>
      <c r="D1958" s="45">
        <v>0.7</v>
      </c>
      <c r="E1958" s="48" t="s">
        <v>124</v>
      </c>
      <c r="F1958" s="48" t="s">
        <v>128</v>
      </c>
      <c r="G1958" s="48" t="s">
        <v>91</v>
      </c>
      <c r="J1958" s="44">
        <f>YEAR(A1958)</f>
        <v>2023</v>
      </c>
    </row>
    <row r="1959" spans="1:10" ht="12" customHeight="1" x14ac:dyDescent="0.25">
      <c r="A1959" s="43">
        <v>45155</v>
      </c>
      <c r="B1959" s="47">
        <v>15843</v>
      </c>
      <c r="C1959" s="44" t="s">
        <v>395</v>
      </c>
      <c r="D1959" s="45">
        <v>-0.7</v>
      </c>
      <c r="E1959" s="48" t="s">
        <v>299</v>
      </c>
      <c r="F1959" s="48" t="s">
        <v>90</v>
      </c>
      <c r="G1959" s="48" t="s">
        <v>91</v>
      </c>
      <c r="H1959" s="44" t="s">
        <v>391</v>
      </c>
      <c r="I1959" s="44" t="s">
        <v>920</v>
      </c>
      <c r="J1959" s="44">
        <f>YEAR(A1959)</f>
        <v>2023</v>
      </c>
    </row>
    <row r="1960" spans="1:10" ht="12" customHeight="1" x14ac:dyDescent="0.25">
      <c r="A1960" s="43">
        <v>45166</v>
      </c>
      <c r="B1960" s="47">
        <v>15844</v>
      </c>
      <c r="C1960" s="44" t="s">
        <v>396</v>
      </c>
      <c r="D1960" s="45">
        <v>35.770000000000003</v>
      </c>
      <c r="E1960" s="48" t="s">
        <v>157</v>
      </c>
      <c r="F1960" s="48" t="s">
        <v>155</v>
      </c>
      <c r="G1960" s="48" t="s">
        <v>94</v>
      </c>
      <c r="J1960" s="44">
        <f>YEAR(A1960)</f>
        <v>2023</v>
      </c>
    </row>
    <row r="1961" spans="1:10" ht="12" customHeight="1" x14ac:dyDescent="0.25">
      <c r="A1961" s="43">
        <v>45166</v>
      </c>
      <c r="B1961" s="47">
        <v>15844</v>
      </c>
      <c r="C1961" s="44" t="s">
        <v>396</v>
      </c>
      <c r="D1961" s="45">
        <v>-35.770000000000003</v>
      </c>
      <c r="E1961" s="48" t="s">
        <v>299</v>
      </c>
      <c r="F1961" s="48" t="s">
        <v>90</v>
      </c>
      <c r="G1961" s="48" t="s">
        <v>91</v>
      </c>
      <c r="H1961" s="44" t="s">
        <v>391</v>
      </c>
      <c r="I1961" s="44" t="s">
        <v>920</v>
      </c>
      <c r="J1961" s="44">
        <f>YEAR(A1961)</f>
        <v>2023</v>
      </c>
    </row>
    <row r="1962" spans="1:10" ht="12" customHeight="1" x14ac:dyDescent="0.25">
      <c r="A1962" s="43">
        <v>45154</v>
      </c>
      <c r="B1962" s="47">
        <v>15845</v>
      </c>
      <c r="C1962" s="44" t="s">
        <v>397</v>
      </c>
      <c r="D1962" s="45">
        <v>-800</v>
      </c>
      <c r="E1962" s="48" t="s">
        <v>244</v>
      </c>
      <c r="F1962" s="48" t="s">
        <v>90</v>
      </c>
      <c r="G1962" s="48" t="s">
        <v>114</v>
      </c>
      <c r="J1962" s="44">
        <f>YEAR(A1962)</f>
        <v>2023</v>
      </c>
    </row>
    <row r="1963" spans="1:10" ht="12" customHeight="1" x14ac:dyDescent="0.25">
      <c r="A1963" s="43">
        <v>45154</v>
      </c>
      <c r="B1963" s="47">
        <v>15845</v>
      </c>
      <c r="C1963" s="44" t="s">
        <v>397</v>
      </c>
      <c r="D1963" s="45">
        <v>800</v>
      </c>
      <c r="E1963" s="48" t="s">
        <v>299</v>
      </c>
      <c r="F1963" s="48" t="s">
        <v>90</v>
      </c>
      <c r="G1963" s="48" t="s">
        <v>91</v>
      </c>
      <c r="H1963" s="44" t="s">
        <v>398</v>
      </c>
      <c r="I1963" s="44" t="s">
        <v>921</v>
      </c>
      <c r="J1963" s="44">
        <f>YEAR(A1963)</f>
        <v>2023</v>
      </c>
    </row>
    <row r="1964" spans="1:10" ht="12" customHeight="1" x14ac:dyDescent="0.25">
      <c r="A1964" s="43">
        <v>45163</v>
      </c>
      <c r="B1964" s="47">
        <v>15846</v>
      </c>
      <c r="C1964" s="44" t="s">
        <v>399</v>
      </c>
      <c r="D1964" s="45">
        <v>19.989999999999998</v>
      </c>
      <c r="E1964" s="48" t="s">
        <v>157</v>
      </c>
      <c r="F1964" s="48" t="s">
        <v>155</v>
      </c>
      <c r="G1964" s="48" t="s">
        <v>98</v>
      </c>
      <c r="J1964" s="44">
        <f>YEAR(A1964)</f>
        <v>2023</v>
      </c>
    </row>
    <row r="1965" spans="1:10" ht="12" customHeight="1" x14ac:dyDescent="0.25">
      <c r="A1965" s="43">
        <v>45163</v>
      </c>
      <c r="B1965" s="47">
        <v>15846</v>
      </c>
      <c r="C1965" s="44" t="s">
        <v>399</v>
      </c>
      <c r="D1965" s="45">
        <v>-19.989999999999998</v>
      </c>
      <c r="E1965" s="48" t="s">
        <v>299</v>
      </c>
      <c r="F1965" s="48" t="s">
        <v>90</v>
      </c>
      <c r="G1965" s="48" t="s">
        <v>91</v>
      </c>
      <c r="H1965" s="44" t="s">
        <v>391</v>
      </c>
      <c r="I1965" s="44" t="s">
        <v>920</v>
      </c>
      <c r="J1965" s="44">
        <f>YEAR(A1965)</f>
        <v>2023</v>
      </c>
    </row>
    <row r="1966" spans="1:10" ht="12" customHeight="1" x14ac:dyDescent="0.25">
      <c r="A1966" s="43">
        <v>45168</v>
      </c>
      <c r="B1966" s="47">
        <v>15847</v>
      </c>
      <c r="C1966" s="44" t="s">
        <v>400</v>
      </c>
      <c r="D1966" s="45">
        <v>19.989999999999998</v>
      </c>
      <c r="E1966" s="48" t="s">
        <v>157</v>
      </c>
      <c r="F1966" s="48" t="s">
        <v>155</v>
      </c>
      <c r="G1966" s="48" t="s">
        <v>95</v>
      </c>
      <c r="J1966" s="44">
        <f>YEAR(A1966)</f>
        <v>2023</v>
      </c>
    </row>
    <row r="1967" spans="1:10" ht="12" customHeight="1" x14ac:dyDescent="0.25">
      <c r="A1967" s="43">
        <v>45168</v>
      </c>
      <c r="B1967" s="47">
        <v>15847</v>
      </c>
      <c r="C1967" s="44" t="s">
        <v>400</v>
      </c>
      <c r="D1967" s="45">
        <v>-19.989999999999998</v>
      </c>
      <c r="E1967" s="48" t="s">
        <v>299</v>
      </c>
      <c r="F1967" s="48" t="s">
        <v>90</v>
      </c>
      <c r="G1967" s="48" t="s">
        <v>91</v>
      </c>
      <c r="H1967" s="44" t="s">
        <v>391</v>
      </c>
      <c r="I1967" s="44" t="s">
        <v>920</v>
      </c>
      <c r="J1967" s="44">
        <f>YEAR(A1967)</f>
        <v>2023</v>
      </c>
    </row>
    <row r="1968" spans="1:10" ht="12" customHeight="1" x14ac:dyDescent="0.25">
      <c r="A1968" s="43">
        <v>45168</v>
      </c>
      <c r="B1968" s="47">
        <v>15848</v>
      </c>
      <c r="C1968" s="44" t="s">
        <v>400</v>
      </c>
      <c r="D1968" s="45">
        <v>19.989999999999998</v>
      </c>
      <c r="E1968" s="48" t="s">
        <v>157</v>
      </c>
      <c r="F1968" s="48" t="s">
        <v>155</v>
      </c>
      <c r="G1968" s="48" t="s">
        <v>99</v>
      </c>
      <c r="J1968" s="44">
        <f>YEAR(A1968)</f>
        <v>2023</v>
      </c>
    </row>
    <row r="1969" spans="1:10" ht="12" customHeight="1" x14ac:dyDescent="0.25">
      <c r="A1969" s="43">
        <v>45168</v>
      </c>
      <c r="B1969" s="47">
        <v>15848</v>
      </c>
      <c r="C1969" s="44" t="s">
        <v>400</v>
      </c>
      <c r="D1969" s="45">
        <v>-19.989999999999998</v>
      </c>
      <c r="E1969" s="48" t="s">
        <v>299</v>
      </c>
      <c r="F1969" s="48" t="s">
        <v>90</v>
      </c>
      <c r="G1969" s="48" t="s">
        <v>91</v>
      </c>
      <c r="H1969" s="44" t="s">
        <v>391</v>
      </c>
      <c r="I1969" s="44" t="s">
        <v>920</v>
      </c>
      <c r="J1969" s="44">
        <f>YEAR(A1969)</f>
        <v>2023</v>
      </c>
    </row>
    <row r="1970" spans="1:10" ht="12" customHeight="1" x14ac:dyDescent="0.25">
      <c r="A1970" s="43">
        <v>45154</v>
      </c>
      <c r="B1970" s="47">
        <v>15849</v>
      </c>
      <c r="C1970" s="44" t="s">
        <v>401</v>
      </c>
      <c r="D1970" s="45">
        <v>238</v>
      </c>
      <c r="E1970" s="48" t="s">
        <v>110</v>
      </c>
      <c r="F1970" s="48" t="s">
        <v>90</v>
      </c>
      <c r="G1970" s="48" t="s">
        <v>91</v>
      </c>
      <c r="J1970" s="44">
        <f>YEAR(A1970)</f>
        <v>2023</v>
      </c>
    </row>
    <row r="1971" spans="1:10" ht="12" customHeight="1" x14ac:dyDescent="0.25">
      <c r="A1971" s="43">
        <v>45154</v>
      </c>
      <c r="B1971" s="47">
        <v>15849</v>
      </c>
      <c r="C1971" s="44" t="s">
        <v>401</v>
      </c>
      <c r="D1971" s="45">
        <v>-238</v>
      </c>
      <c r="E1971" s="48" t="s">
        <v>299</v>
      </c>
      <c r="F1971" s="48" t="s">
        <v>90</v>
      </c>
      <c r="G1971" s="48" t="s">
        <v>91</v>
      </c>
      <c r="H1971" s="44" t="s">
        <v>402</v>
      </c>
      <c r="I1971" s="44" t="s">
        <v>920</v>
      </c>
      <c r="J1971" s="44">
        <f>YEAR(A1971)</f>
        <v>2023</v>
      </c>
    </row>
    <row r="1972" spans="1:10" ht="12" customHeight="1" x14ac:dyDescent="0.25">
      <c r="A1972" s="43">
        <v>45167</v>
      </c>
      <c r="B1972" s="47">
        <v>15850</v>
      </c>
      <c r="C1972" s="44" t="s">
        <v>225</v>
      </c>
      <c r="D1972" s="45">
        <v>-39</v>
      </c>
      <c r="E1972" s="48" t="s">
        <v>222</v>
      </c>
      <c r="F1972" s="48" t="s">
        <v>90</v>
      </c>
      <c r="G1972" s="48" t="s">
        <v>225</v>
      </c>
      <c r="J1972" s="44">
        <f>YEAR(A1972)</f>
        <v>2023</v>
      </c>
    </row>
    <row r="1973" spans="1:10" ht="12" customHeight="1" x14ac:dyDescent="0.25">
      <c r="A1973" s="43">
        <v>45167</v>
      </c>
      <c r="B1973" s="47">
        <v>15850</v>
      </c>
      <c r="C1973" s="44" t="s">
        <v>225</v>
      </c>
      <c r="D1973" s="45">
        <v>39</v>
      </c>
      <c r="E1973" s="48" t="s">
        <v>299</v>
      </c>
      <c r="F1973" s="48" t="s">
        <v>90</v>
      </c>
      <c r="G1973" s="48" t="s">
        <v>91</v>
      </c>
      <c r="H1973" s="44" t="s">
        <v>398</v>
      </c>
      <c r="I1973" s="44" t="s">
        <v>921</v>
      </c>
      <c r="J1973" s="44">
        <f>YEAR(A1973)</f>
        <v>2023</v>
      </c>
    </row>
    <row r="1974" spans="1:10" ht="12" customHeight="1" x14ac:dyDescent="0.25">
      <c r="A1974" s="43">
        <v>45159</v>
      </c>
      <c r="B1974" s="47">
        <v>15851</v>
      </c>
      <c r="C1974" s="44" t="s">
        <v>405</v>
      </c>
      <c r="D1974" s="45">
        <v>-38.97</v>
      </c>
      <c r="E1974" s="48" t="s">
        <v>299</v>
      </c>
      <c r="F1974" s="48" t="s">
        <v>90</v>
      </c>
      <c r="G1974" s="48" t="s">
        <v>91</v>
      </c>
      <c r="H1974" s="44" t="s">
        <v>391</v>
      </c>
      <c r="I1974" s="44" t="s">
        <v>920</v>
      </c>
      <c r="J1974" s="44">
        <f>YEAR(A1974)</f>
        <v>2023</v>
      </c>
    </row>
    <row r="1975" spans="1:10" ht="12" customHeight="1" x14ac:dyDescent="0.25">
      <c r="A1975" s="43">
        <v>45159</v>
      </c>
      <c r="B1975" s="47">
        <v>15851</v>
      </c>
      <c r="C1975" s="44" t="s">
        <v>405</v>
      </c>
      <c r="D1975" s="45">
        <v>38.97</v>
      </c>
      <c r="E1975" s="48" t="s">
        <v>157</v>
      </c>
      <c r="F1975" s="48" t="s">
        <v>137</v>
      </c>
      <c r="G1975" s="48" t="s">
        <v>115</v>
      </c>
      <c r="J1975" s="44">
        <f>YEAR(A1975)</f>
        <v>2023</v>
      </c>
    </row>
    <row r="1976" spans="1:10" ht="12" customHeight="1" x14ac:dyDescent="0.25">
      <c r="A1976" s="43">
        <v>45167</v>
      </c>
      <c r="B1976" s="47">
        <v>15852</v>
      </c>
      <c r="C1976" s="44" t="s">
        <v>403</v>
      </c>
      <c r="D1976" s="45">
        <v>-86.72</v>
      </c>
      <c r="E1976" s="48" t="s">
        <v>299</v>
      </c>
      <c r="F1976" s="48" t="s">
        <v>90</v>
      </c>
      <c r="G1976" s="48" t="s">
        <v>91</v>
      </c>
      <c r="H1976" s="44" t="s">
        <v>391</v>
      </c>
      <c r="I1976" s="44" t="s">
        <v>920</v>
      </c>
      <c r="J1976" s="44">
        <f>YEAR(A1976)</f>
        <v>2023</v>
      </c>
    </row>
    <row r="1977" spans="1:10" ht="12" customHeight="1" x14ac:dyDescent="0.25">
      <c r="A1977" s="43">
        <v>45167</v>
      </c>
      <c r="B1977" s="47">
        <v>15852</v>
      </c>
      <c r="C1977" s="44" t="s">
        <v>403</v>
      </c>
      <c r="D1977" s="45">
        <v>86.72</v>
      </c>
      <c r="E1977" s="48" t="s">
        <v>157</v>
      </c>
      <c r="F1977" s="48" t="s">
        <v>137</v>
      </c>
      <c r="G1977" s="48" t="s">
        <v>91</v>
      </c>
      <c r="J1977" s="44">
        <f>YEAR(A1977)</f>
        <v>2023</v>
      </c>
    </row>
    <row r="1978" spans="1:10" ht="12" customHeight="1" x14ac:dyDescent="0.25">
      <c r="A1978" s="43">
        <v>45167</v>
      </c>
      <c r="B1978" s="47">
        <v>15853</v>
      </c>
      <c r="C1978" s="44" t="s">
        <v>404</v>
      </c>
      <c r="D1978" s="45">
        <v>-68.38</v>
      </c>
      <c r="E1978" s="48" t="s">
        <v>299</v>
      </c>
      <c r="F1978" s="48" t="s">
        <v>90</v>
      </c>
      <c r="G1978" s="48" t="s">
        <v>91</v>
      </c>
      <c r="H1978" s="44" t="s">
        <v>391</v>
      </c>
      <c r="I1978" s="44" t="s">
        <v>920</v>
      </c>
      <c r="J1978" s="44">
        <f>YEAR(A1978)</f>
        <v>2023</v>
      </c>
    </row>
    <row r="1979" spans="1:10" ht="12" customHeight="1" x14ac:dyDescent="0.25">
      <c r="A1979" s="43">
        <v>45167</v>
      </c>
      <c r="B1979" s="47">
        <v>15853</v>
      </c>
      <c r="C1979" s="44" t="s">
        <v>404</v>
      </c>
      <c r="D1979" s="45">
        <v>68.38</v>
      </c>
      <c r="E1979" s="48" t="s">
        <v>157</v>
      </c>
      <c r="F1979" s="48" t="s">
        <v>137</v>
      </c>
      <c r="G1979" s="48" t="s">
        <v>91</v>
      </c>
      <c r="J1979" s="44">
        <f>YEAR(A1979)</f>
        <v>2023</v>
      </c>
    </row>
    <row r="1980" spans="1:10" ht="12" customHeight="1" x14ac:dyDescent="0.25">
      <c r="A1980" s="43">
        <v>45159</v>
      </c>
      <c r="B1980" s="47">
        <v>15854</v>
      </c>
      <c r="C1980" s="44" t="s">
        <v>407</v>
      </c>
      <c r="D1980" s="45">
        <v>14.99</v>
      </c>
      <c r="E1980" s="48" t="s">
        <v>157</v>
      </c>
      <c r="F1980" s="48" t="s">
        <v>116</v>
      </c>
      <c r="G1980" s="48" t="s">
        <v>91</v>
      </c>
      <c r="J1980" s="44">
        <f>YEAR(A1980)</f>
        <v>2023</v>
      </c>
    </row>
    <row r="1981" spans="1:10" ht="12" customHeight="1" x14ac:dyDescent="0.25">
      <c r="A1981" s="43">
        <v>45159</v>
      </c>
      <c r="B1981" s="47">
        <v>15854</v>
      </c>
      <c r="C1981" s="44" t="s">
        <v>407</v>
      </c>
      <c r="D1981" s="45">
        <v>-14.99</v>
      </c>
      <c r="E1981" s="48" t="s">
        <v>299</v>
      </c>
      <c r="F1981" s="48" t="s">
        <v>90</v>
      </c>
      <c r="G1981" s="48" t="s">
        <v>91</v>
      </c>
      <c r="H1981" s="44" t="s">
        <v>391</v>
      </c>
      <c r="I1981" s="44" t="s">
        <v>920</v>
      </c>
      <c r="J1981" s="44">
        <f>YEAR(A1981)</f>
        <v>2023</v>
      </c>
    </row>
    <row r="1982" spans="1:10" ht="12" customHeight="1" x14ac:dyDescent="0.25">
      <c r="A1982" s="43">
        <v>45180</v>
      </c>
      <c r="B1982" s="47">
        <v>15855</v>
      </c>
      <c r="C1982" s="44" t="s">
        <v>606</v>
      </c>
      <c r="D1982" s="45">
        <v>247</v>
      </c>
      <c r="E1982" s="48" t="s">
        <v>124</v>
      </c>
      <c r="F1982" s="48" t="s">
        <v>90</v>
      </c>
      <c r="G1982" s="48" t="s">
        <v>91</v>
      </c>
      <c r="J1982" s="44">
        <f>YEAR(A1982)</f>
        <v>2023</v>
      </c>
    </row>
    <row r="1983" spans="1:10" ht="12" customHeight="1" x14ac:dyDescent="0.25">
      <c r="A1983" s="43">
        <v>45180</v>
      </c>
      <c r="B1983" s="47">
        <v>15855</v>
      </c>
      <c r="C1983" s="44" t="s">
        <v>606</v>
      </c>
      <c r="D1983" s="45">
        <v>-247</v>
      </c>
      <c r="E1983" s="48" t="s">
        <v>299</v>
      </c>
      <c r="F1983" s="48" t="s">
        <v>90</v>
      </c>
      <c r="G1983" s="48" t="s">
        <v>91</v>
      </c>
      <c r="H1983" s="44" t="s">
        <v>391</v>
      </c>
      <c r="I1983" s="44" t="s">
        <v>920</v>
      </c>
      <c r="J1983" s="44">
        <f>YEAR(A1983)</f>
        <v>2023</v>
      </c>
    </row>
    <row r="1984" spans="1:10" ht="12" customHeight="1" x14ac:dyDescent="0.25">
      <c r="A1984" s="43">
        <v>45170</v>
      </c>
      <c r="B1984" s="47">
        <v>15856</v>
      </c>
      <c r="C1984" s="44" t="s">
        <v>560</v>
      </c>
      <c r="D1984" s="45">
        <v>-410.09</v>
      </c>
      <c r="E1984" s="48" t="s">
        <v>214</v>
      </c>
      <c r="F1984" s="48" t="s">
        <v>128</v>
      </c>
      <c r="G1984" s="48" t="s">
        <v>99</v>
      </c>
      <c r="J1984" s="44">
        <f>YEAR(A1984)</f>
        <v>2023</v>
      </c>
    </row>
    <row r="1985" spans="1:10" ht="12" customHeight="1" x14ac:dyDescent="0.25">
      <c r="A1985" s="43">
        <v>45170</v>
      </c>
      <c r="B1985" s="47">
        <v>15856</v>
      </c>
      <c r="C1985" s="44" t="s">
        <v>560</v>
      </c>
      <c r="D1985" s="45">
        <v>64.53</v>
      </c>
      <c r="E1985" s="48" t="s">
        <v>110</v>
      </c>
      <c r="F1985" s="48" t="s">
        <v>90</v>
      </c>
      <c r="G1985" s="48" t="s">
        <v>91</v>
      </c>
      <c r="J1985" s="44">
        <f>YEAR(A1985)</f>
        <v>2023</v>
      </c>
    </row>
    <row r="1986" spans="1:10" ht="12" customHeight="1" x14ac:dyDescent="0.25">
      <c r="A1986" s="43">
        <v>45170</v>
      </c>
      <c r="B1986" s="47">
        <v>15856</v>
      </c>
      <c r="C1986" s="44" t="s">
        <v>560</v>
      </c>
      <c r="D1986" s="45">
        <v>345.56</v>
      </c>
      <c r="E1986" s="48" t="s">
        <v>299</v>
      </c>
      <c r="F1986" s="48" t="s">
        <v>90</v>
      </c>
      <c r="G1986" s="48" t="s">
        <v>91</v>
      </c>
      <c r="H1986" s="44" t="s">
        <v>398</v>
      </c>
      <c r="I1986" s="44" t="s">
        <v>921</v>
      </c>
      <c r="J1986" s="44">
        <f>YEAR(A1986)</f>
        <v>2023</v>
      </c>
    </row>
    <row r="1987" spans="1:10" ht="12" customHeight="1" x14ac:dyDescent="0.25">
      <c r="A1987" s="43">
        <v>45174</v>
      </c>
      <c r="B1987" s="47">
        <v>15857</v>
      </c>
      <c r="C1987" s="44" t="s">
        <v>410</v>
      </c>
      <c r="D1987" s="45">
        <v>-715.89</v>
      </c>
      <c r="E1987" s="48" t="s">
        <v>214</v>
      </c>
      <c r="F1987" s="48" t="s">
        <v>128</v>
      </c>
      <c r="G1987" s="48" t="s">
        <v>99</v>
      </c>
      <c r="J1987" s="44">
        <f>YEAR(A1987)</f>
        <v>2023</v>
      </c>
    </row>
    <row r="1988" spans="1:10" ht="12" customHeight="1" x14ac:dyDescent="0.25">
      <c r="A1988" s="43">
        <v>45174</v>
      </c>
      <c r="B1988" s="47">
        <v>15857</v>
      </c>
      <c r="C1988" s="44" t="s">
        <v>411</v>
      </c>
      <c r="D1988" s="45">
        <v>112.65</v>
      </c>
      <c r="E1988" s="48" t="s">
        <v>110</v>
      </c>
      <c r="F1988" s="48" t="s">
        <v>90</v>
      </c>
      <c r="G1988" s="48" t="s">
        <v>91</v>
      </c>
      <c r="J1988" s="44">
        <f>YEAR(A1988)</f>
        <v>2023</v>
      </c>
    </row>
    <row r="1989" spans="1:10" ht="12" customHeight="1" x14ac:dyDescent="0.25">
      <c r="A1989" s="43">
        <v>45174</v>
      </c>
      <c r="B1989" s="47">
        <v>15857</v>
      </c>
      <c r="C1989" s="44" t="s">
        <v>410</v>
      </c>
      <c r="D1989" s="45">
        <v>603.24</v>
      </c>
      <c r="E1989" s="48" t="s">
        <v>299</v>
      </c>
      <c r="F1989" s="48" t="s">
        <v>90</v>
      </c>
      <c r="G1989" s="48" t="s">
        <v>91</v>
      </c>
      <c r="H1989" s="44" t="s">
        <v>398</v>
      </c>
      <c r="I1989" s="44" t="s">
        <v>921</v>
      </c>
      <c r="J1989" s="44">
        <f>YEAR(A1989)</f>
        <v>2023</v>
      </c>
    </row>
    <row r="1990" spans="1:10" ht="12" customHeight="1" x14ac:dyDescent="0.25">
      <c r="A1990" s="43">
        <v>45181</v>
      </c>
      <c r="B1990" s="47">
        <v>15858</v>
      </c>
      <c r="C1990" s="44" t="s">
        <v>563</v>
      </c>
      <c r="D1990" s="45">
        <v>-1171.18</v>
      </c>
      <c r="E1990" s="48" t="s">
        <v>214</v>
      </c>
      <c r="F1990" s="48" t="s">
        <v>90</v>
      </c>
      <c r="G1990" s="48" t="s">
        <v>99</v>
      </c>
      <c r="J1990" s="44">
        <f>YEAR(A1990)</f>
        <v>2023</v>
      </c>
    </row>
    <row r="1991" spans="1:10" ht="12" customHeight="1" x14ac:dyDescent="0.25">
      <c r="A1991" s="43">
        <v>45181</v>
      </c>
      <c r="B1991" s="47">
        <v>15858</v>
      </c>
      <c r="C1991" s="44" t="s">
        <v>564</v>
      </c>
      <c r="D1991" s="45">
        <v>177.94</v>
      </c>
      <c r="E1991" s="48" t="s">
        <v>110</v>
      </c>
      <c r="F1991" s="48" t="s">
        <v>90</v>
      </c>
      <c r="G1991" s="48" t="s">
        <v>91</v>
      </c>
      <c r="J1991" s="44">
        <f>YEAR(A1991)</f>
        <v>2023</v>
      </c>
    </row>
    <row r="1992" spans="1:10" ht="12" customHeight="1" x14ac:dyDescent="0.25">
      <c r="A1992" s="43">
        <v>45181</v>
      </c>
      <c r="B1992" s="47">
        <v>15858</v>
      </c>
      <c r="C1992" s="44" t="s">
        <v>563</v>
      </c>
      <c r="D1992" s="45">
        <v>993.24</v>
      </c>
      <c r="E1992" s="48" t="s">
        <v>299</v>
      </c>
      <c r="F1992" s="48" t="s">
        <v>90</v>
      </c>
      <c r="G1992" s="48" t="s">
        <v>91</v>
      </c>
      <c r="H1992" s="44" t="s">
        <v>398</v>
      </c>
      <c r="I1992" s="44" t="s">
        <v>921</v>
      </c>
      <c r="J1992" s="44">
        <f>YEAR(A1992)</f>
        <v>2023</v>
      </c>
    </row>
    <row r="1993" spans="1:10" ht="12" customHeight="1" x14ac:dyDescent="0.25">
      <c r="A1993" s="43">
        <v>45154</v>
      </c>
      <c r="B1993" s="47">
        <v>15859</v>
      </c>
      <c r="C1993" s="44" t="s">
        <v>448</v>
      </c>
      <c r="D1993" s="45">
        <v>104.73</v>
      </c>
      <c r="E1993" s="48" t="s">
        <v>180</v>
      </c>
      <c r="F1993" s="48" t="s">
        <v>90</v>
      </c>
      <c r="G1993" s="48" t="s">
        <v>91</v>
      </c>
      <c r="J1993" s="44">
        <f>YEAR(A1993)</f>
        <v>2023</v>
      </c>
    </row>
    <row r="1994" spans="1:10" ht="12" customHeight="1" x14ac:dyDescent="0.25">
      <c r="A1994" s="43">
        <v>45154</v>
      </c>
      <c r="B1994" s="47">
        <v>15859</v>
      </c>
      <c r="C1994" s="44" t="s">
        <v>448</v>
      </c>
      <c r="D1994" s="45">
        <v>-104.73</v>
      </c>
      <c r="E1994" s="48" t="s">
        <v>299</v>
      </c>
      <c r="F1994" s="48" t="s">
        <v>90</v>
      </c>
      <c r="G1994" s="48" t="s">
        <v>91</v>
      </c>
      <c r="H1994" s="44" t="s">
        <v>402</v>
      </c>
      <c r="I1994" s="44" t="s">
        <v>920</v>
      </c>
      <c r="J1994" s="44">
        <f>YEAR(A1994)</f>
        <v>2023</v>
      </c>
    </row>
    <row r="1995" spans="1:10" ht="12" customHeight="1" x14ac:dyDescent="0.25">
      <c r="A1995" s="43">
        <v>45170</v>
      </c>
      <c r="B1995" s="47">
        <v>15860</v>
      </c>
      <c r="C1995" s="44" t="s">
        <v>444</v>
      </c>
      <c r="D1995" s="45">
        <v>87.19</v>
      </c>
      <c r="E1995" s="48" t="s">
        <v>89</v>
      </c>
      <c r="F1995" s="48" t="s">
        <v>90</v>
      </c>
      <c r="G1995" s="48" t="s">
        <v>91</v>
      </c>
      <c r="J1995" s="44">
        <f>YEAR(A1995)</f>
        <v>2023</v>
      </c>
    </row>
    <row r="1996" spans="1:10" ht="12" customHeight="1" x14ac:dyDescent="0.25">
      <c r="A1996" s="43">
        <v>45170</v>
      </c>
      <c r="B1996" s="47">
        <v>15860</v>
      </c>
      <c r="C1996" s="44" t="s">
        <v>444</v>
      </c>
      <c r="D1996" s="45">
        <v>-87.19</v>
      </c>
      <c r="E1996" s="48" t="s">
        <v>299</v>
      </c>
      <c r="F1996" s="48" t="s">
        <v>90</v>
      </c>
      <c r="G1996" s="48" t="s">
        <v>91</v>
      </c>
      <c r="H1996" s="44" t="s">
        <v>459</v>
      </c>
      <c r="I1996" s="44" t="s">
        <v>920</v>
      </c>
      <c r="J1996" s="44">
        <f>YEAR(A1996)</f>
        <v>2023</v>
      </c>
    </row>
    <row r="1997" spans="1:10" ht="12" customHeight="1" x14ac:dyDescent="0.25">
      <c r="A1997" s="43">
        <v>45194</v>
      </c>
      <c r="B1997" s="47">
        <v>15861</v>
      </c>
      <c r="C1997" s="44" t="s">
        <v>505</v>
      </c>
      <c r="D1997" s="45">
        <v>64.459999999999994</v>
      </c>
      <c r="E1997" s="48" t="s">
        <v>89</v>
      </c>
      <c r="F1997" s="48" t="s">
        <v>90</v>
      </c>
      <c r="G1997" s="48" t="s">
        <v>91</v>
      </c>
      <c r="J1997" s="44">
        <f>YEAR(A1997)</f>
        <v>2023</v>
      </c>
    </row>
    <row r="1998" spans="1:10" ht="12" customHeight="1" x14ac:dyDescent="0.25">
      <c r="A1998" s="43">
        <v>45194</v>
      </c>
      <c r="B1998" s="47">
        <v>15861</v>
      </c>
      <c r="C1998" s="44" t="s">
        <v>505</v>
      </c>
      <c r="D1998" s="45">
        <v>-71.81</v>
      </c>
      <c r="E1998" s="48" t="s">
        <v>299</v>
      </c>
      <c r="F1998" s="48" t="s">
        <v>90</v>
      </c>
      <c r="G1998" s="48" t="s">
        <v>305</v>
      </c>
      <c r="I1998" s="44" t="s">
        <v>946</v>
      </c>
      <c r="J1998" s="44">
        <f>YEAR(A1998)</f>
        <v>2023</v>
      </c>
    </row>
    <row r="1999" spans="1:10" ht="12" customHeight="1" x14ac:dyDescent="0.25">
      <c r="A1999" s="43">
        <v>45194</v>
      </c>
      <c r="B1999" s="47">
        <v>15861</v>
      </c>
      <c r="C1999" s="44" t="s">
        <v>505</v>
      </c>
      <c r="D1999" s="45">
        <v>7.35</v>
      </c>
      <c r="E1999" s="48" t="s">
        <v>157</v>
      </c>
      <c r="F1999" s="48" t="s">
        <v>96</v>
      </c>
      <c r="G1999" s="48" t="s">
        <v>91</v>
      </c>
      <c r="J1999" s="44">
        <f>YEAR(A1999)</f>
        <v>2023</v>
      </c>
    </row>
    <row r="2000" spans="1:10" ht="12" customHeight="1" x14ac:dyDescent="0.25">
      <c r="A2000" s="43">
        <v>45195</v>
      </c>
      <c r="B2000" s="47">
        <v>15862</v>
      </c>
      <c r="C2000" s="44" t="s">
        <v>466</v>
      </c>
      <c r="D2000" s="45">
        <v>10</v>
      </c>
      <c r="E2000" s="48" t="s">
        <v>89</v>
      </c>
      <c r="F2000" s="48" t="s">
        <v>90</v>
      </c>
      <c r="G2000" s="48" t="s">
        <v>91</v>
      </c>
      <c r="J2000" s="44">
        <f>YEAR(A2000)</f>
        <v>2023</v>
      </c>
    </row>
    <row r="2001" spans="1:11" ht="12" customHeight="1" x14ac:dyDescent="0.25">
      <c r="A2001" s="43">
        <v>45195</v>
      </c>
      <c r="B2001" s="47">
        <v>15862</v>
      </c>
      <c r="C2001" s="44" t="s">
        <v>466</v>
      </c>
      <c r="D2001" s="45">
        <v>-22.1</v>
      </c>
      <c r="E2001" s="48" t="s">
        <v>299</v>
      </c>
      <c r="F2001" s="48" t="s">
        <v>90</v>
      </c>
      <c r="G2001" s="48" t="s">
        <v>305</v>
      </c>
      <c r="I2001" s="44" t="s">
        <v>946</v>
      </c>
      <c r="J2001" s="44">
        <f>YEAR(A2001)</f>
        <v>2023</v>
      </c>
    </row>
    <row r="2002" spans="1:11" ht="12" customHeight="1" x14ac:dyDescent="0.25">
      <c r="A2002" s="43">
        <v>45195</v>
      </c>
      <c r="B2002" s="47">
        <v>15862</v>
      </c>
      <c r="C2002" s="44" t="s">
        <v>466</v>
      </c>
      <c r="D2002" s="45">
        <v>12.1</v>
      </c>
      <c r="E2002" s="48" t="s">
        <v>145</v>
      </c>
      <c r="F2002" s="48" t="s">
        <v>135</v>
      </c>
      <c r="G2002" s="48" t="s">
        <v>91</v>
      </c>
      <c r="J2002" s="44">
        <f>YEAR(A2002)</f>
        <v>2023</v>
      </c>
    </row>
    <row r="2003" spans="1:11" ht="12" customHeight="1" x14ac:dyDescent="0.25">
      <c r="A2003" s="43">
        <v>45195</v>
      </c>
      <c r="B2003" s="47">
        <v>15863</v>
      </c>
      <c r="C2003" s="44" t="s">
        <v>468</v>
      </c>
      <c r="D2003" s="45">
        <v>19.75</v>
      </c>
      <c r="E2003" s="48" t="s">
        <v>197</v>
      </c>
      <c r="F2003" s="48" t="s">
        <v>90</v>
      </c>
      <c r="G2003" s="48" t="s">
        <v>91</v>
      </c>
      <c r="J2003" s="44">
        <f>YEAR(A2003)</f>
        <v>2023</v>
      </c>
    </row>
    <row r="2004" spans="1:11" ht="12" customHeight="1" x14ac:dyDescent="0.25">
      <c r="A2004" s="43">
        <v>45195</v>
      </c>
      <c r="B2004" s="47">
        <v>15863</v>
      </c>
      <c r="C2004" s="44" t="s">
        <v>468</v>
      </c>
      <c r="D2004" s="45">
        <v>-19.75</v>
      </c>
      <c r="E2004" s="48" t="s">
        <v>299</v>
      </c>
      <c r="F2004" s="48" t="s">
        <v>90</v>
      </c>
      <c r="G2004" s="48" t="s">
        <v>305</v>
      </c>
      <c r="I2004" s="44" t="s">
        <v>946</v>
      </c>
      <c r="J2004" s="44">
        <f>YEAR(A2004)</f>
        <v>2023</v>
      </c>
    </row>
    <row r="2005" spans="1:11" ht="12" customHeight="1" x14ac:dyDescent="0.25">
      <c r="A2005" s="43">
        <v>45195</v>
      </c>
      <c r="B2005" s="47">
        <v>15864</v>
      </c>
      <c r="C2005" s="44" t="s">
        <v>501</v>
      </c>
      <c r="D2005" s="45">
        <v>2.85</v>
      </c>
      <c r="E2005" s="48" t="s">
        <v>89</v>
      </c>
      <c r="F2005" s="48" t="s">
        <v>90</v>
      </c>
      <c r="G2005" s="48" t="s">
        <v>91</v>
      </c>
      <c r="J2005" s="44">
        <f>YEAR(A2005)</f>
        <v>2023</v>
      </c>
    </row>
    <row r="2006" spans="1:11" ht="12" customHeight="1" x14ac:dyDescent="0.25">
      <c r="A2006" s="43">
        <v>45195</v>
      </c>
      <c r="B2006" s="47">
        <v>15864</v>
      </c>
      <c r="C2006" s="44" t="s">
        <v>501</v>
      </c>
      <c r="D2006" s="45">
        <v>-2.85</v>
      </c>
      <c r="E2006" s="48" t="s">
        <v>299</v>
      </c>
      <c r="F2006" s="48" t="s">
        <v>90</v>
      </c>
      <c r="G2006" s="48" t="s">
        <v>305</v>
      </c>
      <c r="I2006" s="44" t="s">
        <v>946</v>
      </c>
      <c r="J2006" s="44">
        <f>YEAR(A2006)</f>
        <v>2023</v>
      </c>
    </row>
    <row r="2007" spans="1:11" ht="12" customHeight="1" x14ac:dyDescent="0.25">
      <c r="A2007" s="43">
        <v>45195</v>
      </c>
      <c r="B2007" s="47">
        <v>15865</v>
      </c>
      <c r="C2007" s="44" t="s">
        <v>467</v>
      </c>
      <c r="D2007" s="45">
        <v>14.64</v>
      </c>
      <c r="E2007" s="48" t="s">
        <v>145</v>
      </c>
      <c r="F2007" s="48" t="s">
        <v>128</v>
      </c>
      <c r="G2007" s="48" t="s">
        <v>91</v>
      </c>
      <c r="J2007" s="44">
        <f>YEAR(A2007)</f>
        <v>2023</v>
      </c>
    </row>
    <row r="2008" spans="1:11" ht="12" customHeight="1" x14ac:dyDescent="0.25">
      <c r="A2008" s="43">
        <v>45195</v>
      </c>
      <c r="B2008" s="47">
        <v>15865</v>
      </c>
      <c r="C2008" s="44" t="s">
        <v>467</v>
      </c>
      <c r="D2008" s="45">
        <v>-14.64</v>
      </c>
      <c r="E2008" s="48" t="s">
        <v>299</v>
      </c>
      <c r="F2008" s="48" t="s">
        <v>90</v>
      </c>
      <c r="G2008" s="48" t="s">
        <v>305</v>
      </c>
      <c r="I2008" s="44" t="s">
        <v>946</v>
      </c>
      <c r="J2008" s="44">
        <f>YEAR(A2008)</f>
        <v>2023</v>
      </c>
    </row>
    <row r="2009" spans="1:11" ht="12" customHeight="1" x14ac:dyDescent="0.25">
      <c r="A2009" s="43">
        <v>45197</v>
      </c>
      <c r="B2009" s="47">
        <v>15866</v>
      </c>
      <c r="C2009" s="44" t="s">
        <v>573</v>
      </c>
      <c r="D2009" s="45">
        <v>4.2</v>
      </c>
      <c r="E2009" s="48" t="s">
        <v>180</v>
      </c>
      <c r="F2009" s="48" t="s">
        <v>90</v>
      </c>
      <c r="G2009" s="48" t="s">
        <v>91</v>
      </c>
      <c r="J2009" s="44">
        <f>YEAR(A2009)</f>
        <v>2023</v>
      </c>
    </row>
    <row r="2010" spans="1:11" ht="12" customHeight="1" x14ac:dyDescent="0.25">
      <c r="A2010" s="43">
        <v>45197</v>
      </c>
      <c r="B2010" s="47">
        <v>15866</v>
      </c>
      <c r="C2010" s="44" t="s">
        <v>573</v>
      </c>
      <c r="D2010" s="45">
        <v>-4.2</v>
      </c>
      <c r="E2010" s="48" t="s">
        <v>294</v>
      </c>
      <c r="F2010" s="48" t="s">
        <v>90</v>
      </c>
      <c r="G2010" s="48" t="s">
        <v>91</v>
      </c>
      <c r="J2010" s="44">
        <f>YEAR(A2010)</f>
        <v>2023</v>
      </c>
      <c r="K2010" s="49" t="s">
        <v>1082</v>
      </c>
    </row>
    <row r="2011" spans="1:11" ht="12" customHeight="1" x14ac:dyDescent="0.25">
      <c r="A2011" s="43">
        <v>45197</v>
      </c>
      <c r="B2011" s="47">
        <v>15867</v>
      </c>
      <c r="C2011" s="44" t="s">
        <v>472</v>
      </c>
      <c r="D2011" s="45">
        <v>24.5</v>
      </c>
      <c r="E2011" s="48" t="s">
        <v>197</v>
      </c>
      <c r="F2011" s="48" t="s">
        <v>96</v>
      </c>
      <c r="G2011" s="48" t="s">
        <v>94</v>
      </c>
      <c r="J2011" s="44">
        <f>YEAR(A2011)</f>
        <v>2023</v>
      </c>
    </row>
    <row r="2012" spans="1:11" ht="12" customHeight="1" x14ac:dyDescent="0.25">
      <c r="A2012" s="43">
        <v>45197</v>
      </c>
      <c r="B2012" s="47">
        <v>15867</v>
      </c>
      <c r="C2012" s="44" t="s">
        <v>472</v>
      </c>
      <c r="D2012" s="45">
        <v>-24.5</v>
      </c>
      <c r="E2012" s="48" t="s">
        <v>299</v>
      </c>
      <c r="F2012" s="48" t="s">
        <v>90</v>
      </c>
      <c r="G2012" s="48" t="s">
        <v>305</v>
      </c>
      <c r="I2012" s="44" t="s">
        <v>985</v>
      </c>
      <c r="J2012" s="44">
        <f>YEAR(A2012)</f>
        <v>2023</v>
      </c>
    </row>
    <row r="2013" spans="1:11" ht="12" customHeight="1" x14ac:dyDescent="0.25">
      <c r="A2013" s="43">
        <v>45197</v>
      </c>
      <c r="B2013" s="47">
        <v>15868</v>
      </c>
      <c r="C2013" s="44" t="s">
        <v>648</v>
      </c>
      <c r="D2013" s="45">
        <v>21.21</v>
      </c>
      <c r="E2013" s="48" t="s">
        <v>89</v>
      </c>
      <c r="F2013" s="48" t="s">
        <v>90</v>
      </c>
      <c r="G2013" s="48" t="s">
        <v>91</v>
      </c>
      <c r="J2013" s="44">
        <f>YEAR(A2013)</f>
        <v>2023</v>
      </c>
    </row>
    <row r="2014" spans="1:11" ht="12" customHeight="1" x14ac:dyDescent="0.25">
      <c r="A2014" s="43">
        <v>45197</v>
      </c>
      <c r="B2014" s="47">
        <v>15868</v>
      </c>
      <c r="C2014" s="44" t="s">
        <v>648</v>
      </c>
      <c r="D2014" s="45">
        <v>-21.21</v>
      </c>
      <c r="E2014" s="48" t="s">
        <v>299</v>
      </c>
      <c r="F2014" s="48" t="s">
        <v>90</v>
      </c>
      <c r="G2014" s="48" t="s">
        <v>305</v>
      </c>
      <c r="I2014" s="44" t="s">
        <v>985</v>
      </c>
      <c r="J2014" s="44">
        <f>YEAR(A2014)</f>
        <v>2023</v>
      </c>
    </row>
    <row r="2015" spans="1:11" ht="12" customHeight="1" x14ac:dyDescent="0.25">
      <c r="A2015" s="43">
        <v>45197</v>
      </c>
      <c r="B2015" s="47">
        <v>15869</v>
      </c>
      <c r="C2015" s="44" t="s">
        <v>923</v>
      </c>
      <c r="D2015" s="45">
        <v>12.72</v>
      </c>
      <c r="E2015" s="48" t="s">
        <v>89</v>
      </c>
      <c r="F2015" s="48" t="s">
        <v>90</v>
      </c>
      <c r="G2015" s="48" t="s">
        <v>91</v>
      </c>
      <c r="J2015" s="44">
        <f>YEAR(A2015)</f>
        <v>2023</v>
      </c>
    </row>
    <row r="2016" spans="1:11" ht="12" customHeight="1" x14ac:dyDescent="0.25">
      <c r="A2016" s="43">
        <v>45197</v>
      </c>
      <c r="B2016" s="47">
        <v>15869</v>
      </c>
      <c r="C2016" s="44" t="s">
        <v>923</v>
      </c>
      <c r="D2016" s="45">
        <v>-12.72</v>
      </c>
      <c r="E2016" s="48" t="s">
        <v>299</v>
      </c>
      <c r="F2016" s="48" t="s">
        <v>90</v>
      </c>
      <c r="G2016" s="48" t="s">
        <v>305</v>
      </c>
      <c r="I2016" s="44" t="s">
        <v>985</v>
      </c>
      <c r="J2016" s="44">
        <f>YEAR(A2016)</f>
        <v>2023</v>
      </c>
    </row>
    <row r="2017" spans="1:10" ht="12" customHeight="1" x14ac:dyDescent="0.25">
      <c r="A2017" s="43">
        <v>45197</v>
      </c>
      <c r="B2017" s="47">
        <v>15870</v>
      </c>
      <c r="C2017" s="44" t="s">
        <v>924</v>
      </c>
      <c r="D2017" s="45">
        <v>22</v>
      </c>
      <c r="E2017" s="48" t="s">
        <v>105</v>
      </c>
      <c r="F2017" s="48" t="s">
        <v>90</v>
      </c>
      <c r="G2017" s="48" t="s">
        <v>95</v>
      </c>
      <c r="J2017" s="44">
        <f>YEAR(A2017)</f>
        <v>2023</v>
      </c>
    </row>
    <row r="2018" spans="1:10" ht="12" customHeight="1" x14ac:dyDescent="0.25">
      <c r="A2018" s="43">
        <v>45197</v>
      </c>
      <c r="B2018" s="47">
        <v>15870</v>
      </c>
      <c r="C2018" s="44" t="s">
        <v>924</v>
      </c>
      <c r="D2018" s="45">
        <v>-44</v>
      </c>
      <c r="E2018" s="48" t="s">
        <v>299</v>
      </c>
      <c r="F2018" s="48" t="s">
        <v>90</v>
      </c>
      <c r="G2018" s="48" t="s">
        <v>305</v>
      </c>
      <c r="I2018" s="44" t="s">
        <v>985</v>
      </c>
      <c r="J2018" s="44">
        <f>YEAR(A2018)</f>
        <v>2023</v>
      </c>
    </row>
    <row r="2019" spans="1:10" ht="12" customHeight="1" x14ac:dyDescent="0.25">
      <c r="A2019" s="43">
        <v>45197</v>
      </c>
      <c r="B2019" s="47">
        <v>15870</v>
      </c>
      <c r="C2019" s="44" t="s">
        <v>924</v>
      </c>
      <c r="D2019" s="45">
        <v>22</v>
      </c>
      <c r="E2019" s="48" t="s">
        <v>105</v>
      </c>
      <c r="F2019" s="48" t="s">
        <v>90</v>
      </c>
      <c r="G2019" s="48" t="s">
        <v>107</v>
      </c>
      <c r="J2019" s="44">
        <f>YEAR(A2019)</f>
        <v>2023</v>
      </c>
    </row>
    <row r="2020" spans="1:10" ht="12" customHeight="1" x14ac:dyDescent="0.25">
      <c r="A2020" s="43">
        <v>45197</v>
      </c>
      <c r="B2020" s="47">
        <v>15871</v>
      </c>
      <c r="C2020" s="44" t="s">
        <v>456</v>
      </c>
      <c r="D2020" s="45">
        <v>7.89</v>
      </c>
      <c r="E2020" s="48" t="s">
        <v>89</v>
      </c>
      <c r="F2020" s="48" t="s">
        <v>90</v>
      </c>
      <c r="G2020" s="48" t="s">
        <v>91</v>
      </c>
      <c r="J2020" s="44">
        <f>YEAR(A2020)</f>
        <v>2023</v>
      </c>
    </row>
    <row r="2021" spans="1:10" ht="12" customHeight="1" x14ac:dyDescent="0.25">
      <c r="A2021" s="43">
        <v>45197</v>
      </c>
      <c r="B2021" s="47">
        <v>15871</v>
      </c>
      <c r="C2021" s="44" t="s">
        <v>456</v>
      </c>
      <c r="D2021" s="45">
        <v>-7.89</v>
      </c>
      <c r="E2021" s="48" t="s">
        <v>299</v>
      </c>
      <c r="F2021" s="48" t="s">
        <v>90</v>
      </c>
      <c r="G2021" s="48" t="s">
        <v>305</v>
      </c>
      <c r="I2021" s="44" t="s">
        <v>985</v>
      </c>
      <c r="J2021" s="44">
        <f>YEAR(A2021)</f>
        <v>2023</v>
      </c>
    </row>
    <row r="2022" spans="1:10" ht="12" customHeight="1" x14ac:dyDescent="0.25">
      <c r="A2022" s="43">
        <v>45200</v>
      </c>
      <c r="B2022" s="47">
        <v>15872</v>
      </c>
      <c r="C2022" s="44" t="s">
        <v>464</v>
      </c>
      <c r="D2022" s="45">
        <v>23.38</v>
      </c>
      <c r="E2022" s="48" t="s">
        <v>89</v>
      </c>
      <c r="F2022" s="48" t="s">
        <v>90</v>
      </c>
      <c r="G2022" s="48" t="s">
        <v>91</v>
      </c>
      <c r="J2022" s="44">
        <f>YEAR(A2022)</f>
        <v>2023</v>
      </c>
    </row>
    <row r="2023" spans="1:10" ht="12" customHeight="1" x14ac:dyDescent="0.25">
      <c r="A2023" s="43">
        <v>45200</v>
      </c>
      <c r="B2023" s="47">
        <v>15872</v>
      </c>
      <c r="C2023" s="44" t="s">
        <v>464</v>
      </c>
      <c r="D2023" s="45">
        <v>-23.38</v>
      </c>
      <c r="E2023" s="48" t="s">
        <v>299</v>
      </c>
      <c r="F2023" s="48" t="s">
        <v>90</v>
      </c>
      <c r="G2023" s="48" t="s">
        <v>305</v>
      </c>
      <c r="I2023" s="44" t="s">
        <v>985</v>
      </c>
      <c r="J2023" s="44">
        <f>YEAR(A2023)</f>
        <v>2023</v>
      </c>
    </row>
    <row r="2024" spans="1:10" ht="12" customHeight="1" x14ac:dyDescent="0.25">
      <c r="A2024" s="43">
        <v>45202</v>
      </c>
      <c r="B2024" s="47">
        <v>15873</v>
      </c>
      <c r="C2024" s="44" t="s">
        <v>484</v>
      </c>
      <c r="D2024" s="45">
        <v>-16.600000000000001</v>
      </c>
      <c r="E2024" s="48" t="s">
        <v>299</v>
      </c>
      <c r="F2024" s="48" t="s">
        <v>90</v>
      </c>
      <c r="G2024" s="48" t="s">
        <v>91</v>
      </c>
      <c r="H2024" s="44">
        <v>4075</v>
      </c>
      <c r="I2024" s="44" t="s">
        <v>949</v>
      </c>
      <c r="J2024" s="44">
        <f>YEAR(A2024)</f>
        <v>2023</v>
      </c>
    </row>
    <row r="2025" spans="1:10" ht="12" customHeight="1" x14ac:dyDescent="0.25">
      <c r="A2025" s="43">
        <v>45202</v>
      </c>
      <c r="B2025" s="47">
        <v>15873</v>
      </c>
      <c r="C2025" s="44" t="s">
        <v>484</v>
      </c>
      <c r="D2025" s="45">
        <v>16.600000000000001</v>
      </c>
      <c r="E2025" s="48" t="s">
        <v>89</v>
      </c>
      <c r="F2025" s="48" t="s">
        <v>90</v>
      </c>
      <c r="G2025" s="48" t="s">
        <v>91</v>
      </c>
      <c r="J2025" s="44">
        <f>YEAR(A2025)</f>
        <v>2023</v>
      </c>
    </row>
    <row r="2026" spans="1:10" ht="12" customHeight="1" x14ac:dyDescent="0.25">
      <c r="A2026" s="43">
        <v>45201</v>
      </c>
      <c r="B2026" s="47">
        <v>15874</v>
      </c>
      <c r="C2026" s="44" t="s">
        <v>453</v>
      </c>
      <c r="D2026" s="45">
        <v>11.1</v>
      </c>
      <c r="E2026" s="48" t="s">
        <v>89</v>
      </c>
      <c r="F2026" s="48" t="s">
        <v>90</v>
      </c>
      <c r="G2026" s="48" t="s">
        <v>91</v>
      </c>
      <c r="J2026" s="44">
        <f>YEAR(A2026)</f>
        <v>2023</v>
      </c>
    </row>
    <row r="2027" spans="1:10" ht="12" customHeight="1" x14ac:dyDescent="0.25">
      <c r="A2027" s="43">
        <v>45201</v>
      </c>
      <c r="B2027" s="47">
        <v>15874</v>
      </c>
      <c r="C2027" s="44" t="s">
        <v>453</v>
      </c>
      <c r="D2027" s="45">
        <v>-11.1</v>
      </c>
      <c r="E2027" s="48" t="s">
        <v>299</v>
      </c>
      <c r="F2027" s="48" t="s">
        <v>90</v>
      </c>
      <c r="G2027" s="48" t="s">
        <v>305</v>
      </c>
      <c r="I2027" s="44" t="s">
        <v>985</v>
      </c>
      <c r="J2027" s="44">
        <f>YEAR(A2027)</f>
        <v>2023</v>
      </c>
    </row>
    <row r="2028" spans="1:10" ht="12" customHeight="1" x14ac:dyDescent="0.25">
      <c r="A2028" s="43">
        <v>45201</v>
      </c>
      <c r="B2028" s="47">
        <v>15875</v>
      </c>
      <c r="C2028" s="44" t="s">
        <v>480</v>
      </c>
      <c r="D2028" s="45">
        <v>3.45</v>
      </c>
      <c r="E2028" s="48" t="s">
        <v>145</v>
      </c>
      <c r="F2028" s="48" t="s">
        <v>128</v>
      </c>
      <c r="G2028" s="48" t="s">
        <v>115</v>
      </c>
      <c r="J2028" s="44">
        <f>YEAR(A2028)</f>
        <v>2023</v>
      </c>
    </row>
    <row r="2029" spans="1:10" ht="12" customHeight="1" x14ac:dyDescent="0.25">
      <c r="A2029" s="43">
        <v>45201</v>
      </c>
      <c r="B2029" s="47">
        <v>15875</v>
      </c>
      <c r="C2029" s="44" t="s">
        <v>480</v>
      </c>
      <c r="D2029" s="45">
        <v>5.5</v>
      </c>
      <c r="E2029" s="48" t="s">
        <v>89</v>
      </c>
      <c r="F2029" s="48" t="s">
        <v>90</v>
      </c>
      <c r="G2029" s="48" t="s">
        <v>91</v>
      </c>
      <c r="J2029" s="44">
        <f>YEAR(A2029)</f>
        <v>2023</v>
      </c>
    </row>
    <row r="2030" spans="1:10" ht="12" customHeight="1" x14ac:dyDescent="0.25">
      <c r="A2030" s="43">
        <v>45201</v>
      </c>
      <c r="B2030" s="47">
        <v>15875</v>
      </c>
      <c r="C2030" s="44" t="s">
        <v>480</v>
      </c>
      <c r="D2030" s="45">
        <v>-43.42</v>
      </c>
      <c r="E2030" s="48" t="s">
        <v>299</v>
      </c>
      <c r="F2030" s="48" t="s">
        <v>90</v>
      </c>
      <c r="G2030" s="48" t="s">
        <v>305</v>
      </c>
      <c r="I2030" s="44" t="s">
        <v>985</v>
      </c>
      <c r="J2030" s="44">
        <f>YEAR(A2030)</f>
        <v>2023</v>
      </c>
    </row>
    <row r="2031" spans="1:10" ht="12" customHeight="1" x14ac:dyDescent="0.25">
      <c r="A2031" s="43">
        <v>45201</v>
      </c>
      <c r="B2031" s="47">
        <v>15875</v>
      </c>
      <c r="C2031" s="44" t="s">
        <v>480</v>
      </c>
      <c r="D2031" s="45">
        <v>17.670000000000002</v>
      </c>
      <c r="E2031" s="48" t="s">
        <v>89</v>
      </c>
      <c r="F2031" s="48" t="s">
        <v>101</v>
      </c>
      <c r="G2031" s="48" t="s">
        <v>91</v>
      </c>
      <c r="J2031" s="44">
        <f>YEAR(A2031)</f>
        <v>2023</v>
      </c>
    </row>
    <row r="2032" spans="1:10" ht="12" customHeight="1" x14ac:dyDescent="0.25">
      <c r="A2032" s="43">
        <v>45201</v>
      </c>
      <c r="B2032" s="47">
        <v>15875</v>
      </c>
      <c r="C2032" s="44" t="s">
        <v>480</v>
      </c>
      <c r="D2032" s="45">
        <v>16.8</v>
      </c>
      <c r="E2032" s="48" t="s">
        <v>157</v>
      </c>
      <c r="F2032" s="48" t="s">
        <v>96</v>
      </c>
      <c r="G2032" s="48" t="s">
        <v>91</v>
      </c>
      <c r="J2032" s="44">
        <f>YEAR(A2032)</f>
        <v>2023</v>
      </c>
    </row>
    <row r="2033" spans="1:10" ht="12" customHeight="1" x14ac:dyDescent="0.25">
      <c r="A2033" s="43">
        <v>45202</v>
      </c>
      <c r="B2033" s="47">
        <v>15876</v>
      </c>
      <c r="C2033" s="44" t="s">
        <v>471</v>
      </c>
      <c r="D2033" s="45">
        <v>30.2</v>
      </c>
      <c r="E2033" s="48" t="s">
        <v>89</v>
      </c>
      <c r="F2033" s="48" t="s">
        <v>90</v>
      </c>
      <c r="G2033" s="48" t="s">
        <v>91</v>
      </c>
      <c r="J2033" s="44">
        <f>YEAR(A2033)</f>
        <v>2023</v>
      </c>
    </row>
    <row r="2034" spans="1:10" ht="12" customHeight="1" x14ac:dyDescent="0.25">
      <c r="A2034" s="43">
        <v>45202</v>
      </c>
      <c r="B2034" s="47">
        <v>15876</v>
      </c>
      <c r="C2034" s="44" t="s">
        <v>471</v>
      </c>
      <c r="D2034" s="45">
        <v>-30.2</v>
      </c>
      <c r="E2034" s="48" t="s">
        <v>299</v>
      </c>
      <c r="F2034" s="48" t="s">
        <v>90</v>
      </c>
      <c r="G2034" s="48" t="s">
        <v>305</v>
      </c>
      <c r="I2034" s="44" t="s">
        <v>985</v>
      </c>
      <c r="J2034" s="44">
        <f>YEAR(A2034)</f>
        <v>2023</v>
      </c>
    </row>
    <row r="2035" spans="1:10" ht="12" customHeight="1" x14ac:dyDescent="0.25">
      <c r="A2035" s="43">
        <v>45202</v>
      </c>
      <c r="B2035" s="47">
        <v>15877</v>
      </c>
      <c r="C2035" s="44" t="s">
        <v>475</v>
      </c>
      <c r="D2035" s="45">
        <v>16.03</v>
      </c>
      <c r="E2035" s="48" t="s">
        <v>89</v>
      </c>
      <c r="F2035" s="48" t="s">
        <v>90</v>
      </c>
      <c r="G2035" s="48" t="s">
        <v>91</v>
      </c>
      <c r="J2035" s="44">
        <f>YEAR(A2035)</f>
        <v>2023</v>
      </c>
    </row>
    <row r="2036" spans="1:10" ht="12" customHeight="1" x14ac:dyDescent="0.25">
      <c r="A2036" s="43">
        <v>45202</v>
      </c>
      <c r="B2036" s="47">
        <v>15877</v>
      </c>
      <c r="C2036" s="44" t="s">
        <v>475</v>
      </c>
      <c r="D2036" s="45">
        <v>-16.03</v>
      </c>
      <c r="E2036" s="48" t="s">
        <v>299</v>
      </c>
      <c r="F2036" s="48" t="s">
        <v>90</v>
      </c>
      <c r="G2036" s="48" t="s">
        <v>305</v>
      </c>
      <c r="I2036" s="44" t="s">
        <v>985</v>
      </c>
      <c r="J2036" s="44">
        <f>YEAR(A2036)</f>
        <v>2023</v>
      </c>
    </row>
    <row r="2037" spans="1:10" ht="12" customHeight="1" x14ac:dyDescent="0.25">
      <c r="A2037" s="43">
        <v>45202</v>
      </c>
      <c r="B2037" s="47">
        <v>15878</v>
      </c>
      <c r="C2037" s="44" t="s">
        <v>926</v>
      </c>
      <c r="D2037" s="45">
        <v>16.66</v>
      </c>
      <c r="E2037" s="48" t="s">
        <v>89</v>
      </c>
      <c r="F2037" s="48" t="s">
        <v>90</v>
      </c>
      <c r="G2037" s="48" t="s">
        <v>91</v>
      </c>
      <c r="J2037" s="44">
        <f>YEAR(A2037)</f>
        <v>2023</v>
      </c>
    </row>
    <row r="2038" spans="1:10" ht="12" customHeight="1" x14ac:dyDescent="0.25">
      <c r="A2038" s="43">
        <v>45202</v>
      </c>
      <c r="B2038" s="47">
        <v>15878</v>
      </c>
      <c r="C2038" s="44" t="s">
        <v>926</v>
      </c>
      <c r="D2038" s="45">
        <v>-16.66</v>
      </c>
      <c r="E2038" s="48" t="s">
        <v>299</v>
      </c>
      <c r="F2038" s="48" t="s">
        <v>90</v>
      </c>
      <c r="G2038" s="48" t="s">
        <v>305</v>
      </c>
      <c r="I2038" s="44" t="s">
        <v>985</v>
      </c>
      <c r="J2038" s="44">
        <f>YEAR(A2038)</f>
        <v>2023</v>
      </c>
    </row>
    <row r="2039" spans="1:10" ht="12" customHeight="1" x14ac:dyDescent="0.25">
      <c r="A2039" s="43">
        <v>45202</v>
      </c>
      <c r="B2039" s="47">
        <v>15879</v>
      </c>
      <c r="C2039" s="44" t="s">
        <v>453</v>
      </c>
      <c r="D2039" s="45">
        <v>20.399999999999999</v>
      </c>
      <c r="E2039" s="48" t="s">
        <v>89</v>
      </c>
      <c r="F2039" s="48" t="s">
        <v>90</v>
      </c>
      <c r="G2039" s="48" t="s">
        <v>91</v>
      </c>
      <c r="J2039" s="44">
        <f>YEAR(A2039)</f>
        <v>2023</v>
      </c>
    </row>
    <row r="2040" spans="1:10" ht="12" customHeight="1" x14ac:dyDescent="0.25">
      <c r="A2040" s="43">
        <v>45202</v>
      </c>
      <c r="B2040" s="47">
        <v>15879</v>
      </c>
      <c r="C2040" s="44" t="s">
        <v>453</v>
      </c>
      <c r="D2040" s="45">
        <v>-20.399999999999999</v>
      </c>
      <c r="E2040" s="48" t="s">
        <v>299</v>
      </c>
      <c r="F2040" s="48" t="s">
        <v>90</v>
      </c>
      <c r="G2040" s="48" t="s">
        <v>305</v>
      </c>
      <c r="I2040" s="44" t="s">
        <v>985</v>
      </c>
      <c r="J2040" s="44">
        <f>YEAR(A2040)</f>
        <v>2023</v>
      </c>
    </row>
    <row r="2041" spans="1:10" ht="12" customHeight="1" x14ac:dyDescent="0.25">
      <c r="A2041" s="43">
        <v>45202</v>
      </c>
      <c r="B2041" s="47">
        <v>15880</v>
      </c>
      <c r="C2041" s="44" t="s">
        <v>480</v>
      </c>
      <c r="D2041" s="45">
        <v>5.5</v>
      </c>
      <c r="E2041" s="48" t="s">
        <v>89</v>
      </c>
      <c r="F2041" s="48" t="s">
        <v>90</v>
      </c>
      <c r="G2041" s="48" t="s">
        <v>91</v>
      </c>
      <c r="J2041" s="44">
        <f>YEAR(A2041)</f>
        <v>2023</v>
      </c>
    </row>
    <row r="2042" spans="1:10" ht="12" customHeight="1" x14ac:dyDescent="0.25">
      <c r="A2042" s="43">
        <v>45202</v>
      </c>
      <c r="B2042" s="47">
        <v>15880</v>
      </c>
      <c r="C2042" s="44" t="s">
        <v>480</v>
      </c>
      <c r="D2042" s="45">
        <v>-11</v>
      </c>
      <c r="E2042" s="48" t="s">
        <v>299</v>
      </c>
      <c r="F2042" s="48" t="s">
        <v>90</v>
      </c>
      <c r="G2042" s="48" t="s">
        <v>305</v>
      </c>
      <c r="I2042" s="44" t="s">
        <v>985</v>
      </c>
      <c r="J2042" s="44">
        <f>YEAR(A2042)</f>
        <v>2023</v>
      </c>
    </row>
    <row r="2043" spans="1:10" ht="12" customHeight="1" x14ac:dyDescent="0.25">
      <c r="A2043" s="43">
        <v>45202</v>
      </c>
      <c r="B2043" s="47">
        <v>15880</v>
      </c>
      <c r="C2043" s="44" t="s">
        <v>480</v>
      </c>
      <c r="D2043" s="45">
        <v>5.5</v>
      </c>
      <c r="E2043" s="48" t="s">
        <v>145</v>
      </c>
      <c r="F2043" s="48" t="s">
        <v>128</v>
      </c>
      <c r="G2043" s="48" t="s">
        <v>115</v>
      </c>
      <c r="J2043" s="44">
        <f>YEAR(A2043)</f>
        <v>2023</v>
      </c>
    </row>
    <row r="2044" spans="1:10" ht="12" customHeight="1" x14ac:dyDescent="0.25">
      <c r="A2044" s="43">
        <v>45202</v>
      </c>
      <c r="B2044" s="47">
        <v>15881</v>
      </c>
      <c r="C2044" s="44" t="s">
        <v>580</v>
      </c>
      <c r="D2044" s="45">
        <v>45</v>
      </c>
      <c r="E2044" s="48" t="s">
        <v>105</v>
      </c>
      <c r="F2044" s="48" t="s">
        <v>90</v>
      </c>
      <c r="G2044" s="48" t="s">
        <v>99</v>
      </c>
      <c r="J2044" s="44">
        <f>YEAR(A2044)</f>
        <v>2023</v>
      </c>
    </row>
    <row r="2045" spans="1:10" ht="12" customHeight="1" x14ac:dyDescent="0.25">
      <c r="A2045" s="43">
        <v>45202</v>
      </c>
      <c r="B2045" s="47">
        <v>15881</v>
      </c>
      <c r="C2045" s="44" t="s">
        <v>441</v>
      </c>
      <c r="D2045" s="45">
        <v>-110.08</v>
      </c>
      <c r="E2045" s="48" t="s">
        <v>299</v>
      </c>
      <c r="F2045" s="48" t="s">
        <v>101</v>
      </c>
      <c r="G2045" s="48" t="s">
        <v>91</v>
      </c>
      <c r="J2045" s="44">
        <f>YEAR(A2045)</f>
        <v>2023</v>
      </c>
    </row>
    <row r="2046" spans="1:10" ht="12" customHeight="1" x14ac:dyDescent="0.25">
      <c r="A2046" s="43">
        <v>45202</v>
      </c>
      <c r="B2046" s="47">
        <v>15881</v>
      </c>
      <c r="C2046" s="44" t="s">
        <v>925</v>
      </c>
      <c r="D2046" s="45">
        <v>0.8</v>
      </c>
      <c r="E2046" s="48" t="s">
        <v>89</v>
      </c>
      <c r="F2046" s="48" t="s">
        <v>101</v>
      </c>
      <c r="G2046" s="48" t="s">
        <v>91</v>
      </c>
      <c r="J2046" s="44">
        <f>YEAR(A2046)</f>
        <v>2023</v>
      </c>
    </row>
    <row r="2047" spans="1:10" ht="12" customHeight="1" x14ac:dyDescent="0.25">
      <c r="A2047" s="43">
        <v>45202</v>
      </c>
      <c r="B2047" s="47">
        <v>15881</v>
      </c>
      <c r="C2047" s="44" t="s">
        <v>484</v>
      </c>
      <c r="D2047" s="45">
        <v>5.85</v>
      </c>
      <c r="E2047" s="48" t="s">
        <v>89</v>
      </c>
      <c r="F2047" s="48" t="s">
        <v>90</v>
      </c>
      <c r="G2047" s="48" t="s">
        <v>91</v>
      </c>
      <c r="J2047" s="44">
        <f>YEAR(A2047)</f>
        <v>2023</v>
      </c>
    </row>
    <row r="2048" spans="1:10" ht="12" customHeight="1" x14ac:dyDescent="0.25">
      <c r="A2048" s="43">
        <v>45202</v>
      </c>
      <c r="B2048" s="47">
        <v>15881</v>
      </c>
      <c r="C2048" s="44" t="s">
        <v>474</v>
      </c>
      <c r="D2048" s="45">
        <v>7.05</v>
      </c>
      <c r="E2048" s="48" t="s">
        <v>89</v>
      </c>
      <c r="F2048" s="48" t="s">
        <v>90</v>
      </c>
      <c r="G2048" s="48" t="s">
        <v>91</v>
      </c>
      <c r="J2048" s="44">
        <f>YEAR(A2048)</f>
        <v>2023</v>
      </c>
    </row>
    <row r="2049" spans="1:10" ht="12" customHeight="1" x14ac:dyDescent="0.25">
      <c r="A2049" s="43">
        <v>45206</v>
      </c>
      <c r="B2049" s="47">
        <v>15881</v>
      </c>
      <c r="C2049" s="44" t="s">
        <v>474</v>
      </c>
      <c r="D2049" s="45">
        <v>21.38</v>
      </c>
      <c r="E2049" s="48" t="s">
        <v>89</v>
      </c>
      <c r="F2049" s="48" t="s">
        <v>90</v>
      </c>
      <c r="G2049" s="48" t="s">
        <v>91</v>
      </c>
      <c r="J2049" s="44">
        <f>YEAR(A2049)</f>
        <v>2023</v>
      </c>
    </row>
    <row r="2050" spans="1:10" ht="12" customHeight="1" x14ac:dyDescent="0.25">
      <c r="A2050" s="43">
        <v>45229</v>
      </c>
      <c r="B2050" s="47">
        <v>15881</v>
      </c>
      <c r="C2050" s="44" t="s">
        <v>1001</v>
      </c>
      <c r="D2050" s="45">
        <v>30</v>
      </c>
      <c r="E2050" s="48" t="s">
        <v>180</v>
      </c>
      <c r="F2050" s="48" t="s">
        <v>128</v>
      </c>
      <c r="G2050" s="48" t="s">
        <v>94</v>
      </c>
      <c r="J2050" s="44">
        <f>YEAR(A2050)</f>
        <v>2023</v>
      </c>
    </row>
    <row r="2051" spans="1:10" ht="12" customHeight="1" x14ac:dyDescent="0.25">
      <c r="A2051" s="43">
        <v>45202</v>
      </c>
      <c r="B2051" s="47">
        <v>15882</v>
      </c>
      <c r="C2051" s="44" t="s">
        <v>446</v>
      </c>
      <c r="D2051" s="45">
        <v>73.08</v>
      </c>
      <c r="E2051" s="48" t="s">
        <v>89</v>
      </c>
      <c r="F2051" s="48" t="s">
        <v>90</v>
      </c>
      <c r="G2051" s="48" t="s">
        <v>91</v>
      </c>
      <c r="J2051" s="44">
        <f>YEAR(A2051)</f>
        <v>2023</v>
      </c>
    </row>
    <row r="2052" spans="1:10" ht="12" customHeight="1" x14ac:dyDescent="0.25">
      <c r="A2052" s="43">
        <v>45202</v>
      </c>
      <c r="B2052" s="47">
        <v>15882</v>
      </c>
      <c r="C2052" s="44" t="s">
        <v>446</v>
      </c>
      <c r="D2052" s="45">
        <v>-73.08</v>
      </c>
      <c r="E2052" s="48" t="s">
        <v>299</v>
      </c>
      <c r="F2052" s="48" t="s">
        <v>90</v>
      </c>
      <c r="G2052" s="48" t="s">
        <v>305</v>
      </c>
      <c r="I2052" s="44" t="s">
        <v>985</v>
      </c>
      <c r="J2052" s="44">
        <f>YEAR(A2052)</f>
        <v>2023</v>
      </c>
    </row>
    <row r="2053" spans="1:10" ht="12" customHeight="1" x14ac:dyDescent="0.25">
      <c r="A2053" s="43">
        <v>45202</v>
      </c>
      <c r="B2053" s="47">
        <v>15883</v>
      </c>
      <c r="C2053" s="44" t="s">
        <v>455</v>
      </c>
      <c r="D2053" s="45">
        <v>61.39</v>
      </c>
      <c r="E2053" s="48" t="s">
        <v>180</v>
      </c>
      <c r="F2053" s="48" t="s">
        <v>96</v>
      </c>
      <c r="G2053" s="48" t="s">
        <v>186</v>
      </c>
      <c r="J2053" s="44">
        <f>YEAR(A2053)</f>
        <v>2023</v>
      </c>
    </row>
    <row r="2054" spans="1:10" ht="12" customHeight="1" x14ac:dyDescent="0.25">
      <c r="A2054" s="43">
        <v>45202</v>
      </c>
      <c r="B2054" s="47">
        <v>15883</v>
      </c>
      <c r="C2054" s="44" t="s">
        <v>455</v>
      </c>
      <c r="D2054" s="45">
        <v>-61.39</v>
      </c>
      <c r="E2054" s="48" t="s">
        <v>299</v>
      </c>
      <c r="F2054" s="48" t="s">
        <v>90</v>
      </c>
      <c r="G2054" s="48" t="s">
        <v>305</v>
      </c>
      <c r="I2054" s="44" t="s">
        <v>985</v>
      </c>
      <c r="J2054" s="44">
        <f>YEAR(A2054)</f>
        <v>2023</v>
      </c>
    </row>
    <row r="2055" spans="1:10" ht="12" customHeight="1" x14ac:dyDescent="0.25">
      <c r="A2055" s="43">
        <v>45202</v>
      </c>
      <c r="B2055" s="47">
        <v>15884</v>
      </c>
      <c r="C2055" s="44" t="s">
        <v>455</v>
      </c>
      <c r="D2055" s="45">
        <v>46.3</v>
      </c>
      <c r="E2055" s="48" t="s">
        <v>89</v>
      </c>
      <c r="F2055" s="48" t="s">
        <v>90</v>
      </c>
      <c r="G2055" s="48" t="s">
        <v>91</v>
      </c>
      <c r="J2055" s="44">
        <f>YEAR(A2055)</f>
        <v>2023</v>
      </c>
    </row>
    <row r="2056" spans="1:10" ht="12" customHeight="1" x14ac:dyDescent="0.25">
      <c r="A2056" s="43">
        <v>45202</v>
      </c>
      <c r="B2056" s="47">
        <v>15884</v>
      </c>
      <c r="C2056" s="44" t="s">
        <v>455</v>
      </c>
      <c r="D2056" s="45">
        <v>-109.24</v>
      </c>
      <c r="E2056" s="48" t="s">
        <v>299</v>
      </c>
      <c r="F2056" s="48" t="s">
        <v>90</v>
      </c>
      <c r="G2056" s="48" t="s">
        <v>305</v>
      </c>
      <c r="I2056" s="44" t="s">
        <v>985</v>
      </c>
      <c r="J2056" s="44">
        <f>YEAR(A2056)</f>
        <v>2023</v>
      </c>
    </row>
    <row r="2057" spans="1:10" ht="12" customHeight="1" x14ac:dyDescent="0.25">
      <c r="A2057" s="43">
        <v>45202</v>
      </c>
      <c r="B2057" s="47">
        <v>15884</v>
      </c>
      <c r="C2057" s="44" t="s">
        <v>455</v>
      </c>
      <c r="D2057" s="45">
        <f>9.32+2.88*2+4.68</f>
        <v>19.760000000000002</v>
      </c>
      <c r="E2057" s="48" t="s">
        <v>157</v>
      </c>
      <c r="F2057" s="48" t="s">
        <v>96</v>
      </c>
      <c r="G2057" s="48" t="s">
        <v>91</v>
      </c>
      <c r="J2057" s="44">
        <f>YEAR(A2057)</f>
        <v>2023</v>
      </c>
    </row>
    <row r="2058" spans="1:10" ht="12" customHeight="1" x14ac:dyDescent="0.25">
      <c r="A2058" s="43">
        <v>45202</v>
      </c>
      <c r="B2058" s="47">
        <v>15884</v>
      </c>
      <c r="C2058" s="44" t="s">
        <v>455</v>
      </c>
      <c r="D2058" s="45">
        <v>4.66</v>
      </c>
      <c r="E2058" s="48" t="s">
        <v>197</v>
      </c>
      <c r="F2058" s="48" t="s">
        <v>96</v>
      </c>
      <c r="G2058" s="48" t="s">
        <v>91</v>
      </c>
      <c r="J2058" s="44">
        <f>YEAR(A2058)</f>
        <v>2023</v>
      </c>
    </row>
    <row r="2059" spans="1:10" ht="12" customHeight="1" x14ac:dyDescent="0.25">
      <c r="A2059" s="43">
        <v>45202</v>
      </c>
      <c r="B2059" s="47">
        <v>15884</v>
      </c>
      <c r="C2059" s="44" t="s">
        <v>455</v>
      </c>
      <c r="D2059" s="45">
        <f>9.32+7.77+4.68+2.11+1.49*3+1.44+1.47+3.01+4.25</f>
        <v>38.520000000000003</v>
      </c>
      <c r="E2059" s="48" t="s">
        <v>157</v>
      </c>
      <c r="F2059" s="48" t="s">
        <v>96</v>
      </c>
      <c r="G2059" s="48" t="s">
        <v>115</v>
      </c>
      <c r="J2059" s="44">
        <f>YEAR(A2059)</f>
        <v>2023</v>
      </c>
    </row>
    <row r="2060" spans="1:10" ht="12" customHeight="1" x14ac:dyDescent="0.25">
      <c r="A2060" s="43">
        <v>45203</v>
      </c>
      <c r="B2060" s="47">
        <v>15885</v>
      </c>
      <c r="C2060" s="44" t="s">
        <v>768</v>
      </c>
      <c r="D2060" s="45">
        <v>-137.91999999999999</v>
      </c>
      <c r="E2060" s="48" t="s">
        <v>299</v>
      </c>
      <c r="F2060" s="48" t="s">
        <v>90</v>
      </c>
      <c r="G2060" s="48" t="s">
        <v>91</v>
      </c>
      <c r="H2060" s="44" t="s">
        <v>402</v>
      </c>
      <c r="I2060" s="44" t="s">
        <v>949</v>
      </c>
      <c r="J2060" s="44">
        <f>YEAR(A2060)</f>
        <v>2023</v>
      </c>
    </row>
    <row r="2061" spans="1:10" ht="12" customHeight="1" x14ac:dyDescent="0.25">
      <c r="A2061" s="43">
        <v>45203</v>
      </c>
      <c r="B2061" s="47">
        <v>15885</v>
      </c>
      <c r="C2061" s="44" t="s">
        <v>767</v>
      </c>
      <c r="D2061" s="45">
        <v>137.91999999999999</v>
      </c>
      <c r="E2061" s="48" t="s">
        <v>244</v>
      </c>
      <c r="F2061" s="48" t="s">
        <v>90</v>
      </c>
      <c r="G2061" s="48" t="s">
        <v>114</v>
      </c>
      <c r="J2061" s="44">
        <f>YEAR(A2061)</f>
        <v>2023</v>
      </c>
    </row>
    <row r="2062" spans="1:10" ht="12" customHeight="1" x14ac:dyDescent="0.25">
      <c r="A2062" s="43">
        <v>45203</v>
      </c>
      <c r="B2062" s="47">
        <v>15886</v>
      </c>
      <c r="C2062" s="44" t="s">
        <v>164</v>
      </c>
      <c r="D2062" s="45">
        <v>-1458.58</v>
      </c>
      <c r="E2062" s="48" t="s">
        <v>299</v>
      </c>
      <c r="F2062" s="48" t="s">
        <v>90</v>
      </c>
      <c r="G2062" s="48" t="s">
        <v>91</v>
      </c>
      <c r="H2062" s="44" t="s">
        <v>402</v>
      </c>
      <c r="I2062" s="44" t="s">
        <v>949</v>
      </c>
      <c r="J2062" s="44">
        <f>YEAR(A2062)</f>
        <v>2023</v>
      </c>
    </row>
    <row r="2063" spans="1:10" ht="12" customHeight="1" x14ac:dyDescent="0.25">
      <c r="A2063" s="43">
        <v>45203</v>
      </c>
      <c r="B2063" s="47">
        <v>15886</v>
      </c>
      <c r="C2063" s="44" t="s">
        <v>164</v>
      </c>
      <c r="D2063" s="45">
        <v>1458.58</v>
      </c>
      <c r="E2063" s="48" t="s">
        <v>157</v>
      </c>
      <c r="F2063" s="48" t="s">
        <v>128</v>
      </c>
      <c r="G2063" s="48" t="s">
        <v>112</v>
      </c>
      <c r="J2063" s="44">
        <f>YEAR(A2063)</f>
        <v>2023</v>
      </c>
    </row>
    <row r="2064" spans="1:10" ht="12" customHeight="1" x14ac:dyDescent="0.25">
      <c r="A2064" s="43">
        <v>45203</v>
      </c>
      <c r="B2064" s="47">
        <v>15887</v>
      </c>
      <c r="C2064" s="44" t="s">
        <v>512</v>
      </c>
      <c r="D2064" s="45">
        <v>-1258.9000000000001</v>
      </c>
      <c r="E2064" s="48" t="s">
        <v>244</v>
      </c>
      <c r="F2064" s="48" t="s">
        <v>90</v>
      </c>
      <c r="G2064" s="48" t="s">
        <v>114</v>
      </c>
      <c r="J2064" s="44">
        <f>YEAR(A2064)</f>
        <v>2023</v>
      </c>
    </row>
    <row r="2065" spans="1:10" ht="12" customHeight="1" x14ac:dyDescent="0.25">
      <c r="A2065" s="43">
        <v>45203</v>
      </c>
      <c r="B2065" s="47">
        <v>15887</v>
      </c>
      <c r="C2065" s="44" t="s">
        <v>512</v>
      </c>
      <c r="D2065" s="45">
        <v>1258.9000000000001</v>
      </c>
      <c r="E2065" s="48" t="s">
        <v>299</v>
      </c>
      <c r="F2065" s="48" t="s">
        <v>90</v>
      </c>
      <c r="G2065" s="48" t="s">
        <v>91</v>
      </c>
      <c r="H2065" s="44" t="s">
        <v>398</v>
      </c>
      <c r="I2065" s="44" t="s">
        <v>950</v>
      </c>
      <c r="J2065" s="44">
        <f>YEAR(A2065)</f>
        <v>2023</v>
      </c>
    </row>
    <row r="2066" spans="1:10" ht="12" customHeight="1" x14ac:dyDescent="0.25">
      <c r="A2066" s="43">
        <v>45208</v>
      </c>
      <c r="B2066" s="47">
        <v>15888</v>
      </c>
      <c r="C2066" s="44" t="s">
        <v>953</v>
      </c>
      <c r="D2066" s="45">
        <v>-344.82</v>
      </c>
      <c r="E2066" s="48" t="s">
        <v>299</v>
      </c>
      <c r="F2066" s="48" t="s">
        <v>90</v>
      </c>
      <c r="G2066" s="48" t="s">
        <v>91</v>
      </c>
      <c r="I2066" s="44" t="s">
        <v>949</v>
      </c>
      <c r="J2066" s="44">
        <f>YEAR(A2066)</f>
        <v>2023</v>
      </c>
    </row>
    <row r="2067" spans="1:10" ht="12" customHeight="1" x14ac:dyDescent="0.25">
      <c r="A2067" s="43">
        <v>45192</v>
      </c>
      <c r="B2067" s="47">
        <v>15888</v>
      </c>
      <c r="C2067" s="44" t="s">
        <v>927</v>
      </c>
      <c r="D2067" s="45">
        <v>1.5</v>
      </c>
      <c r="E2067" s="48" t="s">
        <v>89</v>
      </c>
      <c r="F2067" s="48" t="s">
        <v>90</v>
      </c>
      <c r="G2067" s="48" t="s">
        <v>91</v>
      </c>
      <c r="J2067" s="44">
        <f>YEAR(A2067)</f>
        <v>2023</v>
      </c>
    </row>
    <row r="2068" spans="1:10" ht="12" customHeight="1" x14ac:dyDescent="0.25">
      <c r="A2068" s="43">
        <v>45192</v>
      </c>
      <c r="B2068" s="47">
        <v>15888</v>
      </c>
      <c r="C2068" s="44" t="s">
        <v>558</v>
      </c>
      <c r="D2068" s="45">
        <v>2.4900000000000002</v>
      </c>
      <c r="E2068" s="48" t="s">
        <v>89</v>
      </c>
      <c r="F2068" s="48" t="s">
        <v>90</v>
      </c>
      <c r="G2068" s="48" t="s">
        <v>91</v>
      </c>
      <c r="J2068" s="44">
        <f>YEAR(A2068)</f>
        <v>2023</v>
      </c>
    </row>
    <row r="2069" spans="1:10" ht="12" customHeight="1" x14ac:dyDescent="0.25">
      <c r="A2069" s="43">
        <v>45192</v>
      </c>
      <c r="B2069" s="47">
        <v>15888</v>
      </c>
      <c r="C2069" s="44" t="s">
        <v>928</v>
      </c>
      <c r="D2069" s="45">
        <v>38</v>
      </c>
      <c r="E2069" s="48" t="s">
        <v>89</v>
      </c>
      <c r="F2069" s="48" t="s">
        <v>90</v>
      </c>
      <c r="G2069" s="48" t="s">
        <v>91</v>
      </c>
      <c r="J2069" s="44">
        <f>YEAR(A2069)</f>
        <v>2023</v>
      </c>
    </row>
    <row r="2070" spans="1:10" ht="12" customHeight="1" x14ac:dyDescent="0.25">
      <c r="A2070" s="43">
        <v>45192</v>
      </c>
      <c r="B2070" s="47">
        <v>15888</v>
      </c>
      <c r="C2070" s="44" t="s">
        <v>929</v>
      </c>
      <c r="D2070" s="45">
        <v>7.96</v>
      </c>
      <c r="E2070" s="48" t="s">
        <v>157</v>
      </c>
      <c r="F2070" s="48" t="s">
        <v>96</v>
      </c>
      <c r="G2070" s="48" t="s">
        <v>91</v>
      </c>
      <c r="J2070" s="44">
        <f>YEAR(A2070)</f>
        <v>2023</v>
      </c>
    </row>
    <row r="2071" spans="1:10" ht="12" customHeight="1" x14ac:dyDescent="0.25">
      <c r="A2071" s="43">
        <v>45199</v>
      </c>
      <c r="B2071" s="47">
        <v>15888</v>
      </c>
      <c r="C2071" s="44" t="s">
        <v>451</v>
      </c>
      <c r="D2071" s="45">
        <v>4.7</v>
      </c>
      <c r="E2071" s="48" t="s">
        <v>89</v>
      </c>
      <c r="F2071" s="48" t="s">
        <v>90</v>
      </c>
      <c r="G2071" s="48" t="s">
        <v>91</v>
      </c>
      <c r="J2071" s="44">
        <f>YEAR(A2071)</f>
        <v>2023</v>
      </c>
    </row>
    <row r="2072" spans="1:10" ht="12" customHeight="1" x14ac:dyDescent="0.25">
      <c r="A2072" s="43">
        <v>45205</v>
      </c>
      <c r="B2072" s="47">
        <v>15888</v>
      </c>
      <c r="C2072" s="44" t="s">
        <v>930</v>
      </c>
      <c r="D2072" s="45">
        <v>17.8</v>
      </c>
      <c r="E2072" s="48" t="s">
        <v>180</v>
      </c>
      <c r="F2072" s="48" t="s">
        <v>90</v>
      </c>
      <c r="G2072" s="48" t="s">
        <v>91</v>
      </c>
      <c r="H2072" s="44" t="s">
        <v>442</v>
      </c>
      <c r="J2072" s="44">
        <f>YEAR(A2072)</f>
        <v>2023</v>
      </c>
    </row>
    <row r="2073" spans="1:10" ht="12" customHeight="1" x14ac:dyDescent="0.25">
      <c r="A2073" s="43">
        <v>45205</v>
      </c>
      <c r="B2073" s="47">
        <v>15888</v>
      </c>
      <c r="C2073" s="44" t="s">
        <v>931</v>
      </c>
      <c r="D2073" s="45">
        <v>46.57</v>
      </c>
      <c r="E2073" s="48" t="s">
        <v>197</v>
      </c>
      <c r="F2073" s="48" t="s">
        <v>96</v>
      </c>
      <c r="G2073" s="48" t="s">
        <v>91</v>
      </c>
      <c r="J2073" s="44">
        <f>YEAR(A2073)</f>
        <v>2023</v>
      </c>
    </row>
    <row r="2074" spans="1:10" ht="12" customHeight="1" x14ac:dyDescent="0.25">
      <c r="A2074" s="43">
        <v>45206</v>
      </c>
      <c r="B2074" s="47">
        <v>15888</v>
      </c>
      <c r="C2074" s="44" t="s">
        <v>932</v>
      </c>
      <c r="D2074" s="45">
        <v>90.3</v>
      </c>
      <c r="E2074" s="48" t="s">
        <v>89</v>
      </c>
      <c r="F2074" s="48" t="s">
        <v>96</v>
      </c>
      <c r="G2074" s="48" t="s">
        <v>91</v>
      </c>
      <c r="J2074" s="44">
        <f>YEAR(A2074)</f>
        <v>2023</v>
      </c>
    </row>
    <row r="2075" spans="1:10" ht="12" customHeight="1" x14ac:dyDescent="0.25">
      <c r="A2075" s="43">
        <v>45206</v>
      </c>
      <c r="B2075" s="47">
        <v>15888</v>
      </c>
      <c r="C2075" s="44" t="s">
        <v>933</v>
      </c>
      <c r="D2075" s="45">
        <v>119</v>
      </c>
      <c r="E2075" s="48" t="s">
        <v>89</v>
      </c>
      <c r="F2075" s="48" t="s">
        <v>96</v>
      </c>
      <c r="G2075" s="48" t="s">
        <v>91</v>
      </c>
      <c r="J2075" s="44">
        <f>YEAR(A2075)</f>
        <v>2023</v>
      </c>
    </row>
    <row r="2076" spans="1:10" ht="12" customHeight="1" x14ac:dyDescent="0.25">
      <c r="A2076" s="43">
        <v>45207</v>
      </c>
      <c r="B2076" s="47">
        <v>15888</v>
      </c>
      <c r="C2076" s="44" t="s">
        <v>934</v>
      </c>
      <c r="D2076" s="45">
        <v>16.5</v>
      </c>
      <c r="E2076" s="48" t="s">
        <v>89</v>
      </c>
      <c r="F2076" s="48" t="s">
        <v>96</v>
      </c>
      <c r="G2076" s="48" t="s">
        <v>91</v>
      </c>
      <c r="I2076" s="44" t="s">
        <v>402</v>
      </c>
      <c r="J2076" s="44">
        <f>YEAR(A2076)</f>
        <v>2023</v>
      </c>
    </row>
    <row r="2077" spans="1:10" ht="12" customHeight="1" x14ac:dyDescent="0.25">
      <c r="A2077" s="43">
        <v>45208</v>
      </c>
      <c r="B2077" s="47">
        <v>15889</v>
      </c>
      <c r="C2077" s="44" t="s">
        <v>461</v>
      </c>
      <c r="D2077" s="45">
        <v>16</v>
      </c>
      <c r="E2077" s="48" t="s">
        <v>145</v>
      </c>
      <c r="F2077" s="48" t="s">
        <v>116</v>
      </c>
      <c r="G2077" s="48" t="s">
        <v>91</v>
      </c>
      <c r="J2077" s="44">
        <f>YEAR(A2077)</f>
        <v>2023</v>
      </c>
    </row>
    <row r="2078" spans="1:10" ht="12" customHeight="1" x14ac:dyDescent="0.25">
      <c r="A2078" s="43">
        <v>45208</v>
      </c>
      <c r="B2078" s="47">
        <v>15889</v>
      </c>
      <c r="C2078" s="44" t="s">
        <v>461</v>
      </c>
      <c r="D2078" s="45">
        <v>-16</v>
      </c>
      <c r="E2078" s="48" t="s">
        <v>299</v>
      </c>
      <c r="F2078" s="48" t="s">
        <v>90</v>
      </c>
      <c r="G2078" s="48" t="s">
        <v>305</v>
      </c>
      <c r="I2078" s="44" t="s">
        <v>985</v>
      </c>
      <c r="J2078" s="44">
        <f>YEAR(A2078)</f>
        <v>2023</v>
      </c>
    </row>
    <row r="2079" spans="1:10" ht="12" customHeight="1" x14ac:dyDescent="0.25">
      <c r="A2079" s="43">
        <v>45204</v>
      </c>
      <c r="B2079" s="47">
        <v>15890</v>
      </c>
      <c r="C2079" s="44" t="s">
        <v>738</v>
      </c>
      <c r="D2079" s="45">
        <v>-18.899999999999999</v>
      </c>
      <c r="E2079" s="48" t="s">
        <v>299</v>
      </c>
      <c r="F2079" s="48" t="s">
        <v>90</v>
      </c>
      <c r="G2079" s="48" t="s">
        <v>91</v>
      </c>
      <c r="H2079" s="44">
        <v>4076</v>
      </c>
      <c r="I2079" s="44" t="s">
        <v>949</v>
      </c>
      <c r="J2079" s="44">
        <f>YEAR(A2079)</f>
        <v>2023</v>
      </c>
    </row>
    <row r="2080" spans="1:10" ht="12" customHeight="1" x14ac:dyDescent="0.25">
      <c r="A2080" s="43">
        <v>45204</v>
      </c>
      <c r="B2080" s="47">
        <v>15890</v>
      </c>
      <c r="C2080" s="44" t="s">
        <v>738</v>
      </c>
      <c r="D2080" s="45">
        <v>18.899999999999999</v>
      </c>
      <c r="E2080" s="48" t="s">
        <v>197</v>
      </c>
      <c r="F2080" s="48" t="s">
        <v>90</v>
      </c>
      <c r="G2080" s="48" t="s">
        <v>99</v>
      </c>
      <c r="J2080" s="44">
        <f>YEAR(A2080)</f>
        <v>2023</v>
      </c>
    </row>
    <row r="2081" spans="1:10" ht="12" customHeight="1" x14ac:dyDescent="0.25">
      <c r="A2081" s="43">
        <v>45205</v>
      </c>
      <c r="B2081" s="47">
        <v>15891</v>
      </c>
      <c r="C2081" s="44" t="s">
        <v>444</v>
      </c>
      <c r="D2081" s="45">
        <v>80.319999999999993</v>
      </c>
      <c r="E2081" s="48" t="s">
        <v>180</v>
      </c>
      <c r="F2081" s="48" t="s">
        <v>96</v>
      </c>
      <c r="G2081" s="48" t="s">
        <v>187</v>
      </c>
      <c r="J2081" s="44">
        <f>YEAR(A2081)</f>
        <v>2023</v>
      </c>
    </row>
    <row r="2082" spans="1:10" ht="12" customHeight="1" x14ac:dyDescent="0.25">
      <c r="A2082" s="43">
        <v>45205</v>
      </c>
      <c r="B2082" s="47">
        <v>15891</v>
      </c>
      <c r="C2082" s="44" t="s">
        <v>444</v>
      </c>
      <c r="D2082" s="45">
        <v>-80.319999999999993</v>
      </c>
      <c r="E2082" s="48" t="s">
        <v>299</v>
      </c>
      <c r="F2082" s="48" t="s">
        <v>90</v>
      </c>
      <c r="G2082" s="48" t="s">
        <v>305</v>
      </c>
      <c r="I2082" s="44" t="s">
        <v>985</v>
      </c>
      <c r="J2082" s="44">
        <f>YEAR(A2082)</f>
        <v>2023</v>
      </c>
    </row>
    <row r="2083" spans="1:10" ht="12" customHeight="1" x14ac:dyDescent="0.25">
      <c r="A2083" s="43">
        <v>45205</v>
      </c>
      <c r="B2083" s="47">
        <v>15892</v>
      </c>
      <c r="C2083" s="44" t="s">
        <v>444</v>
      </c>
      <c r="D2083" s="45">
        <v>-10.99</v>
      </c>
      <c r="E2083" s="48" t="s">
        <v>299</v>
      </c>
      <c r="F2083" s="48" t="s">
        <v>90</v>
      </c>
      <c r="G2083" s="48" t="s">
        <v>91</v>
      </c>
      <c r="H2083" s="44" t="s">
        <v>459</v>
      </c>
      <c r="I2083" s="44" t="s">
        <v>949</v>
      </c>
      <c r="J2083" s="44">
        <f>YEAR(A2083)</f>
        <v>2023</v>
      </c>
    </row>
    <row r="2084" spans="1:10" ht="12" customHeight="1" x14ac:dyDescent="0.25">
      <c r="A2084" s="43">
        <v>45205</v>
      </c>
      <c r="B2084" s="47">
        <v>15892</v>
      </c>
      <c r="C2084" s="44" t="s">
        <v>444</v>
      </c>
      <c r="D2084" s="45">
        <v>10.99</v>
      </c>
      <c r="E2084" s="48" t="s">
        <v>157</v>
      </c>
      <c r="F2084" s="48" t="s">
        <v>155</v>
      </c>
      <c r="G2084" s="48" t="s">
        <v>91</v>
      </c>
      <c r="J2084" s="44">
        <f>YEAR(A2084)</f>
        <v>2023</v>
      </c>
    </row>
    <row r="2085" spans="1:10" ht="12" customHeight="1" x14ac:dyDescent="0.25">
      <c r="A2085" s="43">
        <v>45205</v>
      </c>
      <c r="B2085" s="47">
        <v>15893</v>
      </c>
      <c r="C2085" s="44" t="s">
        <v>935</v>
      </c>
      <c r="D2085" s="45">
        <v>38.299999999999997</v>
      </c>
      <c r="E2085" s="48" t="s">
        <v>89</v>
      </c>
      <c r="F2085" s="48" t="s">
        <v>96</v>
      </c>
      <c r="G2085" s="48" t="s">
        <v>91</v>
      </c>
      <c r="J2085" s="44">
        <f>YEAR(A2085)</f>
        <v>2023</v>
      </c>
    </row>
    <row r="2086" spans="1:10" ht="12" customHeight="1" x14ac:dyDescent="0.25">
      <c r="A2086" s="43">
        <v>45205</v>
      </c>
      <c r="B2086" s="47">
        <v>15893</v>
      </c>
      <c r="C2086" s="44" t="s">
        <v>935</v>
      </c>
      <c r="D2086" s="45">
        <v>-38.299999999999997</v>
      </c>
      <c r="E2086" s="48" t="s">
        <v>299</v>
      </c>
      <c r="F2086" s="48" t="s">
        <v>90</v>
      </c>
      <c r="G2086" s="48" t="s">
        <v>305</v>
      </c>
      <c r="I2086" s="44" t="s">
        <v>985</v>
      </c>
      <c r="J2086" s="44">
        <f>YEAR(A2086)</f>
        <v>2023</v>
      </c>
    </row>
    <row r="2087" spans="1:10" ht="12" customHeight="1" x14ac:dyDescent="0.25">
      <c r="A2087" s="43">
        <v>45205</v>
      </c>
      <c r="B2087" s="47">
        <v>15894</v>
      </c>
      <c r="C2087" s="44" t="s">
        <v>936</v>
      </c>
      <c r="D2087" s="45">
        <v>132.5</v>
      </c>
      <c r="E2087" s="48" t="s">
        <v>89</v>
      </c>
      <c r="F2087" s="48" t="s">
        <v>96</v>
      </c>
      <c r="G2087" s="48" t="s">
        <v>91</v>
      </c>
      <c r="J2087" s="44">
        <f>YEAR(A2087)</f>
        <v>2023</v>
      </c>
    </row>
    <row r="2088" spans="1:10" ht="12" customHeight="1" x14ac:dyDescent="0.25">
      <c r="A2088" s="43">
        <v>45205</v>
      </c>
      <c r="B2088" s="47">
        <v>15894</v>
      </c>
      <c r="C2088" s="44" t="s">
        <v>936</v>
      </c>
      <c r="D2088" s="45">
        <v>-132.5</v>
      </c>
      <c r="E2088" s="48" t="s">
        <v>299</v>
      </c>
      <c r="F2088" s="48" t="s">
        <v>90</v>
      </c>
      <c r="G2088" s="48" t="s">
        <v>305</v>
      </c>
      <c r="I2088" s="44" t="s">
        <v>985</v>
      </c>
      <c r="J2088" s="44">
        <f>YEAR(A2088)</f>
        <v>2023</v>
      </c>
    </row>
    <row r="2089" spans="1:10" ht="12" customHeight="1" x14ac:dyDescent="0.25">
      <c r="A2089" s="43">
        <v>45206</v>
      </c>
      <c r="B2089" s="47">
        <v>15895</v>
      </c>
      <c r="C2089" s="44" t="s">
        <v>937</v>
      </c>
      <c r="D2089" s="45">
        <v>1</v>
      </c>
      <c r="E2089" s="48" t="s">
        <v>180</v>
      </c>
      <c r="F2089" s="48" t="s">
        <v>90</v>
      </c>
      <c r="G2089" s="48" t="s">
        <v>91</v>
      </c>
      <c r="J2089" s="44">
        <f>YEAR(A2089)</f>
        <v>2023</v>
      </c>
    </row>
    <row r="2090" spans="1:10" ht="12" customHeight="1" x14ac:dyDescent="0.25">
      <c r="A2090" s="43">
        <v>45206</v>
      </c>
      <c r="B2090" s="47">
        <v>15895</v>
      </c>
      <c r="C2090" s="44" t="s">
        <v>937</v>
      </c>
      <c r="D2090" s="45">
        <v>-1</v>
      </c>
      <c r="E2090" s="48" t="s">
        <v>299</v>
      </c>
      <c r="F2090" s="48" t="s">
        <v>90</v>
      </c>
      <c r="G2090" s="48" t="s">
        <v>305</v>
      </c>
      <c r="I2090" s="44" t="s">
        <v>985</v>
      </c>
      <c r="J2090" s="44">
        <f>YEAR(A2090)</f>
        <v>2023</v>
      </c>
    </row>
    <row r="2091" spans="1:10" ht="12" customHeight="1" x14ac:dyDescent="0.25">
      <c r="A2091" s="43">
        <v>45206</v>
      </c>
      <c r="B2091" s="47">
        <v>15896</v>
      </c>
      <c r="C2091" s="44" t="s">
        <v>938</v>
      </c>
      <c r="D2091" s="45">
        <v>3.6</v>
      </c>
      <c r="E2091" s="48" t="s">
        <v>89</v>
      </c>
      <c r="F2091" s="48" t="s">
        <v>96</v>
      </c>
      <c r="G2091" s="48" t="s">
        <v>91</v>
      </c>
      <c r="J2091" s="44">
        <f>YEAR(A2091)</f>
        <v>2023</v>
      </c>
    </row>
    <row r="2092" spans="1:10" ht="12" customHeight="1" x14ac:dyDescent="0.25">
      <c r="A2092" s="43">
        <v>45206</v>
      </c>
      <c r="B2092" s="47">
        <v>15896</v>
      </c>
      <c r="C2092" s="44" t="s">
        <v>938</v>
      </c>
      <c r="D2092" s="45">
        <v>-3.6</v>
      </c>
      <c r="E2092" s="48" t="s">
        <v>299</v>
      </c>
      <c r="F2092" s="48" t="s">
        <v>90</v>
      </c>
      <c r="G2092" s="48" t="s">
        <v>305</v>
      </c>
      <c r="I2092" s="44" t="s">
        <v>985</v>
      </c>
      <c r="J2092" s="44">
        <f>YEAR(A2092)</f>
        <v>2023</v>
      </c>
    </row>
    <row r="2093" spans="1:10" ht="12" customHeight="1" x14ac:dyDescent="0.25">
      <c r="A2093" s="43">
        <v>45206</v>
      </c>
      <c r="B2093" s="47">
        <v>15897</v>
      </c>
      <c r="C2093" s="44" t="s">
        <v>939</v>
      </c>
      <c r="D2093" s="45">
        <v>5.4</v>
      </c>
      <c r="E2093" s="48" t="s">
        <v>89</v>
      </c>
      <c r="F2093" s="48" t="s">
        <v>90</v>
      </c>
      <c r="G2093" s="48" t="s">
        <v>91</v>
      </c>
      <c r="J2093" s="44">
        <f>YEAR(A2093)</f>
        <v>2023</v>
      </c>
    </row>
    <row r="2094" spans="1:10" ht="12" customHeight="1" x14ac:dyDescent="0.25">
      <c r="A2094" s="43">
        <v>45206</v>
      </c>
      <c r="B2094" s="47">
        <v>15897</v>
      </c>
      <c r="C2094" s="44" t="s">
        <v>939</v>
      </c>
      <c r="D2094" s="45">
        <v>-5.4</v>
      </c>
      <c r="E2094" s="48" t="s">
        <v>299</v>
      </c>
      <c r="F2094" s="48" t="s">
        <v>90</v>
      </c>
      <c r="G2094" s="48" t="s">
        <v>305</v>
      </c>
      <c r="I2094" s="44" t="s">
        <v>985</v>
      </c>
      <c r="J2094" s="44">
        <f>YEAR(A2094)</f>
        <v>2023</v>
      </c>
    </row>
    <row r="2095" spans="1:10" ht="12" customHeight="1" x14ac:dyDescent="0.25">
      <c r="A2095" s="43">
        <v>45206</v>
      </c>
      <c r="B2095" s="47">
        <v>15898</v>
      </c>
      <c r="C2095" s="44" t="s">
        <v>939</v>
      </c>
      <c r="D2095" s="45">
        <v>1.3</v>
      </c>
      <c r="E2095" s="48" t="s">
        <v>89</v>
      </c>
      <c r="F2095" s="48" t="s">
        <v>90</v>
      </c>
      <c r="G2095" s="48" t="s">
        <v>91</v>
      </c>
      <c r="J2095" s="44">
        <f>YEAR(A2095)</f>
        <v>2023</v>
      </c>
    </row>
    <row r="2096" spans="1:10" ht="12" customHeight="1" x14ac:dyDescent="0.25">
      <c r="A2096" s="43">
        <v>45206</v>
      </c>
      <c r="B2096" s="47">
        <v>15898</v>
      </c>
      <c r="C2096" s="44" t="s">
        <v>939</v>
      </c>
      <c r="D2096" s="45">
        <v>-1.3</v>
      </c>
      <c r="E2096" s="48" t="s">
        <v>299</v>
      </c>
      <c r="F2096" s="48" t="s">
        <v>90</v>
      </c>
      <c r="G2096" s="48" t="s">
        <v>305</v>
      </c>
      <c r="I2096" s="44" t="s">
        <v>985</v>
      </c>
      <c r="J2096" s="44">
        <f>YEAR(A2096)</f>
        <v>2023</v>
      </c>
    </row>
    <row r="2097" spans="1:10" ht="12" customHeight="1" x14ac:dyDescent="0.25">
      <c r="A2097" s="43">
        <v>45206</v>
      </c>
      <c r="B2097" s="47">
        <v>15899</v>
      </c>
      <c r="C2097" s="44" t="s">
        <v>940</v>
      </c>
      <c r="D2097" s="45">
        <v>12</v>
      </c>
      <c r="E2097" s="48" t="s">
        <v>89</v>
      </c>
      <c r="F2097" s="48" t="s">
        <v>96</v>
      </c>
      <c r="G2097" s="48" t="s">
        <v>91</v>
      </c>
      <c r="J2097" s="44">
        <f>YEAR(A2097)</f>
        <v>2023</v>
      </c>
    </row>
    <row r="2098" spans="1:10" ht="12" customHeight="1" x14ac:dyDescent="0.25">
      <c r="A2098" s="43">
        <v>45206</v>
      </c>
      <c r="B2098" s="47">
        <v>15899</v>
      </c>
      <c r="C2098" s="44" t="s">
        <v>940</v>
      </c>
      <c r="D2098" s="45">
        <v>-12</v>
      </c>
      <c r="E2098" s="48" t="s">
        <v>299</v>
      </c>
      <c r="F2098" s="48" t="s">
        <v>90</v>
      </c>
      <c r="G2098" s="48" t="s">
        <v>305</v>
      </c>
      <c r="I2098" s="44" t="s">
        <v>985</v>
      </c>
      <c r="J2098" s="44">
        <f>YEAR(A2098)</f>
        <v>2023</v>
      </c>
    </row>
    <row r="2099" spans="1:10" ht="12" customHeight="1" x14ac:dyDescent="0.25">
      <c r="A2099" s="43">
        <v>45206</v>
      </c>
      <c r="B2099" s="47">
        <v>15900</v>
      </c>
      <c r="C2099" s="44" t="s">
        <v>941</v>
      </c>
      <c r="D2099" s="45">
        <v>11.07</v>
      </c>
      <c r="E2099" s="48" t="s">
        <v>145</v>
      </c>
      <c r="F2099" s="48" t="s">
        <v>116</v>
      </c>
      <c r="G2099" s="48" t="s">
        <v>91</v>
      </c>
      <c r="J2099" s="44">
        <f>YEAR(A2099)</f>
        <v>2023</v>
      </c>
    </row>
    <row r="2100" spans="1:10" ht="12" customHeight="1" x14ac:dyDescent="0.25">
      <c r="A2100" s="43">
        <v>45206</v>
      </c>
      <c r="B2100" s="47">
        <v>15900</v>
      </c>
      <c r="C2100" s="44" t="s">
        <v>941</v>
      </c>
      <c r="D2100" s="45">
        <v>4</v>
      </c>
      <c r="E2100" s="48" t="s">
        <v>157</v>
      </c>
      <c r="F2100" s="48" t="s">
        <v>96</v>
      </c>
      <c r="G2100" s="48" t="s">
        <v>91</v>
      </c>
      <c r="J2100" s="44">
        <f>YEAR(A2100)</f>
        <v>2023</v>
      </c>
    </row>
    <row r="2101" spans="1:10" ht="12" customHeight="1" x14ac:dyDescent="0.25">
      <c r="A2101" s="43">
        <v>45206</v>
      </c>
      <c r="B2101" s="47">
        <v>15900</v>
      </c>
      <c r="C2101" s="44" t="s">
        <v>941</v>
      </c>
      <c r="D2101" s="45">
        <v>-15.07</v>
      </c>
      <c r="E2101" s="48" t="s">
        <v>299</v>
      </c>
      <c r="F2101" s="48" t="s">
        <v>90</v>
      </c>
      <c r="G2101" s="48" t="s">
        <v>305</v>
      </c>
      <c r="I2101" s="44" t="s">
        <v>985</v>
      </c>
      <c r="J2101" s="44">
        <f>YEAR(A2101)</f>
        <v>2023</v>
      </c>
    </row>
    <row r="2102" spans="1:10" ht="12" customHeight="1" x14ac:dyDescent="0.25">
      <c r="A2102" s="43">
        <v>45206</v>
      </c>
      <c r="B2102" s="47">
        <v>15901</v>
      </c>
      <c r="C2102" s="44" t="s">
        <v>942</v>
      </c>
      <c r="D2102" s="45">
        <v>2.6</v>
      </c>
      <c r="E2102" s="48" t="s">
        <v>197</v>
      </c>
      <c r="F2102" s="48" t="s">
        <v>96</v>
      </c>
      <c r="G2102" s="48" t="s">
        <v>91</v>
      </c>
      <c r="J2102" s="44">
        <f>YEAR(A2102)</f>
        <v>2023</v>
      </c>
    </row>
    <row r="2103" spans="1:10" ht="12" customHeight="1" x14ac:dyDescent="0.25">
      <c r="A2103" s="43">
        <v>45206</v>
      </c>
      <c r="B2103" s="47">
        <v>15901</v>
      </c>
      <c r="C2103" s="44" t="s">
        <v>942</v>
      </c>
      <c r="D2103" s="45">
        <v>-2.6</v>
      </c>
      <c r="E2103" s="48" t="s">
        <v>299</v>
      </c>
      <c r="F2103" s="48" t="s">
        <v>90</v>
      </c>
      <c r="G2103" s="48" t="s">
        <v>305</v>
      </c>
      <c r="I2103" s="44" t="s">
        <v>985</v>
      </c>
      <c r="J2103" s="44">
        <f>YEAR(A2103)</f>
        <v>2023</v>
      </c>
    </row>
    <row r="2104" spans="1:10" ht="12" customHeight="1" x14ac:dyDescent="0.25">
      <c r="A2104" s="43">
        <v>45206</v>
      </c>
      <c r="B2104" s="47">
        <v>15902</v>
      </c>
      <c r="C2104" s="44" t="s">
        <v>943</v>
      </c>
      <c r="D2104" s="45">
        <v>2.7</v>
      </c>
      <c r="E2104" s="48" t="s">
        <v>89</v>
      </c>
      <c r="F2104" s="48" t="s">
        <v>96</v>
      </c>
      <c r="G2104" s="48" t="s">
        <v>91</v>
      </c>
      <c r="J2104" s="44">
        <f>YEAR(A2104)</f>
        <v>2023</v>
      </c>
    </row>
    <row r="2105" spans="1:10" ht="12" customHeight="1" x14ac:dyDescent="0.25">
      <c r="A2105" s="43">
        <v>45206</v>
      </c>
      <c r="B2105" s="47">
        <v>15902</v>
      </c>
      <c r="C2105" s="44" t="s">
        <v>943</v>
      </c>
      <c r="D2105" s="45">
        <v>-2.7</v>
      </c>
      <c r="E2105" s="48" t="s">
        <v>299</v>
      </c>
      <c r="F2105" s="48" t="s">
        <v>90</v>
      </c>
      <c r="G2105" s="48" t="s">
        <v>305</v>
      </c>
      <c r="I2105" s="44" t="s">
        <v>985</v>
      </c>
      <c r="J2105" s="44">
        <f>YEAR(A2105)</f>
        <v>2023</v>
      </c>
    </row>
    <row r="2106" spans="1:10" ht="12" customHeight="1" x14ac:dyDescent="0.25">
      <c r="A2106" s="43">
        <v>45212</v>
      </c>
      <c r="B2106" s="47">
        <v>15903</v>
      </c>
      <c r="C2106" s="44" t="s">
        <v>944</v>
      </c>
      <c r="D2106" s="45">
        <v>-174</v>
      </c>
      <c r="E2106" s="48" t="s">
        <v>299</v>
      </c>
      <c r="F2106" s="48" t="s">
        <v>90</v>
      </c>
      <c r="G2106" s="48" t="s">
        <v>91</v>
      </c>
      <c r="H2106" s="44">
        <v>4077</v>
      </c>
      <c r="I2106" s="44" t="s">
        <v>987</v>
      </c>
      <c r="J2106" s="44">
        <f>YEAR(A2106)</f>
        <v>2023</v>
      </c>
    </row>
    <row r="2107" spans="1:10" ht="12" customHeight="1" x14ac:dyDescent="0.25">
      <c r="A2107" s="43">
        <v>45212</v>
      </c>
      <c r="B2107" s="47">
        <v>15903</v>
      </c>
      <c r="C2107" s="44" t="s">
        <v>944</v>
      </c>
      <c r="D2107" s="45">
        <v>174</v>
      </c>
      <c r="E2107" s="48" t="s">
        <v>157</v>
      </c>
      <c r="F2107" s="48" t="s">
        <v>116</v>
      </c>
      <c r="G2107" s="48" t="s">
        <v>93</v>
      </c>
      <c r="J2107" s="44">
        <f>YEAR(A2107)</f>
        <v>2023</v>
      </c>
    </row>
    <row r="2108" spans="1:10" ht="12" customHeight="1" x14ac:dyDescent="0.25">
      <c r="A2108" s="43">
        <v>45215</v>
      </c>
      <c r="B2108" s="47">
        <v>15904</v>
      </c>
      <c r="C2108" s="44" t="s">
        <v>945</v>
      </c>
      <c r="D2108" s="45">
        <v>-100</v>
      </c>
      <c r="E2108" s="48" t="s">
        <v>145</v>
      </c>
      <c r="F2108" s="48" t="s">
        <v>135</v>
      </c>
      <c r="G2108" s="48" t="s">
        <v>91</v>
      </c>
      <c r="J2108" s="44">
        <f>YEAR(A2108)</f>
        <v>2023</v>
      </c>
    </row>
    <row r="2109" spans="1:10" ht="12" customHeight="1" x14ac:dyDescent="0.25">
      <c r="A2109" s="43">
        <v>45215</v>
      </c>
      <c r="B2109" s="47">
        <v>15904</v>
      </c>
      <c r="C2109" s="44" t="s">
        <v>945</v>
      </c>
      <c r="D2109" s="45">
        <v>100</v>
      </c>
      <c r="E2109" s="48" t="s">
        <v>145</v>
      </c>
      <c r="F2109" s="48" t="s">
        <v>135</v>
      </c>
      <c r="G2109" s="48" t="s">
        <v>91</v>
      </c>
      <c r="J2109" s="44">
        <f>YEAR(A2109)</f>
        <v>2023</v>
      </c>
    </row>
    <row r="2110" spans="1:10" ht="12" customHeight="1" x14ac:dyDescent="0.25">
      <c r="A2110" s="43">
        <v>45204</v>
      </c>
      <c r="B2110" s="47">
        <v>15905</v>
      </c>
      <c r="C2110" s="44" t="s">
        <v>496</v>
      </c>
      <c r="D2110" s="45">
        <v>-102.9</v>
      </c>
      <c r="E2110" s="48" t="s">
        <v>299</v>
      </c>
      <c r="F2110" s="48" t="s">
        <v>90</v>
      </c>
      <c r="G2110" s="48" t="s">
        <v>305</v>
      </c>
      <c r="I2110" s="44" t="s">
        <v>985</v>
      </c>
      <c r="J2110" s="44">
        <f>YEAR(A2110)</f>
        <v>2023</v>
      </c>
    </row>
    <row r="2111" spans="1:10" ht="12" customHeight="1" x14ac:dyDescent="0.25">
      <c r="A2111" s="43">
        <v>45204</v>
      </c>
      <c r="B2111" s="47">
        <v>15905</v>
      </c>
      <c r="C2111" s="44" t="s">
        <v>496</v>
      </c>
      <c r="D2111" s="45">
        <v>102.9</v>
      </c>
      <c r="E2111" s="48" t="s">
        <v>89</v>
      </c>
      <c r="F2111" s="48" t="s">
        <v>90</v>
      </c>
      <c r="G2111" s="48" t="s">
        <v>91</v>
      </c>
      <c r="J2111" s="44">
        <f>YEAR(A2111)</f>
        <v>2023</v>
      </c>
    </row>
    <row r="2112" spans="1:10" ht="12" customHeight="1" x14ac:dyDescent="0.25">
      <c r="A2112" s="43">
        <v>45204</v>
      </c>
      <c r="B2112" s="47">
        <v>15906</v>
      </c>
      <c r="C2112" s="44" t="s">
        <v>769</v>
      </c>
      <c r="D2112" s="45">
        <v>-2.2000000000000002</v>
      </c>
      <c r="E2112" s="48" t="s">
        <v>299</v>
      </c>
      <c r="F2112" s="48" t="s">
        <v>90</v>
      </c>
      <c r="G2112" s="48" t="s">
        <v>305</v>
      </c>
      <c r="I2112" s="44" t="s">
        <v>985</v>
      </c>
      <c r="J2112" s="44">
        <f>YEAR(A2112)</f>
        <v>2023</v>
      </c>
    </row>
    <row r="2113" spans="1:10" ht="12" customHeight="1" x14ac:dyDescent="0.25">
      <c r="A2113" s="43">
        <v>45204</v>
      </c>
      <c r="B2113" s="47">
        <v>15906</v>
      </c>
      <c r="C2113" s="44" t="s">
        <v>769</v>
      </c>
      <c r="D2113" s="45">
        <v>2.2000000000000002</v>
      </c>
      <c r="E2113" s="48" t="s">
        <v>180</v>
      </c>
      <c r="F2113" s="48" t="s">
        <v>90</v>
      </c>
      <c r="G2113" s="48" t="s">
        <v>91</v>
      </c>
      <c r="J2113" s="44">
        <f>YEAR(A2113)</f>
        <v>2023</v>
      </c>
    </row>
    <row r="2114" spans="1:10" ht="12" customHeight="1" x14ac:dyDescent="0.25">
      <c r="A2114" s="43">
        <v>45204</v>
      </c>
      <c r="B2114" s="47">
        <v>15907</v>
      </c>
      <c r="C2114" s="44" t="s">
        <v>444</v>
      </c>
      <c r="D2114" s="45">
        <v>-80.11</v>
      </c>
      <c r="E2114" s="48" t="s">
        <v>299</v>
      </c>
      <c r="F2114" s="48" t="s">
        <v>90</v>
      </c>
      <c r="G2114" s="48" t="s">
        <v>91</v>
      </c>
      <c r="H2114" s="44" t="s">
        <v>459</v>
      </c>
      <c r="I2114" s="44" t="s">
        <v>949</v>
      </c>
      <c r="J2114" s="44">
        <f>YEAR(A2114)</f>
        <v>2023</v>
      </c>
    </row>
    <row r="2115" spans="1:10" ht="12" customHeight="1" x14ac:dyDescent="0.25">
      <c r="A2115" s="43">
        <v>45204</v>
      </c>
      <c r="B2115" s="47">
        <v>15907</v>
      </c>
      <c r="C2115" s="44" t="s">
        <v>444</v>
      </c>
      <c r="D2115" s="45">
        <v>60.72</v>
      </c>
      <c r="E2115" s="48" t="s">
        <v>89</v>
      </c>
      <c r="F2115" s="48" t="s">
        <v>90</v>
      </c>
      <c r="G2115" s="48" t="s">
        <v>91</v>
      </c>
      <c r="J2115" s="44">
        <f>YEAR(A2115)</f>
        <v>2023</v>
      </c>
    </row>
    <row r="2116" spans="1:10" ht="12" customHeight="1" x14ac:dyDescent="0.25">
      <c r="A2116" s="43">
        <v>45204</v>
      </c>
      <c r="B2116" s="47">
        <v>15907</v>
      </c>
      <c r="C2116" s="44" t="s">
        <v>444</v>
      </c>
      <c r="D2116" s="45">
        <v>19.39</v>
      </c>
      <c r="E2116" s="48" t="s">
        <v>157</v>
      </c>
      <c r="F2116" s="48" t="s">
        <v>96</v>
      </c>
      <c r="G2116" s="48" t="s">
        <v>91</v>
      </c>
      <c r="J2116" s="44">
        <f>YEAR(A2116)</f>
        <v>2023</v>
      </c>
    </row>
    <row r="2117" spans="1:10" ht="12" customHeight="1" x14ac:dyDescent="0.25">
      <c r="A2117" s="43">
        <v>45209</v>
      </c>
      <c r="B2117" s="47">
        <v>15908</v>
      </c>
      <c r="C2117" s="44" t="s">
        <v>446</v>
      </c>
      <c r="D2117" s="45">
        <v>43.81</v>
      </c>
      <c r="E2117" s="48" t="s">
        <v>89</v>
      </c>
      <c r="F2117" s="48" t="s">
        <v>90</v>
      </c>
      <c r="G2117" s="48" t="s">
        <v>91</v>
      </c>
      <c r="J2117" s="44">
        <f>YEAR(A2117)</f>
        <v>2023</v>
      </c>
    </row>
    <row r="2118" spans="1:10" ht="12" customHeight="1" x14ac:dyDescent="0.25">
      <c r="A2118" s="43">
        <v>45209</v>
      </c>
      <c r="B2118" s="47">
        <v>15908</v>
      </c>
      <c r="C2118" s="44" t="s">
        <v>446</v>
      </c>
      <c r="D2118" s="45">
        <v>-43.81</v>
      </c>
      <c r="E2118" s="48" t="s">
        <v>299</v>
      </c>
      <c r="F2118" s="48" t="s">
        <v>90</v>
      </c>
      <c r="G2118" s="48" t="s">
        <v>305</v>
      </c>
      <c r="I2118" s="44" t="s">
        <v>985</v>
      </c>
      <c r="J2118" s="44">
        <f>YEAR(A2118)</f>
        <v>2023</v>
      </c>
    </row>
    <row r="2119" spans="1:10" ht="12" customHeight="1" x14ac:dyDescent="0.25">
      <c r="A2119" s="43">
        <v>45210</v>
      </c>
      <c r="B2119" s="47">
        <v>15909</v>
      </c>
      <c r="C2119" s="44" t="s">
        <v>559</v>
      </c>
      <c r="D2119" s="45">
        <v>4.3600000000000003</v>
      </c>
      <c r="E2119" s="48" t="s">
        <v>197</v>
      </c>
      <c r="F2119" s="48" t="s">
        <v>90</v>
      </c>
      <c r="G2119" s="48" t="s">
        <v>91</v>
      </c>
      <c r="J2119" s="44">
        <f>YEAR(A2119)</f>
        <v>2023</v>
      </c>
    </row>
    <row r="2120" spans="1:10" ht="12" customHeight="1" x14ac:dyDescent="0.25">
      <c r="A2120" s="43">
        <v>45210</v>
      </c>
      <c r="B2120" s="47">
        <v>15909</v>
      </c>
      <c r="C2120" s="44" t="s">
        <v>559</v>
      </c>
      <c r="D2120" s="45">
        <v>-4.3600000000000003</v>
      </c>
      <c r="E2120" s="48" t="s">
        <v>299</v>
      </c>
      <c r="F2120" s="48" t="s">
        <v>90</v>
      </c>
      <c r="G2120" s="48" t="s">
        <v>305</v>
      </c>
      <c r="I2120" s="44" t="s">
        <v>985</v>
      </c>
      <c r="J2120" s="44">
        <f>YEAR(A2120)</f>
        <v>2023</v>
      </c>
    </row>
    <row r="2121" spans="1:10" ht="12" customHeight="1" x14ac:dyDescent="0.25">
      <c r="A2121" s="43">
        <v>45211</v>
      </c>
      <c r="B2121" s="47">
        <v>15910</v>
      </c>
      <c r="C2121" s="44" t="s">
        <v>501</v>
      </c>
      <c r="D2121" s="45">
        <v>4.4000000000000004</v>
      </c>
      <c r="E2121" s="48" t="s">
        <v>89</v>
      </c>
      <c r="F2121" s="48" t="s">
        <v>90</v>
      </c>
      <c r="G2121" s="48" t="s">
        <v>91</v>
      </c>
      <c r="J2121" s="44">
        <f>YEAR(A2121)</f>
        <v>2023</v>
      </c>
    </row>
    <row r="2122" spans="1:10" ht="12" customHeight="1" x14ac:dyDescent="0.25">
      <c r="A2122" s="43">
        <v>45211</v>
      </c>
      <c r="B2122" s="47">
        <v>15910</v>
      </c>
      <c r="C2122" s="44" t="s">
        <v>501</v>
      </c>
      <c r="D2122" s="45">
        <v>-4.4000000000000004</v>
      </c>
      <c r="E2122" s="48" t="s">
        <v>299</v>
      </c>
      <c r="F2122" s="48" t="s">
        <v>90</v>
      </c>
      <c r="G2122" s="48" t="s">
        <v>305</v>
      </c>
      <c r="I2122" s="44" t="s">
        <v>985</v>
      </c>
      <c r="J2122" s="44">
        <f>YEAR(A2122)</f>
        <v>2023</v>
      </c>
    </row>
    <row r="2123" spans="1:10" ht="12" customHeight="1" x14ac:dyDescent="0.25">
      <c r="A2123" s="43">
        <v>45211</v>
      </c>
      <c r="B2123" s="47">
        <v>15911</v>
      </c>
      <c r="C2123" s="44" t="s">
        <v>444</v>
      </c>
      <c r="D2123" s="45">
        <v>-85.64</v>
      </c>
      <c r="E2123" s="48" t="s">
        <v>299</v>
      </c>
      <c r="F2123" s="48" t="s">
        <v>90</v>
      </c>
      <c r="G2123" s="48" t="s">
        <v>91</v>
      </c>
      <c r="H2123" s="44" t="s">
        <v>459</v>
      </c>
      <c r="I2123" s="44" t="s">
        <v>987</v>
      </c>
      <c r="J2123" s="44">
        <f>YEAR(A2123)</f>
        <v>2023</v>
      </c>
    </row>
    <row r="2124" spans="1:10" ht="12" customHeight="1" x14ac:dyDescent="0.25">
      <c r="A2124" s="43">
        <v>45211</v>
      </c>
      <c r="B2124" s="47">
        <v>15911</v>
      </c>
      <c r="C2124" s="44" t="s">
        <v>444</v>
      </c>
      <c r="D2124" s="45">
        <v>32.65</v>
      </c>
      <c r="E2124" s="48" t="s">
        <v>89</v>
      </c>
      <c r="F2124" s="48" t="s">
        <v>90</v>
      </c>
      <c r="G2124" s="48" t="s">
        <v>91</v>
      </c>
      <c r="J2124" s="44">
        <f>YEAR(A2124)</f>
        <v>2023</v>
      </c>
    </row>
    <row r="2125" spans="1:10" ht="12" customHeight="1" x14ac:dyDescent="0.25">
      <c r="A2125" s="43">
        <v>45211</v>
      </c>
      <c r="B2125" s="47">
        <v>15911</v>
      </c>
      <c r="C2125" s="44" t="s">
        <v>444</v>
      </c>
      <c r="D2125" s="45">
        <v>28.45</v>
      </c>
      <c r="E2125" s="48" t="s">
        <v>157</v>
      </c>
      <c r="F2125" s="48" t="s">
        <v>96</v>
      </c>
      <c r="G2125" s="48" t="s">
        <v>91</v>
      </c>
      <c r="J2125" s="44">
        <f>YEAR(A2125)</f>
        <v>2023</v>
      </c>
    </row>
    <row r="2126" spans="1:10" ht="12" customHeight="1" x14ac:dyDescent="0.25">
      <c r="A2126" s="43">
        <v>45211</v>
      </c>
      <c r="B2126" s="47">
        <v>15911</v>
      </c>
      <c r="C2126" s="44" t="s">
        <v>444</v>
      </c>
      <c r="D2126" s="45">
        <f>7.9+5.2+6.85+4.59</f>
        <v>24.54</v>
      </c>
      <c r="E2126" s="48" t="s">
        <v>197</v>
      </c>
      <c r="F2126" s="48" t="s">
        <v>96</v>
      </c>
      <c r="G2126" s="48" t="s">
        <v>91</v>
      </c>
      <c r="J2126" s="44">
        <f>YEAR(A2126)</f>
        <v>2023</v>
      </c>
    </row>
    <row r="2127" spans="1:10" ht="12" customHeight="1" x14ac:dyDescent="0.25">
      <c r="A2127" s="43">
        <v>45213</v>
      </c>
      <c r="B2127" s="47">
        <v>15912</v>
      </c>
      <c r="C2127" s="44" t="s">
        <v>443</v>
      </c>
      <c r="D2127" s="45">
        <v>5.0999999999999996</v>
      </c>
      <c r="E2127" s="48" t="s">
        <v>89</v>
      </c>
      <c r="F2127" s="48" t="s">
        <v>90</v>
      </c>
      <c r="G2127" s="48" t="s">
        <v>91</v>
      </c>
      <c r="J2127" s="44">
        <f>YEAR(A2127)</f>
        <v>2023</v>
      </c>
    </row>
    <row r="2128" spans="1:10" ht="12" customHeight="1" x14ac:dyDescent="0.25">
      <c r="A2128" s="43">
        <v>45213</v>
      </c>
      <c r="B2128" s="47">
        <v>15912</v>
      </c>
      <c r="C2128" s="44" t="s">
        <v>443</v>
      </c>
      <c r="D2128" s="45">
        <v>-5.0999999999999996</v>
      </c>
      <c r="E2128" s="48" t="s">
        <v>299</v>
      </c>
      <c r="F2128" s="48" t="s">
        <v>90</v>
      </c>
      <c r="G2128" s="48" t="s">
        <v>305</v>
      </c>
      <c r="I2128" s="44" t="s">
        <v>985</v>
      </c>
      <c r="J2128" s="44">
        <f>YEAR(A2128)</f>
        <v>2023</v>
      </c>
    </row>
    <row r="2129" spans="1:10" ht="12" customHeight="1" x14ac:dyDescent="0.25">
      <c r="A2129" s="43">
        <v>45213</v>
      </c>
      <c r="B2129" s="47">
        <v>15913</v>
      </c>
      <c r="C2129" s="44" t="s">
        <v>769</v>
      </c>
      <c r="D2129" s="45">
        <v>3.5</v>
      </c>
      <c r="E2129" s="48" t="s">
        <v>180</v>
      </c>
      <c r="F2129" s="48" t="s">
        <v>90</v>
      </c>
      <c r="G2129" s="48" t="s">
        <v>91</v>
      </c>
      <c r="J2129" s="44">
        <f>YEAR(A2129)</f>
        <v>2023</v>
      </c>
    </row>
    <row r="2130" spans="1:10" ht="12" customHeight="1" x14ac:dyDescent="0.25">
      <c r="A2130" s="43">
        <v>45213</v>
      </c>
      <c r="B2130" s="47">
        <v>15913</v>
      </c>
      <c r="C2130" s="44" t="s">
        <v>769</v>
      </c>
      <c r="D2130" s="45">
        <v>-3.5</v>
      </c>
      <c r="E2130" s="48" t="s">
        <v>299</v>
      </c>
      <c r="F2130" s="48" t="s">
        <v>90</v>
      </c>
      <c r="G2130" s="48" t="s">
        <v>305</v>
      </c>
      <c r="I2130" s="44" t="s">
        <v>985</v>
      </c>
      <c r="J2130" s="44">
        <f>YEAR(A2130)</f>
        <v>2023</v>
      </c>
    </row>
    <row r="2131" spans="1:10" ht="12" customHeight="1" x14ac:dyDescent="0.25">
      <c r="A2131" s="43">
        <v>45186</v>
      </c>
      <c r="B2131" s="47">
        <v>15914</v>
      </c>
      <c r="C2131" s="44" t="s">
        <v>947</v>
      </c>
      <c r="D2131" s="45">
        <v>2.6</v>
      </c>
      <c r="E2131" s="48" t="s">
        <v>89</v>
      </c>
      <c r="F2131" s="48" t="s">
        <v>96</v>
      </c>
      <c r="G2131" s="48" t="s">
        <v>91</v>
      </c>
      <c r="J2131" s="44">
        <f>YEAR(A2131)</f>
        <v>2023</v>
      </c>
    </row>
    <row r="2132" spans="1:10" ht="12" customHeight="1" x14ac:dyDescent="0.25">
      <c r="A2132" s="43">
        <v>45186</v>
      </c>
      <c r="B2132" s="47">
        <v>15914</v>
      </c>
      <c r="C2132" s="44" t="s">
        <v>947</v>
      </c>
      <c r="D2132" s="45">
        <v>-2.6</v>
      </c>
      <c r="E2132" s="48" t="s">
        <v>299</v>
      </c>
      <c r="F2132" s="48" t="s">
        <v>90</v>
      </c>
      <c r="G2132" s="48" t="s">
        <v>305</v>
      </c>
      <c r="I2132" s="44" t="s">
        <v>946</v>
      </c>
      <c r="J2132" s="44">
        <f>YEAR(A2132)</f>
        <v>2023</v>
      </c>
    </row>
    <row r="2133" spans="1:10" ht="12" customHeight="1" x14ac:dyDescent="0.25">
      <c r="A2133" s="43">
        <v>45174</v>
      </c>
      <c r="B2133" s="47">
        <v>15915</v>
      </c>
      <c r="C2133" s="44" t="s">
        <v>474</v>
      </c>
      <c r="D2133" s="45">
        <v>7.5</v>
      </c>
      <c r="E2133" s="48" t="s">
        <v>89</v>
      </c>
      <c r="F2133" s="48" t="s">
        <v>90</v>
      </c>
      <c r="G2133" s="48" t="s">
        <v>91</v>
      </c>
      <c r="J2133" s="44">
        <f>YEAR(A2133)</f>
        <v>2023</v>
      </c>
    </row>
    <row r="2134" spans="1:10" ht="12" customHeight="1" x14ac:dyDescent="0.25">
      <c r="A2134" s="43">
        <v>45174</v>
      </c>
      <c r="B2134" s="47">
        <v>15915</v>
      </c>
      <c r="C2134" s="44" t="s">
        <v>474</v>
      </c>
      <c r="D2134" s="45">
        <v>-7.5</v>
      </c>
      <c r="E2134" s="48" t="s">
        <v>299</v>
      </c>
      <c r="F2134" s="48" t="s">
        <v>90</v>
      </c>
      <c r="G2134" s="48" t="s">
        <v>305</v>
      </c>
      <c r="I2134" s="44" t="s">
        <v>946</v>
      </c>
      <c r="J2134" s="44">
        <f>YEAR(A2134)</f>
        <v>2023</v>
      </c>
    </row>
    <row r="2135" spans="1:10" ht="12" customHeight="1" x14ac:dyDescent="0.25">
      <c r="A2135" s="43">
        <v>45204</v>
      </c>
      <c r="B2135" s="47">
        <v>15916</v>
      </c>
      <c r="C2135" s="44" t="s">
        <v>417</v>
      </c>
      <c r="D2135" s="45">
        <v>-1840.6</v>
      </c>
      <c r="E2135" s="48" t="s">
        <v>299</v>
      </c>
      <c r="F2135" s="48" t="s">
        <v>90</v>
      </c>
      <c r="G2135" s="48" t="s">
        <v>91</v>
      </c>
      <c r="I2135" s="44" t="s">
        <v>949</v>
      </c>
      <c r="J2135" s="44">
        <f>YEAR(A2135)</f>
        <v>2023</v>
      </c>
    </row>
    <row r="2136" spans="1:10" ht="12" customHeight="1" x14ac:dyDescent="0.25">
      <c r="A2136" s="43">
        <v>45204</v>
      </c>
      <c r="B2136" s="47">
        <v>15916</v>
      </c>
      <c r="C2136" s="44" t="s">
        <v>417</v>
      </c>
      <c r="D2136" s="45">
        <v>1840.6</v>
      </c>
      <c r="E2136" s="48" t="s">
        <v>299</v>
      </c>
      <c r="F2136" s="48" t="s">
        <v>90</v>
      </c>
      <c r="G2136" s="48" t="s">
        <v>305</v>
      </c>
      <c r="I2136" s="44" t="s">
        <v>948</v>
      </c>
      <c r="J2136" s="44">
        <f>YEAR(A2136)</f>
        <v>2023</v>
      </c>
    </row>
    <row r="2137" spans="1:10" ht="12" customHeight="1" x14ac:dyDescent="0.25">
      <c r="A2137" s="43">
        <v>45201</v>
      </c>
      <c r="B2137" s="47">
        <v>15917</v>
      </c>
      <c r="C2137" s="44" t="s">
        <v>409</v>
      </c>
      <c r="D2137" s="45">
        <v>-3300</v>
      </c>
      <c r="E2137" s="48" t="s">
        <v>214</v>
      </c>
      <c r="F2137" s="48" t="s">
        <v>90</v>
      </c>
      <c r="G2137" s="48" t="s">
        <v>107</v>
      </c>
      <c r="J2137" s="44">
        <f>YEAR(A2137)</f>
        <v>2023</v>
      </c>
    </row>
    <row r="2138" spans="1:10" ht="12" customHeight="1" x14ac:dyDescent="0.25">
      <c r="A2138" s="43">
        <v>45201</v>
      </c>
      <c r="B2138" s="47">
        <v>15917</v>
      </c>
      <c r="C2138" s="44" t="s">
        <v>409</v>
      </c>
      <c r="D2138" s="45">
        <v>3300</v>
      </c>
      <c r="E2138" s="48" t="s">
        <v>299</v>
      </c>
      <c r="F2138" s="48" t="s">
        <v>90</v>
      </c>
      <c r="G2138" s="48" t="s">
        <v>91</v>
      </c>
      <c r="H2138" s="44" t="s">
        <v>398</v>
      </c>
      <c r="I2138" s="44" t="s">
        <v>950</v>
      </c>
      <c r="J2138" s="44">
        <f>YEAR(A2138)</f>
        <v>2023</v>
      </c>
    </row>
    <row r="2139" spans="1:10" ht="12" customHeight="1" x14ac:dyDescent="0.25">
      <c r="A2139" s="43">
        <v>45188</v>
      </c>
      <c r="B2139" s="47">
        <v>15918</v>
      </c>
      <c r="C2139" s="44" t="s">
        <v>390</v>
      </c>
      <c r="D2139" s="45">
        <v>6.3</v>
      </c>
      <c r="E2139" s="48" t="s">
        <v>124</v>
      </c>
      <c r="F2139" s="48" t="s">
        <v>128</v>
      </c>
      <c r="G2139" s="48" t="s">
        <v>91</v>
      </c>
      <c r="J2139" s="44">
        <f>YEAR(A2139)</f>
        <v>2023</v>
      </c>
    </row>
    <row r="2140" spans="1:10" ht="12" customHeight="1" x14ac:dyDescent="0.25">
      <c r="A2140" s="43">
        <v>45188</v>
      </c>
      <c r="B2140" s="47">
        <v>15918</v>
      </c>
      <c r="C2140" s="44" t="s">
        <v>390</v>
      </c>
      <c r="D2140" s="45">
        <v>-6.3</v>
      </c>
      <c r="E2140" s="48" t="s">
        <v>299</v>
      </c>
      <c r="F2140" s="48" t="s">
        <v>90</v>
      </c>
      <c r="G2140" s="48" t="s">
        <v>91</v>
      </c>
      <c r="H2140" s="44" t="s">
        <v>391</v>
      </c>
      <c r="I2140" s="44" t="s">
        <v>949</v>
      </c>
      <c r="J2140" s="44">
        <f>YEAR(A2140)</f>
        <v>2023</v>
      </c>
    </row>
    <row r="2141" spans="1:10" ht="12" customHeight="1" x14ac:dyDescent="0.25">
      <c r="A2141" s="43">
        <v>45188</v>
      </c>
      <c r="B2141" s="47">
        <v>15918</v>
      </c>
      <c r="C2141" s="44" t="s">
        <v>393</v>
      </c>
      <c r="D2141" s="45">
        <v>16.100000000000001</v>
      </c>
      <c r="E2141" s="48" t="s">
        <v>124</v>
      </c>
      <c r="F2141" s="48" t="s">
        <v>128</v>
      </c>
      <c r="G2141" s="48" t="s">
        <v>91</v>
      </c>
      <c r="J2141" s="44">
        <f>YEAR(A2141)</f>
        <v>2023</v>
      </c>
    </row>
    <row r="2142" spans="1:10" ht="12" customHeight="1" x14ac:dyDescent="0.25">
      <c r="A2142" s="43">
        <v>45188</v>
      </c>
      <c r="B2142" s="47">
        <v>15918</v>
      </c>
      <c r="C2142" s="44" t="s">
        <v>393</v>
      </c>
      <c r="D2142" s="45">
        <v>-16.100000000000001</v>
      </c>
      <c r="E2142" s="48" t="s">
        <v>299</v>
      </c>
      <c r="F2142" s="48" t="s">
        <v>90</v>
      </c>
      <c r="G2142" s="48" t="s">
        <v>91</v>
      </c>
      <c r="H2142" s="44" t="s">
        <v>391</v>
      </c>
      <c r="I2142" s="44" t="s">
        <v>949</v>
      </c>
      <c r="J2142" s="44">
        <f>YEAR(A2142)</f>
        <v>2023</v>
      </c>
    </row>
    <row r="2143" spans="1:10" ht="12" customHeight="1" x14ac:dyDescent="0.25">
      <c r="A2143" s="43">
        <v>45188</v>
      </c>
      <c r="B2143" s="47">
        <v>15918</v>
      </c>
      <c r="C2143" s="44" t="s">
        <v>394</v>
      </c>
      <c r="D2143" s="45">
        <v>0.49</v>
      </c>
      <c r="E2143" s="48" t="s">
        <v>124</v>
      </c>
      <c r="F2143" s="48" t="s">
        <v>128</v>
      </c>
      <c r="G2143" s="48" t="s">
        <v>91</v>
      </c>
      <c r="J2143" s="44">
        <f>YEAR(A2143)</f>
        <v>2023</v>
      </c>
    </row>
    <row r="2144" spans="1:10" ht="12" customHeight="1" x14ac:dyDescent="0.25">
      <c r="A2144" s="43">
        <v>45188</v>
      </c>
      <c r="B2144" s="47">
        <v>15918</v>
      </c>
      <c r="C2144" s="44" t="s">
        <v>394</v>
      </c>
      <c r="D2144" s="45">
        <v>-0.49</v>
      </c>
      <c r="E2144" s="48" t="s">
        <v>299</v>
      </c>
      <c r="F2144" s="48" t="s">
        <v>90</v>
      </c>
      <c r="G2144" s="48" t="s">
        <v>91</v>
      </c>
      <c r="H2144" s="44" t="s">
        <v>391</v>
      </c>
      <c r="I2144" s="44" t="s">
        <v>949</v>
      </c>
      <c r="J2144" s="44">
        <f>YEAR(A2144)</f>
        <v>2023</v>
      </c>
    </row>
    <row r="2145" spans="1:10" ht="12" customHeight="1" x14ac:dyDescent="0.25">
      <c r="A2145" s="43">
        <v>45188</v>
      </c>
      <c r="B2145" s="47">
        <v>15918</v>
      </c>
      <c r="C2145" s="44" t="s">
        <v>395</v>
      </c>
      <c r="D2145" s="45">
        <v>0.7</v>
      </c>
      <c r="E2145" s="48" t="s">
        <v>124</v>
      </c>
      <c r="F2145" s="48" t="s">
        <v>128</v>
      </c>
      <c r="G2145" s="48" t="s">
        <v>91</v>
      </c>
      <c r="J2145" s="44">
        <f>YEAR(A2145)</f>
        <v>2023</v>
      </c>
    </row>
    <row r="2146" spans="1:10" ht="12" customHeight="1" x14ac:dyDescent="0.25">
      <c r="A2146" s="43">
        <v>45188</v>
      </c>
      <c r="B2146" s="47">
        <v>15918</v>
      </c>
      <c r="C2146" s="44" t="s">
        <v>395</v>
      </c>
      <c r="D2146" s="45">
        <v>-0.7</v>
      </c>
      <c r="E2146" s="48" t="s">
        <v>299</v>
      </c>
      <c r="F2146" s="48" t="s">
        <v>90</v>
      </c>
      <c r="G2146" s="48" t="s">
        <v>91</v>
      </c>
      <c r="H2146" s="44" t="s">
        <v>391</v>
      </c>
      <c r="I2146" s="44" t="s">
        <v>949</v>
      </c>
      <c r="J2146" s="44">
        <f>YEAR(A2146)</f>
        <v>2023</v>
      </c>
    </row>
    <row r="2147" spans="1:10" ht="12" customHeight="1" x14ac:dyDescent="0.25">
      <c r="A2147" s="43">
        <v>45194</v>
      </c>
      <c r="B2147" s="47">
        <v>15919</v>
      </c>
      <c r="C2147" s="44" t="s">
        <v>396</v>
      </c>
      <c r="D2147" s="45">
        <v>25.99</v>
      </c>
      <c r="E2147" s="48" t="s">
        <v>157</v>
      </c>
      <c r="F2147" s="48" t="s">
        <v>155</v>
      </c>
      <c r="G2147" s="48" t="s">
        <v>94</v>
      </c>
      <c r="J2147" s="44">
        <f>YEAR(A2147)</f>
        <v>2023</v>
      </c>
    </row>
    <row r="2148" spans="1:10" ht="12" customHeight="1" x14ac:dyDescent="0.25">
      <c r="A2148" s="43">
        <v>45194</v>
      </c>
      <c r="B2148" s="47">
        <v>15919</v>
      </c>
      <c r="C2148" s="44" t="s">
        <v>396</v>
      </c>
      <c r="D2148" s="45">
        <v>-25.99</v>
      </c>
      <c r="E2148" s="48" t="s">
        <v>299</v>
      </c>
      <c r="F2148" s="48" t="s">
        <v>90</v>
      </c>
      <c r="G2148" s="48" t="s">
        <v>91</v>
      </c>
      <c r="H2148" s="44" t="s">
        <v>391</v>
      </c>
      <c r="I2148" s="44" t="s">
        <v>949</v>
      </c>
      <c r="J2148" s="44">
        <f>YEAR(A2148)</f>
        <v>2023</v>
      </c>
    </row>
    <row r="2149" spans="1:10" ht="12" customHeight="1" x14ac:dyDescent="0.25">
      <c r="A2149" s="43">
        <v>45184</v>
      </c>
      <c r="B2149" s="47">
        <v>15920</v>
      </c>
      <c r="C2149" s="44" t="s">
        <v>397</v>
      </c>
      <c r="D2149" s="45">
        <v>-800</v>
      </c>
      <c r="E2149" s="48" t="s">
        <v>244</v>
      </c>
      <c r="F2149" s="48" t="s">
        <v>90</v>
      </c>
      <c r="G2149" s="48" t="s">
        <v>114</v>
      </c>
      <c r="J2149" s="44">
        <f>YEAR(A2149)</f>
        <v>2023</v>
      </c>
    </row>
    <row r="2150" spans="1:10" ht="12" customHeight="1" x14ac:dyDescent="0.25">
      <c r="A2150" s="43">
        <v>45184</v>
      </c>
      <c r="B2150" s="47">
        <v>15920</v>
      </c>
      <c r="C2150" s="44" t="s">
        <v>397</v>
      </c>
      <c r="D2150" s="45">
        <v>800</v>
      </c>
      <c r="E2150" s="48" t="s">
        <v>299</v>
      </c>
      <c r="F2150" s="48" t="s">
        <v>90</v>
      </c>
      <c r="G2150" s="48" t="s">
        <v>91</v>
      </c>
      <c r="H2150" s="44" t="s">
        <v>398</v>
      </c>
      <c r="I2150" s="44" t="s">
        <v>950</v>
      </c>
      <c r="J2150" s="44">
        <f>YEAR(A2150)</f>
        <v>2023</v>
      </c>
    </row>
    <row r="2151" spans="1:10" ht="12" customHeight="1" x14ac:dyDescent="0.25">
      <c r="A2151" s="43">
        <v>45202</v>
      </c>
      <c r="B2151" s="47">
        <v>15921</v>
      </c>
      <c r="C2151" s="44" t="s">
        <v>399</v>
      </c>
      <c r="D2151" s="45">
        <v>19.989999999999998</v>
      </c>
      <c r="E2151" s="48" t="s">
        <v>157</v>
      </c>
      <c r="F2151" s="48" t="s">
        <v>155</v>
      </c>
      <c r="G2151" s="48" t="s">
        <v>98</v>
      </c>
      <c r="J2151" s="44">
        <f>YEAR(A2151)</f>
        <v>2023</v>
      </c>
    </row>
    <row r="2152" spans="1:10" ht="12" customHeight="1" x14ac:dyDescent="0.25">
      <c r="A2152" s="43">
        <v>45202</v>
      </c>
      <c r="B2152" s="47">
        <v>15921</v>
      </c>
      <c r="C2152" s="44" t="s">
        <v>399</v>
      </c>
      <c r="D2152" s="45">
        <v>-19.989999999999998</v>
      </c>
      <c r="E2152" s="48" t="s">
        <v>299</v>
      </c>
      <c r="F2152" s="48" t="s">
        <v>90</v>
      </c>
      <c r="G2152" s="48" t="s">
        <v>91</v>
      </c>
      <c r="H2152" s="44" t="s">
        <v>391</v>
      </c>
      <c r="I2152" s="44" t="s">
        <v>949</v>
      </c>
      <c r="J2152" s="44">
        <f>YEAR(A2152)</f>
        <v>2023</v>
      </c>
    </row>
    <row r="2153" spans="1:10" ht="12" customHeight="1" x14ac:dyDescent="0.25">
      <c r="A2153" s="43">
        <v>45202</v>
      </c>
      <c r="B2153" s="47">
        <v>15921</v>
      </c>
      <c r="C2153" s="44" t="s">
        <v>400</v>
      </c>
      <c r="D2153" s="45">
        <v>19.989999999999998</v>
      </c>
      <c r="E2153" s="48" t="s">
        <v>157</v>
      </c>
      <c r="F2153" s="48" t="s">
        <v>155</v>
      </c>
      <c r="G2153" s="48" t="s">
        <v>95</v>
      </c>
      <c r="J2153" s="44">
        <f>YEAR(A2153)</f>
        <v>2023</v>
      </c>
    </row>
    <row r="2154" spans="1:10" ht="12" customHeight="1" x14ac:dyDescent="0.25">
      <c r="A2154" s="43">
        <v>45202</v>
      </c>
      <c r="B2154" s="47">
        <v>15921</v>
      </c>
      <c r="C2154" s="44" t="s">
        <v>400</v>
      </c>
      <c r="D2154" s="45">
        <v>-19.989999999999998</v>
      </c>
      <c r="E2154" s="48" t="s">
        <v>299</v>
      </c>
      <c r="F2154" s="48" t="s">
        <v>90</v>
      </c>
      <c r="G2154" s="48" t="s">
        <v>91</v>
      </c>
      <c r="H2154" s="44" t="s">
        <v>391</v>
      </c>
      <c r="I2154" s="44" t="s">
        <v>949</v>
      </c>
      <c r="J2154" s="44">
        <f>YEAR(A2154)</f>
        <v>2023</v>
      </c>
    </row>
    <row r="2155" spans="1:10" ht="12" customHeight="1" x14ac:dyDescent="0.25">
      <c r="A2155" s="43">
        <v>45184</v>
      </c>
      <c r="B2155" s="47">
        <v>15922</v>
      </c>
      <c r="C2155" s="44" t="s">
        <v>401</v>
      </c>
      <c r="D2155" s="45">
        <v>234</v>
      </c>
      <c r="E2155" s="48" t="s">
        <v>110</v>
      </c>
      <c r="F2155" s="48" t="s">
        <v>90</v>
      </c>
      <c r="G2155" s="48" t="s">
        <v>91</v>
      </c>
      <c r="J2155" s="44">
        <f>YEAR(A2155)</f>
        <v>2023</v>
      </c>
    </row>
    <row r="2156" spans="1:10" ht="12" customHeight="1" x14ac:dyDescent="0.25">
      <c r="A2156" s="43">
        <v>45184</v>
      </c>
      <c r="B2156" s="47">
        <v>15922</v>
      </c>
      <c r="C2156" s="44" t="s">
        <v>401</v>
      </c>
      <c r="D2156" s="45">
        <v>-234</v>
      </c>
      <c r="E2156" s="48" t="s">
        <v>299</v>
      </c>
      <c r="F2156" s="48" t="s">
        <v>90</v>
      </c>
      <c r="G2156" s="48" t="s">
        <v>91</v>
      </c>
      <c r="H2156" s="44" t="s">
        <v>402</v>
      </c>
      <c r="I2156" s="44" t="s">
        <v>949</v>
      </c>
      <c r="J2156" s="44">
        <f>YEAR(A2156)</f>
        <v>2023</v>
      </c>
    </row>
    <row r="2157" spans="1:10" ht="12" customHeight="1" x14ac:dyDescent="0.25">
      <c r="A2157" s="43">
        <v>45188</v>
      </c>
      <c r="B2157" s="47">
        <v>15923</v>
      </c>
      <c r="C2157" s="44" t="s">
        <v>405</v>
      </c>
      <c r="D2157" s="45">
        <v>-38.97</v>
      </c>
      <c r="E2157" s="48" t="s">
        <v>299</v>
      </c>
      <c r="F2157" s="48" t="s">
        <v>90</v>
      </c>
      <c r="G2157" s="48" t="s">
        <v>91</v>
      </c>
      <c r="H2157" s="44" t="s">
        <v>391</v>
      </c>
      <c r="I2157" s="44" t="s">
        <v>949</v>
      </c>
      <c r="J2157" s="44">
        <f>YEAR(A2157)</f>
        <v>2023</v>
      </c>
    </row>
    <row r="2158" spans="1:10" ht="12" customHeight="1" x14ac:dyDescent="0.25">
      <c r="A2158" s="43">
        <v>45188</v>
      </c>
      <c r="B2158" s="47">
        <v>15923</v>
      </c>
      <c r="C2158" s="44" t="s">
        <v>405</v>
      </c>
      <c r="D2158" s="45">
        <v>38.97</v>
      </c>
      <c r="E2158" s="48" t="s">
        <v>157</v>
      </c>
      <c r="F2158" s="48" t="s">
        <v>137</v>
      </c>
      <c r="G2158" s="48" t="s">
        <v>115</v>
      </c>
      <c r="J2158" s="44">
        <f>YEAR(A2158)</f>
        <v>2023</v>
      </c>
    </row>
    <row r="2159" spans="1:10" ht="12" customHeight="1" x14ac:dyDescent="0.25">
      <c r="A2159" s="43">
        <v>45189</v>
      </c>
      <c r="B2159" s="47">
        <v>15924</v>
      </c>
      <c r="C2159" s="44" t="s">
        <v>406</v>
      </c>
      <c r="D2159" s="45">
        <v>-121.63</v>
      </c>
      <c r="E2159" s="48" t="s">
        <v>299</v>
      </c>
      <c r="F2159" s="48" t="s">
        <v>90</v>
      </c>
      <c r="G2159" s="48" t="s">
        <v>91</v>
      </c>
      <c r="H2159" s="44" t="s">
        <v>391</v>
      </c>
      <c r="I2159" s="44" t="s">
        <v>949</v>
      </c>
      <c r="J2159" s="44">
        <f>YEAR(A2159)</f>
        <v>2023</v>
      </c>
    </row>
    <row r="2160" spans="1:10" ht="12" customHeight="1" x14ac:dyDescent="0.25">
      <c r="A2160" s="43">
        <v>45189</v>
      </c>
      <c r="B2160" s="47">
        <v>15924</v>
      </c>
      <c r="C2160" s="44" t="s">
        <v>406</v>
      </c>
      <c r="D2160" s="45">
        <v>121.63</v>
      </c>
      <c r="E2160" s="48" t="s">
        <v>157</v>
      </c>
      <c r="F2160" s="48" t="s">
        <v>137</v>
      </c>
      <c r="G2160" s="48" t="s">
        <v>115</v>
      </c>
      <c r="J2160" s="44">
        <f>YEAR(A2160)</f>
        <v>2023</v>
      </c>
    </row>
    <row r="2161" spans="1:10" ht="12" customHeight="1" x14ac:dyDescent="0.25">
      <c r="A2161" s="43">
        <v>45191</v>
      </c>
      <c r="B2161" s="47">
        <v>15925</v>
      </c>
      <c r="C2161" s="44" t="s">
        <v>407</v>
      </c>
      <c r="D2161" s="45">
        <v>14.99</v>
      </c>
      <c r="E2161" s="48" t="s">
        <v>157</v>
      </c>
      <c r="F2161" s="48" t="s">
        <v>116</v>
      </c>
      <c r="G2161" s="48" t="s">
        <v>91</v>
      </c>
      <c r="J2161" s="44">
        <f>YEAR(A2161)</f>
        <v>2023</v>
      </c>
    </row>
    <row r="2162" spans="1:10" ht="12" customHeight="1" x14ac:dyDescent="0.25">
      <c r="A2162" s="43">
        <v>45191</v>
      </c>
      <c r="B2162" s="47">
        <v>15925</v>
      </c>
      <c r="C2162" s="44" t="s">
        <v>407</v>
      </c>
      <c r="D2162" s="45">
        <v>-14.99</v>
      </c>
      <c r="E2162" s="48" t="s">
        <v>299</v>
      </c>
      <c r="F2162" s="48" t="s">
        <v>90</v>
      </c>
      <c r="G2162" s="48" t="s">
        <v>91</v>
      </c>
      <c r="H2162" s="44" t="s">
        <v>391</v>
      </c>
      <c r="I2162" s="44" t="s">
        <v>949</v>
      </c>
      <c r="J2162" s="44">
        <f>YEAR(A2162)</f>
        <v>2023</v>
      </c>
    </row>
    <row r="2163" spans="1:10" ht="12" customHeight="1" x14ac:dyDescent="0.25">
      <c r="A2163" s="43">
        <v>45197</v>
      </c>
      <c r="B2163" s="47">
        <v>15926</v>
      </c>
      <c r="C2163" s="44" t="s">
        <v>951</v>
      </c>
      <c r="D2163" s="45">
        <v>19.989999999999998</v>
      </c>
      <c r="E2163" s="48" t="s">
        <v>157</v>
      </c>
      <c r="F2163" s="48" t="s">
        <v>155</v>
      </c>
      <c r="G2163" s="48" t="s">
        <v>99</v>
      </c>
      <c r="J2163" s="44">
        <f>YEAR(A2163)</f>
        <v>2023</v>
      </c>
    </row>
    <row r="2164" spans="1:10" ht="12" customHeight="1" x14ac:dyDescent="0.25">
      <c r="A2164" s="43">
        <v>45197</v>
      </c>
      <c r="B2164" s="47">
        <v>15926</v>
      </c>
      <c r="C2164" s="44" t="s">
        <v>951</v>
      </c>
      <c r="D2164" s="45">
        <v>-25.39</v>
      </c>
      <c r="E2164" s="48" t="s">
        <v>299</v>
      </c>
      <c r="F2164" s="48" t="s">
        <v>90</v>
      </c>
      <c r="G2164" s="48" t="s">
        <v>91</v>
      </c>
      <c r="H2164" s="44" t="s">
        <v>391</v>
      </c>
      <c r="I2164" s="44" t="s">
        <v>949</v>
      </c>
      <c r="J2164" s="44">
        <f>YEAR(A2164)</f>
        <v>2023</v>
      </c>
    </row>
    <row r="2165" spans="1:10" ht="12" customHeight="1" x14ac:dyDescent="0.25">
      <c r="A2165" s="43">
        <v>45197</v>
      </c>
      <c r="B2165" s="47">
        <v>15926</v>
      </c>
      <c r="C2165" s="44" t="s">
        <v>951</v>
      </c>
      <c r="D2165" s="45">
        <v>5.4</v>
      </c>
      <c r="E2165" s="48" t="s">
        <v>180</v>
      </c>
      <c r="F2165" s="48" t="s">
        <v>128</v>
      </c>
      <c r="G2165" s="48" t="s">
        <v>99</v>
      </c>
      <c r="J2165" s="44">
        <f>YEAR(A2165)</f>
        <v>2023</v>
      </c>
    </row>
    <row r="2166" spans="1:10" ht="12" customHeight="1" x14ac:dyDescent="0.25">
      <c r="A2166" s="43">
        <v>45206</v>
      </c>
      <c r="B2166" s="47">
        <v>15927</v>
      </c>
      <c r="C2166" s="44" t="s">
        <v>440</v>
      </c>
      <c r="D2166" s="45">
        <v>282.66000000000003</v>
      </c>
      <c r="E2166" s="48" t="s">
        <v>124</v>
      </c>
      <c r="F2166" s="48" t="s">
        <v>90</v>
      </c>
      <c r="G2166" s="48" t="s">
        <v>91</v>
      </c>
      <c r="J2166" s="44">
        <f>YEAR(A2166)</f>
        <v>2023</v>
      </c>
    </row>
    <row r="2167" spans="1:10" ht="12" customHeight="1" x14ac:dyDescent="0.25">
      <c r="A2167" s="43">
        <v>45206</v>
      </c>
      <c r="B2167" s="47">
        <v>15927</v>
      </c>
      <c r="C2167" s="44" t="s">
        <v>440</v>
      </c>
      <c r="D2167" s="45">
        <v>-282.66000000000003</v>
      </c>
      <c r="E2167" s="48" t="s">
        <v>299</v>
      </c>
      <c r="F2167" s="48" t="s">
        <v>90</v>
      </c>
      <c r="G2167" s="48" t="s">
        <v>91</v>
      </c>
      <c r="H2167" s="44" t="s">
        <v>391</v>
      </c>
      <c r="I2167" s="44" t="s">
        <v>949</v>
      </c>
      <c r="J2167" s="44">
        <f>YEAR(A2167)</f>
        <v>2023</v>
      </c>
    </row>
    <row r="2168" spans="1:10" ht="12" customHeight="1" x14ac:dyDescent="0.25">
      <c r="A2168" s="43">
        <v>45209</v>
      </c>
      <c r="B2168" s="47">
        <v>15928</v>
      </c>
      <c r="C2168" s="44" t="s">
        <v>606</v>
      </c>
      <c r="D2168" s="45">
        <v>247</v>
      </c>
      <c r="E2168" s="48" t="s">
        <v>124</v>
      </c>
      <c r="F2168" s="48" t="s">
        <v>90</v>
      </c>
      <c r="G2168" s="48" t="s">
        <v>91</v>
      </c>
      <c r="J2168" s="44">
        <f>YEAR(A2168)</f>
        <v>2023</v>
      </c>
    </row>
    <row r="2169" spans="1:10" ht="12" customHeight="1" x14ac:dyDescent="0.25">
      <c r="A2169" s="43">
        <v>45209</v>
      </c>
      <c r="B2169" s="47">
        <v>15928</v>
      </c>
      <c r="C2169" s="44" t="s">
        <v>606</v>
      </c>
      <c r="D2169" s="45">
        <v>-247</v>
      </c>
      <c r="E2169" s="48" t="s">
        <v>299</v>
      </c>
      <c r="F2169" s="48" t="s">
        <v>90</v>
      </c>
      <c r="G2169" s="48" t="s">
        <v>91</v>
      </c>
      <c r="H2169" s="44" t="s">
        <v>391</v>
      </c>
      <c r="I2169" s="44" t="s">
        <v>949</v>
      </c>
      <c r="J2169" s="44">
        <f>YEAR(A2169)</f>
        <v>2023</v>
      </c>
    </row>
    <row r="2170" spans="1:10" ht="12" customHeight="1" x14ac:dyDescent="0.25">
      <c r="A2170" s="43">
        <v>45203</v>
      </c>
      <c r="B2170" s="47">
        <v>15929</v>
      </c>
      <c r="C2170" s="44" t="s">
        <v>410</v>
      </c>
      <c r="D2170" s="45">
        <v>-715.39</v>
      </c>
      <c r="E2170" s="48" t="s">
        <v>214</v>
      </c>
      <c r="F2170" s="48" t="s">
        <v>128</v>
      </c>
      <c r="G2170" s="48" t="s">
        <v>99</v>
      </c>
      <c r="J2170" s="44">
        <f>YEAR(A2170)</f>
        <v>2023</v>
      </c>
    </row>
    <row r="2171" spans="1:10" ht="12" customHeight="1" x14ac:dyDescent="0.25">
      <c r="A2171" s="43">
        <v>45203</v>
      </c>
      <c r="B2171" s="47">
        <v>15929</v>
      </c>
      <c r="C2171" s="44" t="s">
        <v>411</v>
      </c>
      <c r="D2171" s="45">
        <v>0</v>
      </c>
      <c r="E2171" s="48" t="s">
        <v>110</v>
      </c>
      <c r="F2171" s="48" t="s">
        <v>90</v>
      </c>
      <c r="G2171" s="48" t="s">
        <v>91</v>
      </c>
      <c r="J2171" s="44">
        <f>YEAR(A2171)</f>
        <v>2023</v>
      </c>
    </row>
    <row r="2172" spans="1:10" ht="12" customHeight="1" x14ac:dyDescent="0.25">
      <c r="A2172" s="43">
        <v>45203</v>
      </c>
      <c r="B2172" s="47">
        <v>15929</v>
      </c>
      <c r="C2172" s="44" t="s">
        <v>410</v>
      </c>
      <c r="D2172" s="45">
        <v>715.39</v>
      </c>
      <c r="E2172" s="48" t="s">
        <v>299</v>
      </c>
      <c r="F2172" s="48" t="s">
        <v>90</v>
      </c>
      <c r="G2172" s="48" t="s">
        <v>91</v>
      </c>
      <c r="H2172" s="44" t="s">
        <v>398</v>
      </c>
      <c r="I2172" s="44" t="s">
        <v>950</v>
      </c>
      <c r="J2172" s="44">
        <f>YEAR(A2172)</f>
        <v>2023</v>
      </c>
    </row>
    <row r="2173" spans="1:10" ht="12" customHeight="1" x14ac:dyDescent="0.25">
      <c r="A2173" s="43">
        <v>45208</v>
      </c>
      <c r="B2173" s="47">
        <v>15930</v>
      </c>
      <c r="C2173" s="44" t="s">
        <v>560</v>
      </c>
      <c r="D2173" s="45">
        <v>-410.09</v>
      </c>
      <c r="E2173" s="48" t="s">
        <v>214</v>
      </c>
      <c r="F2173" s="48" t="s">
        <v>128</v>
      </c>
      <c r="G2173" s="48" t="s">
        <v>99</v>
      </c>
      <c r="J2173" s="44">
        <f>YEAR(A2173)</f>
        <v>2023</v>
      </c>
    </row>
    <row r="2174" spans="1:10" ht="12" customHeight="1" x14ac:dyDescent="0.25">
      <c r="A2174" s="43">
        <v>45208</v>
      </c>
      <c r="B2174" s="47">
        <v>15930</v>
      </c>
      <c r="C2174" s="44" t="s">
        <v>560</v>
      </c>
      <c r="D2174" s="45">
        <v>0</v>
      </c>
      <c r="E2174" s="48" t="s">
        <v>110</v>
      </c>
      <c r="F2174" s="48" t="s">
        <v>90</v>
      </c>
      <c r="G2174" s="48" t="s">
        <v>91</v>
      </c>
      <c r="J2174" s="44">
        <f>YEAR(A2174)</f>
        <v>2023</v>
      </c>
    </row>
    <row r="2175" spans="1:10" ht="12" customHeight="1" x14ac:dyDescent="0.25">
      <c r="A2175" s="43">
        <v>45208</v>
      </c>
      <c r="B2175" s="47">
        <v>15930</v>
      </c>
      <c r="C2175" s="44" t="s">
        <v>560</v>
      </c>
      <c r="D2175" s="45">
        <v>410.09</v>
      </c>
      <c r="E2175" s="48" t="s">
        <v>299</v>
      </c>
      <c r="F2175" s="48" t="s">
        <v>90</v>
      </c>
      <c r="G2175" s="48" t="s">
        <v>91</v>
      </c>
      <c r="H2175" s="44" t="s">
        <v>398</v>
      </c>
      <c r="I2175" s="44" t="s">
        <v>950</v>
      </c>
      <c r="J2175" s="44">
        <f>YEAR(A2175)</f>
        <v>2023</v>
      </c>
    </row>
    <row r="2176" spans="1:10" ht="12" customHeight="1" x14ac:dyDescent="0.25">
      <c r="A2176" s="43">
        <v>45204</v>
      </c>
      <c r="B2176" s="47">
        <v>15931</v>
      </c>
      <c r="C2176" s="44" t="s">
        <v>563</v>
      </c>
      <c r="D2176" s="45">
        <v>-1133.4000000000001</v>
      </c>
      <c r="E2176" s="48" t="s">
        <v>214</v>
      </c>
      <c r="F2176" s="48" t="s">
        <v>90</v>
      </c>
      <c r="G2176" s="48" t="s">
        <v>99</v>
      </c>
      <c r="J2176" s="44">
        <f>YEAR(A2176)</f>
        <v>2023</v>
      </c>
    </row>
    <row r="2177" spans="1:10" ht="12" customHeight="1" x14ac:dyDescent="0.25">
      <c r="A2177" s="43">
        <v>45204</v>
      </c>
      <c r="B2177" s="47">
        <v>15931</v>
      </c>
      <c r="C2177" s="44" t="s">
        <v>564</v>
      </c>
      <c r="D2177" s="45">
        <v>0</v>
      </c>
      <c r="E2177" s="48" t="s">
        <v>110</v>
      </c>
      <c r="F2177" s="48" t="s">
        <v>90</v>
      </c>
      <c r="G2177" s="48" t="s">
        <v>91</v>
      </c>
      <c r="J2177" s="44">
        <f>YEAR(A2177)</f>
        <v>2023</v>
      </c>
    </row>
    <row r="2178" spans="1:10" ht="12" customHeight="1" x14ac:dyDescent="0.25">
      <c r="A2178" s="43">
        <v>45204</v>
      </c>
      <c r="B2178" s="47">
        <v>15931</v>
      </c>
      <c r="C2178" s="44" t="s">
        <v>563</v>
      </c>
      <c r="D2178" s="45">
        <v>1133.4000000000001</v>
      </c>
      <c r="E2178" s="48" t="s">
        <v>299</v>
      </c>
      <c r="F2178" s="48" t="s">
        <v>90</v>
      </c>
      <c r="G2178" s="48" t="s">
        <v>91</v>
      </c>
      <c r="H2178" s="44" t="s">
        <v>398</v>
      </c>
      <c r="I2178" s="44" t="s">
        <v>950</v>
      </c>
      <c r="J2178" s="44">
        <f>YEAR(A2178)</f>
        <v>2023</v>
      </c>
    </row>
    <row r="2179" spans="1:10" ht="12" customHeight="1" x14ac:dyDescent="0.25">
      <c r="A2179" s="43">
        <v>45184</v>
      </c>
      <c r="B2179" s="47">
        <v>15932</v>
      </c>
      <c r="C2179" s="44" t="s">
        <v>448</v>
      </c>
      <c r="D2179" s="45">
        <v>78</v>
      </c>
      <c r="E2179" s="48" t="s">
        <v>180</v>
      </c>
      <c r="F2179" s="48" t="s">
        <v>90</v>
      </c>
      <c r="G2179" s="48" t="s">
        <v>91</v>
      </c>
      <c r="J2179" s="44">
        <f>YEAR(A2179)</f>
        <v>2023</v>
      </c>
    </row>
    <row r="2180" spans="1:10" ht="12" customHeight="1" x14ac:dyDescent="0.25">
      <c r="A2180" s="43">
        <v>45184</v>
      </c>
      <c r="B2180" s="47">
        <v>15932</v>
      </c>
      <c r="C2180" s="44" t="s">
        <v>448</v>
      </c>
      <c r="D2180" s="45">
        <v>-78</v>
      </c>
      <c r="E2180" s="48" t="s">
        <v>299</v>
      </c>
      <c r="F2180" s="48" t="s">
        <v>90</v>
      </c>
      <c r="G2180" s="48" t="s">
        <v>91</v>
      </c>
      <c r="H2180" s="44" t="s">
        <v>391</v>
      </c>
      <c r="I2180" s="44" t="s">
        <v>949</v>
      </c>
      <c r="J2180" s="44">
        <f>YEAR(A2180)</f>
        <v>2023</v>
      </c>
    </row>
    <row r="2181" spans="1:10" ht="12" customHeight="1" x14ac:dyDescent="0.25">
      <c r="A2181" s="43">
        <v>45210</v>
      </c>
      <c r="B2181" s="47">
        <v>15933</v>
      </c>
      <c r="C2181" s="44" t="s">
        <v>952</v>
      </c>
      <c r="D2181" s="45">
        <v>18</v>
      </c>
      <c r="E2181" s="48" t="s">
        <v>89</v>
      </c>
      <c r="F2181" s="48" t="s">
        <v>90</v>
      </c>
      <c r="G2181" s="48" t="s">
        <v>91</v>
      </c>
      <c r="J2181" s="44">
        <f>YEAR(A2181)</f>
        <v>2023</v>
      </c>
    </row>
    <row r="2182" spans="1:10" ht="12" customHeight="1" x14ac:dyDescent="0.25">
      <c r="A2182" s="43">
        <v>45210</v>
      </c>
      <c r="B2182" s="47">
        <v>15933</v>
      </c>
      <c r="C2182" s="44" t="s">
        <v>952</v>
      </c>
      <c r="D2182" s="45">
        <v>-18</v>
      </c>
      <c r="E2182" s="48" t="s">
        <v>299</v>
      </c>
      <c r="F2182" s="48" t="s">
        <v>90</v>
      </c>
      <c r="G2182" s="48" t="s">
        <v>91</v>
      </c>
      <c r="H2182" s="44" t="s">
        <v>459</v>
      </c>
      <c r="I2182" s="44" t="s">
        <v>949</v>
      </c>
      <c r="J2182" s="44">
        <f>YEAR(A2182)</f>
        <v>2023</v>
      </c>
    </row>
    <row r="2183" spans="1:10" ht="12" customHeight="1" x14ac:dyDescent="0.25">
      <c r="A2183" s="43">
        <v>45216</v>
      </c>
      <c r="B2183" s="47">
        <v>15934</v>
      </c>
      <c r="C2183" s="44" t="s">
        <v>568</v>
      </c>
      <c r="D2183" s="45">
        <v>34.43</v>
      </c>
      <c r="E2183" s="48" t="s">
        <v>89</v>
      </c>
      <c r="F2183" s="48" t="s">
        <v>90</v>
      </c>
      <c r="G2183" s="48" t="s">
        <v>91</v>
      </c>
      <c r="J2183" s="44">
        <f>YEAR(A2183)</f>
        <v>2023</v>
      </c>
    </row>
    <row r="2184" spans="1:10" ht="12" customHeight="1" x14ac:dyDescent="0.25">
      <c r="A2184" s="43">
        <v>45216</v>
      </c>
      <c r="B2184" s="47">
        <v>15934</v>
      </c>
      <c r="C2184" s="44" t="s">
        <v>568</v>
      </c>
      <c r="D2184" s="45">
        <v>-34.43</v>
      </c>
      <c r="E2184" s="48" t="s">
        <v>299</v>
      </c>
      <c r="F2184" s="48" t="s">
        <v>90</v>
      </c>
      <c r="G2184" s="48" t="s">
        <v>305</v>
      </c>
      <c r="I2184" s="44" t="s">
        <v>985</v>
      </c>
      <c r="J2184" s="44">
        <f>YEAR(A2184)</f>
        <v>2023</v>
      </c>
    </row>
    <row r="2185" spans="1:10" ht="12" customHeight="1" x14ac:dyDescent="0.25">
      <c r="A2185" s="43">
        <v>45216</v>
      </c>
      <c r="B2185" s="47">
        <v>15935</v>
      </c>
      <c r="C2185" s="44" t="s">
        <v>475</v>
      </c>
      <c r="D2185" s="45">
        <v>25.5</v>
      </c>
      <c r="E2185" s="48" t="s">
        <v>89</v>
      </c>
      <c r="F2185" s="48" t="s">
        <v>90</v>
      </c>
      <c r="G2185" s="48" t="s">
        <v>91</v>
      </c>
      <c r="J2185" s="44">
        <f>YEAR(A2185)</f>
        <v>2023</v>
      </c>
    </row>
    <row r="2186" spans="1:10" ht="12" customHeight="1" x14ac:dyDescent="0.25">
      <c r="A2186" s="43">
        <v>45216</v>
      </c>
      <c r="B2186" s="47">
        <v>15935</v>
      </c>
      <c r="C2186" s="44" t="s">
        <v>475</v>
      </c>
      <c r="D2186" s="45">
        <v>-25.5</v>
      </c>
      <c r="E2186" s="48" t="s">
        <v>299</v>
      </c>
      <c r="F2186" s="48" t="s">
        <v>90</v>
      </c>
      <c r="G2186" s="48" t="s">
        <v>305</v>
      </c>
      <c r="I2186" s="44" t="s">
        <v>985</v>
      </c>
      <c r="J2186" s="44">
        <f>YEAR(A2186)</f>
        <v>2023</v>
      </c>
    </row>
    <row r="2187" spans="1:10" ht="12" customHeight="1" x14ac:dyDescent="0.25">
      <c r="A2187" s="43">
        <v>45216</v>
      </c>
      <c r="B2187" s="47">
        <v>15936</v>
      </c>
      <c r="C2187" s="44" t="s">
        <v>453</v>
      </c>
      <c r="D2187" s="45">
        <v>36.11</v>
      </c>
      <c r="E2187" s="48" t="s">
        <v>89</v>
      </c>
      <c r="F2187" s="48" t="s">
        <v>90</v>
      </c>
      <c r="G2187" s="48" t="s">
        <v>91</v>
      </c>
      <c r="J2187" s="44">
        <f>YEAR(A2187)</f>
        <v>2023</v>
      </c>
    </row>
    <row r="2188" spans="1:10" ht="12" customHeight="1" x14ac:dyDescent="0.25">
      <c r="A2188" s="43">
        <v>45216</v>
      </c>
      <c r="B2188" s="47">
        <v>15936</v>
      </c>
      <c r="C2188" s="44" t="s">
        <v>453</v>
      </c>
      <c r="D2188" s="45">
        <v>-36.11</v>
      </c>
      <c r="E2188" s="48" t="s">
        <v>299</v>
      </c>
      <c r="F2188" s="48" t="s">
        <v>90</v>
      </c>
      <c r="G2188" s="48" t="s">
        <v>305</v>
      </c>
      <c r="I2188" s="44" t="s">
        <v>985</v>
      </c>
      <c r="J2188" s="44">
        <f>YEAR(A2188)</f>
        <v>2023</v>
      </c>
    </row>
    <row r="2189" spans="1:10" ht="12" customHeight="1" x14ac:dyDescent="0.25">
      <c r="A2189" s="43">
        <v>45216</v>
      </c>
      <c r="B2189" s="47">
        <v>15937</v>
      </c>
      <c r="C2189" s="44" t="s">
        <v>446</v>
      </c>
      <c r="D2189" s="45">
        <v>101.36</v>
      </c>
      <c r="E2189" s="48" t="s">
        <v>89</v>
      </c>
      <c r="F2189" s="48" t="s">
        <v>90</v>
      </c>
      <c r="G2189" s="48" t="s">
        <v>91</v>
      </c>
      <c r="J2189" s="44">
        <f>YEAR(A2189)</f>
        <v>2023</v>
      </c>
    </row>
    <row r="2190" spans="1:10" ht="12" customHeight="1" x14ac:dyDescent="0.25">
      <c r="A2190" s="43">
        <v>45216</v>
      </c>
      <c r="B2190" s="47">
        <v>15937</v>
      </c>
      <c r="C2190" s="44" t="s">
        <v>446</v>
      </c>
      <c r="D2190" s="45">
        <v>-101.36</v>
      </c>
      <c r="E2190" s="48" t="s">
        <v>299</v>
      </c>
      <c r="F2190" s="48" t="s">
        <v>90</v>
      </c>
      <c r="G2190" s="48" t="s">
        <v>305</v>
      </c>
      <c r="I2190" s="44" t="s">
        <v>985</v>
      </c>
      <c r="J2190" s="44">
        <f>YEAR(A2190)</f>
        <v>2023</v>
      </c>
    </row>
    <row r="2191" spans="1:10" ht="12" customHeight="1" x14ac:dyDescent="0.25">
      <c r="A2191" s="43">
        <v>45216</v>
      </c>
      <c r="B2191" s="47">
        <v>15938</v>
      </c>
      <c r="C2191" s="44" t="s">
        <v>954</v>
      </c>
      <c r="D2191" s="45">
        <v>50.97</v>
      </c>
      <c r="E2191" s="48" t="s">
        <v>89</v>
      </c>
      <c r="F2191" s="48" t="s">
        <v>90</v>
      </c>
      <c r="G2191" s="48" t="s">
        <v>91</v>
      </c>
      <c r="J2191" s="44">
        <f>YEAR(A2191)</f>
        <v>2023</v>
      </c>
    </row>
    <row r="2192" spans="1:10" ht="12" customHeight="1" x14ac:dyDescent="0.25">
      <c r="A2192" s="43">
        <v>45216</v>
      </c>
      <c r="B2192" s="47">
        <v>15938</v>
      </c>
      <c r="C2192" s="44" t="s">
        <v>954</v>
      </c>
      <c r="D2192" s="45">
        <v>-50.97</v>
      </c>
      <c r="E2192" s="48" t="s">
        <v>299</v>
      </c>
      <c r="F2192" s="48" t="s">
        <v>90</v>
      </c>
      <c r="G2192" s="48" t="s">
        <v>305</v>
      </c>
      <c r="I2192" s="44" t="s">
        <v>985</v>
      </c>
      <c r="J2192" s="44">
        <f>YEAR(A2192)</f>
        <v>2023</v>
      </c>
    </row>
    <row r="2193" spans="1:11" ht="12" customHeight="1" x14ac:dyDescent="0.25">
      <c r="A2193" s="43">
        <v>45216</v>
      </c>
      <c r="B2193" s="47">
        <v>15939</v>
      </c>
      <c r="C2193" s="44" t="s">
        <v>480</v>
      </c>
      <c r="D2193" s="45">
        <v>28.95</v>
      </c>
      <c r="E2193" s="48" t="s">
        <v>145</v>
      </c>
      <c r="F2193" s="48" t="s">
        <v>137</v>
      </c>
      <c r="G2193" s="48" t="s">
        <v>91</v>
      </c>
      <c r="J2193" s="44">
        <f>YEAR(A2193)</f>
        <v>2023</v>
      </c>
      <c r="K2193" s="49" t="s">
        <v>955</v>
      </c>
    </row>
    <row r="2194" spans="1:11" ht="12" customHeight="1" x14ac:dyDescent="0.25">
      <c r="A2194" s="43">
        <v>45216</v>
      </c>
      <c r="B2194" s="47">
        <v>15939</v>
      </c>
      <c r="C2194" s="44" t="s">
        <v>480</v>
      </c>
      <c r="D2194" s="45">
        <v>-28.95</v>
      </c>
      <c r="E2194" s="48" t="s">
        <v>299</v>
      </c>
      <c r="F2194" s="48" t="s">
        <v>90</v>
      </c>
      <c r="G2194" s="48" t="s">
        <v>305</v>
      </c>
      <c r="I2194" s="44" t="s">
        <v>985</v>
      </c>
      <c r="J2194" s="44">
        <f>YEAR(A2194)</f>
        <v>2023</v>
      </c>
    </row>
    <row r="2195" spans="1:11" ht="12" customHeight="1" x14ac:dyDescent="0.25">
      <c r="A2195" s="43">
        <v>45219</v>
      </c>
      <c r="B2195" s="47">
        <v>15940</v>
      </c>
      <c r="C2195" s="44" t="s">
        <v>619</v>
      </c>
      <c r="D2195" s="45">
        <v>62.5</v>
      </c>
      <c r="E2195" s="48" t="s">
        <v>89</v>
      </c>
      <c r="F2195" s="48" t="s">
        <v>90</v>
      </c>
      <c r="G2195" s="48" t="s">
        <v>91</v>
      </c>
      <c r="J2195" s="44">
        <f>YEAR(A2195)</f>
        <v>2023</v>
      </c>
    </row>
    <row r="2196" spans="1:11" ht="12" customHeight="1" x14ac:dyDescent="0.25">
      <c r="A2196" s="43">
        <v>45219</v>
      </c>
      <c r="B2196" s="47">
        <v>15940</v>
      </c>
      <c r="C2196" s="44" t="s">
        <v>619</v>
      </c>
      <c r="D2196" s="45">
        <v>-62.5</v>
      </c>
      <c r="E2196" s="48" t="s">
        <v>299</v>
      </c>
      <c r="F2196" s="48" t="s">
        <v>90</v>
      </c>
      <c r="G2196" s="48" t="s">
        <v>305</v>
      </c>
      <c r="I2196" s="44" t="s">
        <v>985</v>
      </c>
      <c r="J2196" s="44">
        <f>YEAR(A2196)</f>
        <v>2023</v>
      </c>
    </row>
    <row r="2197" spans="1:11" ht="12" customHeight="1" x14ac:dyDescent="0.25">
      <c r="A2197" s="43">
        <v>45220</v>
      </c>
      <c r="B2197" s="47">
        <v>15941</v>
      </c>
      <c r="C2197" s="44" t="s">
        <v>444</v>
      </c>
      <c r="D2197" s="45">
        <v>77.099999999999994</v>
      </c>
      <c r="E2197" s="48" t="s">
        <v>89</v>
      </c>
      <c r="F2197" s="48" t="s">
        <v>90</v>
      </c>
      <c r="G2197" s="48" t="s">
        <v>91</v>
      </c>
      <c r="J2197" s="44">
        <f>YEAR(A2197)</f>
        <v>2023</v>
      </c>
    </row>
    <row r="2198" spans="1:11" ht="12" customHeight="1" x14ac:dyDescent="0.25">
      <c r="A2198" s="43">
        <v>45220</v>
      </c>
      <c r="B2198" s="47">
        <v>15941</v>
      </c>
      <c r="C2198" s="44" t="s">
        <v>444</v>
      </c>
      <c r="D2198" s="45">
        <v>-126.83</v>
      </c>
      <c r="E2198" s="48" t="s">
        <v>299</v>
      </c>
      <c r="F2198" s="48" t="s">
        <v>90</v>
      </c>
      <c r="G2198" s="48" t="s">
        <v>91</v>
      </c>
      <c r="H2198" s="44" t="s">
        <v>459</v>
      </c>
      <c r="I2198" s="44" t="s">
        <v>987</v>
      </c>
      <c r="J2198" s="44">
        <f>YEAR(A2198)</f>
        <v>2023</v>
      </c>
    </row>
    <row r="2199" spans="1:11" ht="12" customHeight="1" x14ac:dyDescent="0.25">
      <c r="A2199" s="43">
        <v>45220</v>
      </c>
      <c r="B2199" s="47">
        <v>15941</v>
      </c>
      <c r="C2199" s="44" t="s">
        <v>444</v>
      </c>
      <c r="D2199" s="45">
        <v>32.74</v>
      </c>
      <c r="E2199" s="48" t="s">
        <v>157</v>
      </c>
      <c r="F2199" s="48" t="s">
        <v>96</v>
      </c>
      <c r="G2199" s="48" t="s">
        <v>91</v>
      </c>
      <c r="J2199" s="44">
        <f>YEAR(A2199)</f>
        <v>2023</v>
      </c>
    </row>
    <row r="2200" spans="1:11" ht="12" customHeight="1" x14ac:dyDescent="0.25">
      <c r="A2200" s="43">
        <v>45220</v>
      </c>
      <c r="B2200" s="47">
        <v>15941</v>
      </c>
      <c r="C2200" s="44" t="s">
        <v>444</v>
      </c>
      <c r="D2200" s="45">
        <v>16.989999999999998</v>
      </c>
      <c r="E2200" s="48" t="s">
        <v>105</v>
      </c>
      <c r="F2200" s="48" t="s">
        <v>90</v>
      </c>
      <c r="G2200" s="48" t="s">
        <v>91</v>
      </c>
      <c r="J2200" s="44">
        <f>YEAR(A2200)</f>
        <v>2023</v>
      </c>
    </row>
    <row r="2201" spans="1:11" ht="12" customHeight="1" x14ac:dyDescent="0.25">
      <c r="A2201" s="43">
        <v>45220</v>
      </c>
      <c r="B2201" s="47">
        <v>15942</v>
      </c>
      <c r="C2201" s="44" t="s">
        <v>552</v>
      </c>
      <c r="D2201" s="45">
        <v>10.4</v>
      </c>
      <c r="E2201" s="48" t="s">
        <v>89</v>
      </c>
      <c r="F2201" s="48" t="s">
        <v>90</v>
      </c>
      <c r="G2201" s="48" t="s">
        <v>91</v>
      </c>
      <c r="J2201" s="44">
        <f>YEAR(A2201)</f>
        <v>2023</v>
      </c>
    </row>
    <row r="2202" spans="1:11" ht="12" customHeight="1" x14ac:dyDescent="0.25">
      <c r="A2202" s="43">
        <v>45220</v>
      </c>
      <c r="B2202" s="47">
        <v>15942</v>
      </c>
      <c r="C2202" s="44" t="s">
        <v>552</v>
      </c>
      <c r="D2202" s="45">
        <v>-36.340000000000003</v>
      </c>
      <c r="E2202" s="48" t="s">
        <v>299</v>
      </c>
      <c r="F2202" s="48" t="s">
        <v>90</v>
      </c>
      <c r="G2202" s="48" t="s">
        <v>305</v>
      </c>
      <c r="I2202" s="44" t="s">
        <v>985</v>
      </c>
      <c r="J2202" s="44">
        <f>YEAR(A2202)</f>
        <v>2023</v>
      </c>
    </row>
    <row r="2203" spans="1:11" ht="12" customHeight="1" x14ac:dyDescent="0.25">
      <c r="A2203" s="43">
        <v>45220</v>
      </c>
      <c r="B2203" s="47">
        <v>15942</v>
      </c>
      <c r="C2203" s="44" t="s">
        <v>552</v>
      </c>
      <c r="D2203" s="45">
        <v>25.94</v>
      </c>
      <c r="E2203" s="48" t="s">
        <v>197</v>
      </c>
      <c r="F2203" s="48" t="s">
        <v>96</v>
      </c>
      <c r="G2203" s="48" t="s">
        <v>91</v>
      </c>
      <c r="J2203" s="44">
        <f>YEAR(A2203)</f>
        <v>2023</v>
      </c>
    </row>
    <row r="2204" spans="1:11" ht="12" customHeight="1" x14ac:dyDescent="0.25">
      <c r="A2204" s="43">
        <v>45220</v>
      </c>
      <c r="B2204" s="47">
        <v>15943</v>
      </c>
      <c r="C2204" s="44" t="s">
        <v>550</v>
      </c>
      <c r="D2204" s="45">
        <v>14</v>
      </c>
      <c r="E2204" s="48" t="s">
        <v>197</v>
      </c>
      <c r="F2204" s="48" t="s">
        <v>96</v>
      </c>
      <c r="G2204" s="48" t="s">
        <v>91</v>
      </c>
      <c r="J2204" s="44">
        <f>YEAR(A2204)</f>
        <v>2023</v>
      </c>
    </row>
    <row r="2205" spans="1:11" ht="12" customHeight="1" x14ac:dyDescent="0.25">
      <c r="A2205" s="43">
        <v>45220</v>
      </c>
      <c r="B2205" s="47">
        <v>15943</v>
      </c>
      <c r="C2205" s="44" t="s">
        <v>550</v>
      </c>
      <c r="D2205" s="45">
        <v>-52.55</v>
      </c>
      <c r="E2205" s="48" t="s">
        <v>299</v>
      </c>
      <c r="F2205" s="48" t="s">
        <v>90</v>
      </c>
      <c r="G2205" s="48" t="s">
        <v>305</v>
      </c>
      <c r="I2205" s="44" t="s">
        <v>985</v>
      </c>
      <c r="J2205" s="44">
        <f>YEAR(A2205)</f>
        <v>2023</v>
      </c>
    </row>
    <row r="2206" spans="1:11" ht="12" customHeight="1" x14ac:dyDescent="0.25">
      <c r="A2206" s="43">
        <v>45220</v>
      </c>
      <c r="B2206" s="47">
        <v>15943</v>
      </c>
      <c r="C2206" s="44" t="s">
        <v>550</v>
      </c>
      <c r="D2206" s="45">
        <v>38.549999999999997</v>
      </c>
      <c r="E2206" s="48" t="s">
        <v>105</v>
      </c>
      <c r="F2206" s="48" t="s">
        <v>90</v>
      </c>
      <c r="G2206" s="48" t="s">
        <v>93</v>
      </c>
      <c r="J2206" s="44">
        <f>YEAR(A2206)</f>
        <v>2023</v>
      </c>
    </row>
    <row r="2207" spans="1:11" ht="12" customHeight="1" x14ac:dyDescent="0.25">
      <c r="A2207" s="43">
        <v>45220</v>
      </c>
      <c r="B2207" s="47">
        <v>15944</v>
      </c>
      <c r="C2207" s="44" t="s">
        <v>956</v>
      </c>
      <c r="D2207" s="45">
        <v>4.5</v>
      </c>
      <c r="E2207" s="48" t="s">
        <v>89</v>
      </c>
      <c r="F2207" s="48" t="s">
        <v>90</v>
      </c>
      <c r="G2207" s="48" t="s">
        <v>91</v>
      </c>
      <c r="J2207" s="44">
        <f>YEAR(A2207)</f>
        <v>2023</v>
      </c>
    </row>
    <row r="2208" spans="1:11" ht="12" customHeight="1" x14ac:dyDescent="0.25">
      <c r="A2208" s="43">
        <v>45220</v>
      </c>
      <c r="B2208" s="47">
        <v>15944</v>
      </c>
      <c r="C2208" s="44" t="s">
        <v>956</v>
      </c>
      <c r="D2208" s="45">
        <v>-4.5</v>
      </c>
      <c r="E2208" s="48" t="s">
        <v>299</v>
      </c>
      <c r="F2208" s="48" t="s">
        <v>90</v>
      </c>
      <c r="G2208" s="48" t="s">
        <v>305</v>
      </c>
      <c r="I2208" s="44" t="s">
        <v>985</v>
      </c>
      <c r="J2208" s="44">
        <f>YEAR(A2208)</f>
        <v>2023</v>
      </c>
    </row>
    <row r="2209" spans="1:10" ht="12" customHeight="1" x14ac:dyDescent="0.25">
      <c r="A2209" s="43">
        <v>45222</v>
      </c>
      <c r="B2209" s="47">
        <v>15945</v>
      </c>
      <c r="C2209" s="44" t="s">
        <v>957</v>
      </c>
      <c r="D2209" s="45">
        <v>2.5</v>
      </c>
      <c r="E2209" s="48" t="s">
        <v>89</v>
      </c>
      <c r="F2209" s="48" t="s">
        <v>90</v>
      </c>
      <c r="G2209" s="48" t="s">
        <v>91</v>
      </c>
      <c r="J2209" s="44">
        <f>YEAR(A2209)</f>
        <v>2023</v>
      </c>
    </row>
    <row r="2210" spans="1:10" ht="12" customHeight="1" x14ac:dyDescent="0.25">
      <c r="A2210" s="43">
        <v>45222</v>
      </c>
      <c r="B2210" s="47">
        <v>15945</v>
      </c>
      <c r="C2210" s="44" t="s">
        <v>957</v>
      </c>
      <c r="D2210" s="45">
        <v>-2.5</v>
      </c>
      <c r="E2210" s="48" t="s">
        <v>299</v>
      </c>
      <c r="F2210" s="48" t="s">
        <v>90</v>
      </c>
      <c r="G2210" s="48" t="s">
        <v>305</v>
      </c>
      <c r="I2210" s="44" t="s">
        <v>985</v>
      </c>
      <c r="J2210" s="44">
        <f>YEAR(A2210)</f>
        <v>2023</v>
      </c>
    </row>
    <row r="2211" spans="1:10" ht="12" customHeight="1" x14ac:dyDescent="0.25">
      <c r="A2211" s="43">
        <v>45222</v>
      </c>
      <c r="B2211" s="47">
        <v>15946</v>
      </c>
      <c r="C2211" s="44" t="s">
        <v>464</v>
      </c>
      <c r="D2211" s="45">
        <v>41</v>
      </c>
      <c r="E2211" s="48" t="s">
        <v>89</v>
      </c>
      <c r="F2211" s="48" t="s">
        <v>90</v>
      </c>
      <c r="G2211" s="48" t="s">
        <v>91</v>
      </c>
      <c r="J2211" s="44">
        <f>YEAR(A2211)</f>
        <v>2023</v>
      </c>
    </row>
    <row r="2212" spans="1:10" ht="12" customHeight="1" x14ac:dyDescent="0.25">
      <c r="A2212" s="43">
        <v>45222</v>
      </c>
      <c r="B2212" s="47">
        <v>15946</v>
      </c>
      <c r="C2212" s="44" t="s">
        <v>464</v>
      </c>
      <c r="D2212" s="45">
        <v>-41</v>
      </c>
      <c r="E2212" s="48" t="s">
        <v>299</v>
      </c>
      <c r="F2212" s="48" t="s">
        <v>90</v>
      </c>
      <c r="G2212" s="48" t="s">
        <v>305</v>
      </c>
      <c r="I2212" s="44" t="s">
        <v>985</v>
      </c>
      <c r="J2212" s="44">
        <f>YEAR(A2212)</f>
        <v>2023</v>
      </c>
    </row>
    <row r="2213" spans="1:10" ht="12" customHeight="1" x14ac:dyDescent="0.25">
      <c r="A2213" s="43">
        <v>45225</v>
      </c>
      <c r="B2213" s="47">
        <v>15947</v>
      </c>
      <c r="C2213" s="44" t="s">
        <v>654</v>
      </c>
      <c r="D2213" s="45">
        <v>-12.6</v>
      </c>
      <c r="E2213" s="48" t="s">
        <v>299</v>
      </c>
      <c r="F2213" s="48" t="s">
        <v>90</v>
      </c>
      <c r="G2213" s="48" t="s">
        <v>91</v>
      </c>
      <c r="H2213" s="44">
        <v>4079</v>
      </c>
      <c r="I2213" s="44" t="s">
        <v>1021</v>
      </c>
      <c r="J2213" s="44">
        <f>YEAR(A2213)</f>
        <v>2023</v>
      </c>
    </row>
    <row r="2214" spans="1:10" ht="12" customHeight="1" x14ac:dyDescent="0.25">
      <c r="A2214" s="43">
        <v>45225</v>
      </c>
      <c r="B2214" s="47">
        <v>15947</v>
      </c>
      <c r="C2214" s="44" t="s">
        <v>654</v>
      </c>
      <c r="D2214" s="45">
        <v>12.6</v>
      </c>
      <c r="E2214" s="48" t="s">
        <v>197</v>
      </c>
      <c r="F2214" s="48" t="s">
        <v>90</v>
      </c>
      <c r="G2214" s="48" t="s">
        <v>91</v>
      </c>
      <c r="J2214" s="44">
        <f>YEAR(A2214)</f>
        <v>2023</v>
      </c>
    </row>
    <row r="2215" spans="1:10" ht="12" customHeight="1" x14ac:dyDescent="0.25">
      <c r="A2215" s="43">
        <v>45223</v>
      </c>
      <c r="B2215" s="47">
        <v>15948</v>
      </c>
      <c r="C2215" s="44" t="s">
        <v>568</v>
      </c>
      <c r="D2215" s="45">
        <v>26.43</v>
      </c>
      <c r="E2215" s="48" t="s">
        <v>89</v>
      </c>
      <c r="F2215" s="48" t="s">
        <v>90</v>
      </c>
      <c r="G2215" s="48" t="s">
        <v>91</v>
      </c>
      <c r="J2215" s="44">
        <f>YEAR(A2215)</f>
        <v>2023</v>
      </c>
    </row>
    <row r="2216" spans="1:10" ht="12" customHeight="1" x14ac:dyDescent="0.25">
      <c r="A2216" s="43">
        <v>45223</v>
      </c>
      <c r="B2216" s="47">
        <v>15948</v>
      </c>
      <c r="C2216" s="44" t="s">
        <v>568</v>
      </c>
      <c r="D2216" s="45">
        <v>-26.43</v>
      </c>
      <c r="E2216" s="48" t="s">
        <v>299</v>
      </c>
      <c r="F2216" s="48" t="s">
        <v>90</v>
      </c>
      <c r="G2216" s="48" t="s">
        <v>305</v>
      </c>
      <c r="I2216" s="44" t="s">
        <v>985</v>
      </c>
      <c r="J2216" s="44">
        <f>YEAR(A2216)</f>
        <v>2023</v>
      </c>
    </row>
    <row r="2217" spans="1:10" ht="12" customHeight="1" x14ac:dyDescent="0.25">
      <c r="A2217" s="43">
        <v>45223</v>
      </c>
      <c r="B2217" s="47">
        <v>15949</v>
      </c>
      <c r="C2217" s="44" t="s">
        <v>446</v>
      </c>
      <c r="D2217" s="45">
        <v>23.66</v>
      </c>
      <c r="E2217" s="48" t="s">
        <v>89</v>
      </c>
      <c r="F2217" s="48" t="s">
        <v>90</v>
      </c>
      <c r="G2217" s="48" t="s">
        <v>91</v>
      </c>
      <c r="J2217" s="44">
        <f>YEAR(A2217)</f>
        <v>2023</v>
      </c>
    </row>
    <row r="2218" spans="1:10" ht="12" customHeight="1" x14ac:dyDescent="0.25">
      <c r="A2218" s="43">
        <v>45223</v>
      </c>
      <c r="B2218" s="47">
        <v>15949</v>
      </c>
      <c r="C2218" s="44" t="s">
        <v>446</v>
      </c>
      <c r="D2218" s="45">
        <v>-23.66</v>
      </c>
      <c r="E2218" s="48" t="s">
        <v>299</v>
      </c>
      <c r="F2218" s="48" t="s">
        <v>90</v>
      </c>
      <c r="G2218" s="48" t="s">
        <v>305</v>
      </c>
      <c r="I2218" s="44" t="s">
        <v>985</v>
      </c>
      <c r="J2218" s="44">
        <f>YEAR(A2218)</f>
        <v>2023</v>
      </c>
    </row>
    <row r="2219" spans="1:10" ht="12" customHeight="1" x14ac:dyDescent="0.25">
      <c r="A2219" s="43">
        <v>45223</v>
      </c>
      <c r="B2219" s="47">
        <v>15949</v>
      </c>
      <c r="C2219" s="44" t="s">
        <v>446</v>
      </c>
      <c r="D2219" s="45">
        <v>2.29</v>
      </c>
      <c r="E2219" s="48" t="s">
        <v>89</v>
      </c>
      <c r="F2219" s="48" t="s">
        <v>90</v>
      </c>
      <c r="G2219" s="48" t="s">
        <v>91</v>
      </c>
      <c r="J2219" s="44">
        <f>YEAR(A2219)</f>
        <v>2023</v>
      </c>
    </row>
    <row r="2220" spans="1:10" ht="12" customHeight="1" x14ac:dyDescent="0.25">
      <c r="A2220" s="43">
        <v>45223</v>
      </c>
      <c r="B2220" s="47">
        <v>15949</v>
      </c>
      <c r="C2220" s="44" t="s">
        <v>446</v>
      </c>
      <c r="D2220" s="45">
        <v>-2.29</v>
      </c>
      <c r="E2220" s="48" t="s">
        <v>299</v>
      </c>
      <c r="F2220" s="48" t="s">
        <v>90</v>
      </c>
      <c r="G2220" s="48" t="s">
        <v>305</v>
      </c>
      <c r="I2220" s="44" t="s">
        <v>985</v>
      </c>
      <c r="J2220" s="44">
        <f>YEAR(A2220)</f>
        <v>2023</v>
      </c>
    </row>
    <row r="2221" spans="1:10" ht="12" customHeight="1" x14ac:dyDescent="0.25">
      <c r="A2221" s="43">
        <v>45223</v>
      </c>
      <c r="B2221" s="47">
        <v>15950</v>
      </c>
      <c r="C2221" s="44" t="s">
        <v>475</v>
      </c>
      <c r="D2221" s="45">
        <v>9.92</v>
      </c>
      <c r="E2221" s="48" t="s">
        <v>89</v>
      </c>
      <c r="F2221" s="48" t="s">
        <v>90</v>
      </c>
      <c r="G2221" s="48" t="s">
        <v>91</v>
      </c>
      <c r="J2221" s="44">
        <f>YEAR(A2221)</f>
        <v>2023</v>
      </c>
    </row>
    <row r="2222" spans="1:10" ht="12" customHeight="1" x14ac:dyDescent="0.25">
      <c r="A2222" s="43">
        <v>45223</v>
      </c>
      <c r="B2222" s="47">
        <v>15950</v>
      </c>
      <c r="C2222" s="44" t="s">
        <v>475</v>
      </c>
      <c r="D2222" s="45">
        <v>-9.92</v>
      </c>
      <c r="E2222" s="48" t="s">
        <v>299</v>
      </c>
      <c r="F2222" s="48" t="s">
        <v>90</v>
      </c>
      <c r="G2222" s="48" t="s">
        <v>305</v>
      </c>
      <c r="I2222" s="44" t="s">
        <v>985</v>
      </c>
      <c r="J2222" s="44">
        <f>YEAR(A2222)</f>
        <v>2023</v>
      </c>
    </row>
    <row r="2223" spans="1:10" ht="12" customHeight="1" x14ac:dyDescent="0.25">
      <c r="A2223" s="43">
        <v>45223</v>
      </c>
      <c r="B2223" s="47">
        <v>15951</v>
      </c>
      <c r="C2223" s="44" t="s">
        <v>458</v>
      </c>
      <c r="D2223" s="45">
        <v>8.1</v>
      </c>
      <c r="E2223" s="48" t="s">
        <v>89</v>
      </c>
      <c r="F2223" s="48" t="s">
        <v>90</v>
      </c>
      <c r="G2223" s="48" t="s">
        <v>91</v>
      </c>
      <c r="J2223" s="44">
        <f>YEAR(A2223)</f>
        <v>2023</v>
      </c>
    </row>
    <row r="2224" spans="1:10" ht="12" customHeight="1" x14ac:dyDescent="0.25">
      <c r="A2224" s="43">
        <v>45223</v>
      </c>
      <c r="B2224" s="47">
        <v>15951</v>
      </c>
      <c r="C2224" s="44" t="s">
        <v>458</v>
      </c>
      <c r="D2224" s="45">
        <v>-8.1</v>
      </c>
      <c r="E2224" s="48" t="s">
        <v>299</v>
      </c>
      <c r="F2224" s="48" t="s">
        <v>90</v>
      </c>
      <c r="G2224" s="48" t="s">
        <v>305</v>
      </c>
      <c r="I2224" s="44" t="s">
        <v>985</v>
      </c>
      <c r="J2224" s="44">
        <f>YEAR(A2224)</f>
        <v>2023</v>
      </c>
    </row>
    <row r="2225" spans="1:10" ht="12" customHeight="1" x14ac:dyDescent="0.25">
      <c r="A2225" s="43">
        <v>45223</v>
      </c>
      <c r="B2225" s="47">
        <v>15952</v>
      </c>
      <c r="C2225" s="44" t="s">
        <v>453</v>
      </c>
      <c r="D2225" s="45">
        <v>26.77</v>
      </c>
      <c r="E2225" s="48" t="s">
        <v>89</v>
      </c>
      <c r="F2225" s="48" t="s">
        <v>90</v>
      </c>
      <c r="G2225" s="48" t="s">
        <v>91</v>
      </c>
      <c r="J2225" s="44">
        <f>YEAR(A2225)</f>
        <v>2023</v>
      </c>
    </row>
    <row r="2226" spans="1:10" ht="12" customHeight="1" x14ac:dyDescent="0.25">
      <c r="A2226" s="43">
        <v>45223</v>
      </c>
      <c r="B2226" s="47">
        <v>15952</v>
      </c>
      <c r="C2226" s="44" t="s">
        <v>453</v>
      </c>
      <c r="D2226" s="45">
        <v>-26.77</v>
      </c>
      <c r="E2226" s="48" t="s">
        <v>299</v>
      </c>
      <c r="F2226" s="48" t="s">
        <v>90</v>
      </c>
      <c r="G2226" s="48" t="s">
        <v>305</v>
      </c>
      <c r="I2226" s="44" t="s">
        <v>985</v>
      </c>
      <c r="J2226" s="44">
        <f>YEAR(A2226)</f>
        <v>2023</v>
      </c>
    </row>
    <row r="2227" spans="1:10" ht="12" customHeight="1" x14ac:dyDescent="0.25">
      <c r="A2227" s="43">
        <v>45225</v>
      </c>
      <c r="B2227" s="47">
        <v>15953</v>
      </c>
      <c r="C2227" s="44" t="s">
        <v>473</v>
      </c>
      <c r="D2227" s="45">
        <v>5.0999999999999996</v>
      </c>
      <c r="E2227" s="48" t="s">
        <v>180</v>
      </c>
      <c r="F2227" s="48" t="s">
        <v>90</v>
      </c>
      <c r="G2227" s="48" t="s">
        <v>91</v>
      </c>
      <c r="J2227" s="44">
        <f>YEAR(A2227)</f>
        <v>2023</v>
      </c>
    </row>
    <row r="2228" spans="1:10" ht="12" customHeight="1" x14ac:dyDescent="0.25">
      <c r="A2228" s="43">
        <v>45225</v>
      </c>
      <c r="B2228" s="47">
        <v>15953</v>
      </c>
      <c r="C2228" s="44" t="s">
        <v>473</v>
      </c>
      <c r="D2228" s="45">
        <v>-5.0999999999999996</v>
      </c>
      <c r="E2228" s="48" t="s">
        <v>299</v>
      </c>
      <c r="F2228" s="48" t="s">
        <v>90</v>
      </c>
      <c r="G2228" s="48" t="s">
        <v>305</v>
      </c>
      <c r="I2228" s="44" t="s">
        <v>985</v>
      </c>
      <c r="J2228" s="44">
        <f>YEAR(A2228)</f>
        <v>2023</v>
      </c>
    </row>
    <row r="2229" spans="1:10" ht="12" customHeight="1" x14ac:dyDescent="0.25">
      <c r="A2229" s="43">
        <v>45225</v>
      </c>
      <c r="B2229" s="47">
        <v>15954</v>
      </c>
      <c r="C2229" s="44" t="s">
        <v>472</v>
      </c>
      <c r="D2229" s="45">
        <v>95</v>
      </c>
      <c r="E2229" s="48" t="s">
        <v>197</v>
      </c>
      <c r="F2229" s="48" t="s">
        <v>96</v>
      </c>
      <c r="G2229" s="48" t="s">
        <v>99</v>
      </c>
      <c r="J2229" s="44">
        <f>YEAR(A2229)</f>
        <v>2023</v>
      </c>
    </row>
    <row r="2230" spans="1:10" ht="12" customHeight="1" x14ac:dyDescent="0.25">
      <c r="A2230" s="43">
        <v>45225</v>
      </c>
      <c r="B2230" s="47">
        <v>15954</v>
      </c>
      <c r="C2230" s="44" t="s">
        <v>472</v>
      </c>
      <c r="D2230" s="45">
        <v>-95</v>
      </c>
      <c r="E2230" s="48" t="s">
        <v>299</v>
      </c>
      <c r="F2230" s="48" t="s">
        <v>90</v>
      </c>
      <c r="G2230" s="48" t="s">
        <v>305</v>
      </c>
      <c r="I2230" s="44" t="s">
        <v>985</v>
      </c>
      <c r="J2230" s="44">
        <f>YEAR(A2230)</f>
        <v>2023</v>
      </c>
    </row>
    <row r="2231" spans="1:10" ht="12" customHeight="1" x14ac:dyDescent="0.25">
      <c r="A2231" s="43">
        <v>45225</v>
      </c>
      <c r="B2231" s="47">
        <v>15955</v>
      </c>
      <c r="C2231" s="44" t="s">
        <v>958</v>
      </c>
      <c r="D2231" s="45">
        <v>12.1</v>
      </c>
      <c r="E2231" s="48" t="s">
        <v>197</v>
      </c>
      <c r="F2231" s="48" t="s">
        <v>96</v>
      </c>
      <c r="G2231" s="48" t="s">
        <v>91</v>
      </c>
      <c r="J2231" s="44">
        <f>YEAR(A2231)</f>
        <v>2023</v>
      </c>
    </row>
    <row r="2232" spans="1:10" ht="12" customHeight="1" x14ac:dyDescent="0.25">
      <c r="A2232" s="43">
        <v>45225</v>
      </c>
      <c r="B2232" s="47">
        <v>15955</v>
      </c>
      <c r="C2232" s="44" t="s">
        <v>958</v>
      </c>
      <c r="D2232" s="45">
        <v>-12.1</v>
      </c>
      <c r="E2232" s="48" t="s">
        <v>299</v>
      </c>
      <c r="F2232" s="48" t="s">
        <v>90</v>
      </c>
      <c r="G2232" s="48" t="s">
        <v>305</v>
      </c>
      <c r="I2232" s="44" t="s">
        <v>985</v>
      </c>
      <c r="J2232" s="44">
        <f>YEAR(A2232)</f>
        <v>2023</v>
      </c>
    </row>
    <row r="2233" spans="1:10" ht="12" customHeight="1" x14ac:dyDescent="0.25">
      <c r="A2233" s="43">
        <v>45225</v>
      </c>
      <c r="B2233" s="47">
        <v>15956</v>
      </c>
      <c r="C2233" s="44" t="s">
        <v>443</v>
      </c>
      <c r="D2233" s="45">
        <v>3.2</v>
      </c>
      <c r="E2233" s="48" t="s">
        <v>89</v>
      </c>
      <c r="F2233" s="48" t="s">
        <v>90</v>
      </c>
      <c r="G2233" s="48" t="s">
        <v>91</v>
      </c>
      <c r="J2233" s="44">
        <f>YEAR(A2233)</f>
        <v>2023</v>
      </c>
    </row>
    <row r="2234" spans="1:10" ht="12" customHeight="1" x14ac:dyDescent="0.25">
      <c r="A2234" s="43">
        <v>45225</v>
      </c>
      <c r="B2234" s="47">
        <v>15956</v>
      </c>
      <c r="C2234" s="44" t="s">
        <v>443</v>
      </c>
      <c r="D2234" s="45">
        <v>-3.2</v>
      </c>
      <c r="E2234" s="48" t="s">
        <v>299</v>
      </c>
      <c r="F2234" s="48" t="s">
        <v>90</v>
      </c>
      <c r="G2234" s="48" t="s">
        <v>305</v>
      </c>
      <c r="I2234" s="44" t="s">
        <v>985</v>
      </c>
      <c r="J2234" s="44">
        <f>YEAR(A2234)</f>
        <v>2023</v>
      </c>
    </row>
    <row r="2235" spans="1:10" ht="12" customHeight="1" x14ac:dyDescent="0.25">
      <c r="A2235" s="43">
        <v>45226</v>
      </c>
      <c r="B2235" s="47">
        <v>15957</v>
      </c>
      <c r="C2235" s="44" t="s">
        <v>959</v>
      </c>
      <c r="D2235" s="45">
        <v>-128</v>
      </c>
      <c r="E2235" s="48" t="s">
        <v>244</v>
      </c>
      <c r="F2235" s="48" t="s">
        <v>90</v>
      </c>
      <c r="G2235" s="48" t="s">
        <v>115</v>
      </c>
      <c r="J2235" s="44">
        <f>YEAR(A2235)</f>
        <v>2023</v>
      </c>
    </row>
    <row r="2236" spans="1:10" ht="12" customHeight="1" x14ac:dyDescent="0.25">
      <c r="A2236" s="43">
        <v>45226</v>
      </c>
      <c r="B2236" s="47">
        <v>15957</v>
      </c>
      <c r="C2236" s="44" t="s">
        <v>959</v>
      </c>
      <c r="D2236" s="45">
        <v>128</v>
      </c>
      <c r="E2236" s="48" t="s">
        <v>299</v>
      </c>
      <c r="F2236" s="48" t="s">
        <v>307</v>
      </c>
      <c r="G2236" s="48" t="s">
        <v>91</v>
      </c>
      <c r="J2236" s="44">
        <f>YEAR(A2236)</f>
        <v>2023</v>
      </c>
    </row>
    <row r="2237" spans="1:10" ht="12" customHeight="1" x14ac:dyDescent="0.25">
      <c r="A2237" s="43">
        <v>45227</v>
      </c>
      <c r="B2237" s="47">
        <v>15958</v>
      </c>
      <c r="C2237" s="44" t="s">
        <v>960</v>
      </c>
      <c r="D2237" s="45">
        <v>-68</v>
      </c>
      <c r="E2237" s="48" t="s">
        <v>299</v>
      </c>
      <c r="F2237" s="48" t="s">
        <v>90</v>
      </c>
      <c r="G2237" s="48" t="s">
        <v>91</v>
      </c>
      <c r="H2237" s="44">
        <v>4080</v>
      </c>
      <c r="I2237" s="44" t="s">
        <v>987</v>
      </c>
      <c r="J2237" s="44">
        <f>YEAR(A2237)</f>
        <v>2023</v>
      </c>
    </row>
    <row r="2238" spans="1:10" ht="12" customHeight="1" x14ac:dyDescent="0.25">
      <c r="A2238" s="43">
        <v>45227</v>
      </c>
      <c r="B2238" s="47">
        <v>15958</v>
      </c>
      <c r="C2238" s="44" t="s">
        <v>960</v>
      </c>
      <c r="D2238" s="45">
        <v>68</v>
      </c>
      <c r="E2238" s="48" t="s">
        <v>145</v>
      </c>
      <c r="F2238" s="48" t="s">
        <v>128</v>
      </c>
      <c r="G2238" s="48" t="s">
        <v>115</v>
      </c>
      <c r="J2238" s="44">
        <f>YEAR(A2238)</f>
        <v>2023</v>
      </c>
    </row>
    <row r="2239" spans="1:10" ht="12" customHeight="1" x14ac:dyDescent="0.25">
      <c r="A2239" s="43">
        <v>45226</v>
      </c>
      <c r="B2239" s="47">
        <v>15959</v>
      </c>
      <c r="C2239" s="44" t="s">
        <v>446</v>
      </c>
      <c r="D2239" s="45">
        <v>61.93</v>
      </c>
      <c r="E2239" s="48" t="s">
        <v>89</v>
      </c>
      <c r="F2239" s="48" t="s">
        <v>90</v>
      </c>
      <c r="G2239" s="48" t="s">
        <v>91</v>
      </c>
      <c r="J2239" s="44">
        <f>YEAR(A2239)</f>
        <v>2023</v>
      </c>
    </row>
    <row r="2240" spans="1:10" ht="12" customHeight="1" x14ac:dyDescent="0.25">
      <c r="A2240" s="43">
        <v>45226</v>
      </c>
      <c r="B2240" s="47">
        <v>15959</v>
      </c>
      <c r="C2240" s="44" t="s">
        <v>446</v>
      </c>
      <c r="D2240" s="45">
        <v>-61.93</v>
      </c>
      <c r="E2240" s="48" t="s">
        <v>299</v>
      </c>
      <c r="F2240" s="48" t="s">
        <v>90</v>
      </c>
      <c r="G2240" s="48" t="s">
        <v>305</v>
      </c>
      <c r="I2240" s="44" t="s">
        <v>985</v>
      </c>
      <c r="J2240" s="44">
        <f>YEAR(A2240)</f>
        <v>2023</v>
      </c>
    </row>
    <row r="2241" spans="1:10" ht="12" customHeight="1" x14ac:dyDescent="0.25">
      <c r="A2241" s="43">
        <v>45227</v>
      </c>
      <c r="B2241" s="47">
        <v>15960</v>
      </c>
      <c r="C2241" s="44" t="s">
        <v>568</v>
      </c>
      <c r="D2241" s="45">
        <v>36.39</v>
      </c>
      <c r="E2241" s="48" t="s">
        <v>89</v>
      </c>
      <c r="F2241" s="48" t="s">
        <v>90</v>
      </c>
      <c r="G2241" s="48" t="s">
        <v>91</v>
      </c>
      <c r="J2241" s="44">
        <f>YEAR(A2241)</f>
        <v>2023</v>
      </c>
    </row>
    <row r="2242" spans="1:10" ht="12" customHeight="1" x14ac:dyDescent="0.25">
      <c r="A2242" s="43">
        <v>45227</v>
      </c>
      <c r="B2242" s="47">
        <v>15960</v>
      </c>
      <c r="C2242" s="44" t="s">
        <v>568</v>
      </c>
      <c r="D2242" s="45">
        <v>-36.39</v>
      </c>
      <c r="E2242" s="48" t="s">
        <v>299</v>
      </c>
      <c r="F2242" s="48" t="s">
        <v>90</v>
      </c>
      <c r="G2242" s="48" t="s">
        <v>305</v>
      </c>
      <c r="I2242" s="44" t="s">
        <v>985</v>
      </c>
      <c r="J2242" s="44">
        <f>YEAR(A2242)</f>
        <v>2023</v>
      </c>
    </row>
    <row r="2243" spans="1:10" ht="12" customHeight="1" x14ac:dyDescent="0.25">
      <c r="A2243" s="43">
        <v>45227</v>
      </c>
      <c r="B2243" s="47">
        <v>15961</v>
      </c>
      <c r="C2243" s="44" t="s">
        <v>471</v>
      </c>
      <c r="D2243" s="45">
        <v>27</v>
      </c>
      <c r="E2243" s="48" t="s">
        <v>89</v>
      </c>
      <c r="F2243" s="48" t="s">
        <v>90</v>
      </c>
      <c r="G2243" s="48" t="s">
        <v>91</v>
      </c>
      <c r="J2243" s="44">
        <f>YEAR(A2243)</f>
        <v>2023</v>
      </c>
    </row>
    <row r="2244" spans="1:10" ht="12" customHeight="1" x14ac:dyDescent="0.25">
      <c r="A2244" s="43">
        <v>45227</v>
      </c>
      <c r="B2244" s="47">
        <v>15961</v>
      </c>
      <c r="C2244" s="44" t="s">
        <v>471</v>
      </c>
      <c r="D2244" s="45">
        <v>-27</v>
      </c>
      <c r="E2244" s="48" t="s">
        <v>299</v>
      </c>
      <c r="F2244" s="48" t="s">
        <v>90</v>
      </c>
      <c r="G2244" s="48" t="s">
        <v>305</v>
      </c>
      <c r="I2244" s="44" t="s">
        <v>985</v>
      </c>
      <c r="J2244" s="44">
        <f>YEAR(A2244)</f>
        <v>2023</v>
      </c>
    </row>
    <row r="2245" spans="1:10" ht="12" customHeight="1" x14ac:dyDescent="0.25">
      <c r="A2245" s="43">
        <v>45227</v>
      </c>
      <c r="B2245" s="47">
        <v>15962</v>
      </c>
      <c r="C2245" s="44" t="s">
        <v>446</v>
      </c>
      <c r="D2245" s="45">
        <v>67.56</v>
      </c>
      <c r="E2245" s="48" t="s">
        <v>89</v>
      </c>
      <c r="F2245" s="48" t="s">
        <v>90</v>
      </c>
      <c r="G2245" s="48" t="s">
        <v>91</v>
      </c>
      <c r="J2245" s="44">
        <f>YEAR(A2245)</f>
        <v>2023</v>
      </c>
    </row>
    <row r="2246" spans="1:10" ht="12" customHeight="1" x14ac:dyDescent="0.25">
      <c r="A2246" s="43">
        <v>45227</v>
      </c>
      <c r="B2246" s="47">
        <v>15962</v>
      </c>
      <c r="C2246" s="44" t="s">
        <v>446</v>
      </c>
      <c r="D2246" s="45">
        <v>-67.56</v>
      </c>
      <c r="E2246" s="48" t="s">
        <v>299</v>
      </c>
      <c r="F2246" s="48" t="s">
        <v>90</v>
      </c>
      <c r="G2246" s="48" t="s">
        <v>305</v>
      </c>
      <c r="I2246" s="44" t="s">
        <v>985</v>
      </c>
      <c r="J2246" s="44">
        <f>YEAR(A2246)</f>
        <v>2023</v>
      </c>
    </row>
    <row r="2247" spans="1:10" ht="12" customHeight="1" x14ac:dyDescent="0.25">
      <c r="A2247" s="43">
        <v>45227</v>
      </c>
      <c r="B2247" s="47">
        <v>15963</v>
      </c>
      <c r="C2247" s="44" t="s">
        <v>762</v>
      </c>
      <c r="D2247" s="45">
        <v>56.6</v>
      </c>
      <c r="E2247" s="48" t="s">
        <v>89</v>
      </c>
      <c r="F2247" s="48" t="s">
        <v>90</v>
      </c>
      <c r="G2247" s="48" t="s">
        <v>91</v>
      </c>
      <c r="J2247" s="44">
        <f>YEAR(A2247)</f>
        <v>2023</v>
      </c>
    </row>
    <row r="2248" spans="1:10" ht="12" customHeight="1" x14ac:dyDescent="0.25">
      <c r="A2248" s="43">
        <v>45227</v>
      </c>
      <c r="B2248" s="47">
        <v>15963</v>
      </c>
      <c r="C2248" s="44" t="s">
        <v>762</v>
      </c>
      <c r="D2248" s="45">
        <v>-56.6</v>
      </c>
      <c r="E2248" s="48" t="s">
        <v>299</v>
      </c>
      <c r="F2248" s="48" t="s">
        <v>90</v>
      </c>
      <c r="G2248" s="48" t="s">
        <v>305</v>
      </c>
      <c r="I2248" s="44" t="s">
        <v>985</v>
      </c>
      <c r="J2248" s="44">
        <f>YEAR(A2248)</f>
        <v>2023</v>
      </c>
    </row>
    <row r="2249" spans="1:10" ht="12" customHeight="1" x14ac:dyDescent="0.25">
      <c r="A2249" s="43">
        <v>45227</v>
      </c>
      <c r="B2249" s="47">
        <v>15964</v>
      </c>
      <c r="C2249" s="44" t="s">
        <v>464</v>
      </c>
      <c r="D2249" s="45">
        <v>29.34</v>
      </c>
      <c r="E2249" s="48" t="s">
        <v>89</v>
      </c>
      <c r="F2249" s="48" t="s">
        <v>90</v>
      </c>
      <c r="G2249" s="48" t="s">
        <v>91</v>
      </c>
      <c r="J2249" s="44">
        <f>YEAR(A2249)</f>
        <v>2023</v>
      </c>
    </row>
    <row r="2250" spans="1:10" ht="12" customHeight="1" x14ac:dyDescent="0.25">
      <c r="A2250" s="43">
        <v>45227</v>
      </c>
      <c r="B2250" s="47">
        <v>15964</v>
      </c>
      <c r="C2250" s="44" t="s">
        <v>464</v>
      </c>
      <c r="D2250" s="45">
        <v>-29.34</v>
      </c>
      <c r="E2250" s="48" t="s">
        <v>299</v>
      </c>
      <c r="F2250" s="48" t="s">
        <v>90</v>
      </c>
      <c r="G2250" s="48" t="s">
        <v>305</v>
      </c>
      <c r="I2250" s="44" t="s">
        <v>985</v>
      </c>
      <c r="J2250" s="44">
        <f>YEAR(A2250)</f>
        <v>2023</v>
      </c>
    </row>
    <row r="2251" spans="1:10" ht="12" customHeight="1" x14ac:dyDescent="0.25">
      <c r="A2251" s="43">
        <v>45227</v>
      </c>
      <c r="B2251" s="47">
        <v>15965</v>
      </c>
      <c r="C2251" s="44" t="s">
        <v>446</v>
      </c>
      <c r="D2251" s="45">
        <v>3.69</v>
      </c>
      <c r="E2251" s="48" t="s">
        <v>89</v>
      </c>
      <c r="F2251" s="48" t="s">
        <v>90</v>
      </c>
      <c r="G2251" s="48" t="s">
        <v>91</v>
      </c>
      <c r="J2251" s="44">
        <f>YEAR(A2251)</f>
        <v>2023</v>
      </c>
    </row>
    <row r="2252" spans="1:10" ht="12" customHeight="1" x14ac:dyDescent="0.25">
      <c r="A2252" s="43">
        <v>45227</v>
      </c>
      <c r="B2252" s="47">
        <v>15965</v>
      </c>
      <c r="C2252" s="44" t="s">
        <v>446</v>
      </c>
      <c r="D2252" s="45">
        <v>-3.69</v>
      </c>
      <c r="E2252" s="48" t="s">
        <v>299</v>
      </c>
      <c r="F2252" s="48" t="s">
        <v>90</v>
      </c>
      <c r="G2252" s="48" t="s">
        <v>305</v>
      </c>
      <c r="I2252" s="44" t="s">
        <v>985</v>
      </c>
      <c r="J2252" s="44">
        <f>YEAR(A2252)</f>
        <v>2023</v>
      </c>
    </row>
    <row r="2253" spans="1:10" ht="12" customHeight="1" x14ac:dyDescent="0.25">
      <c r="A2253" s="43">
        <v>45229</v>
      </c>
      <c r="B2253" s="47">
        <v>15966</v>
      </c>
      <c r="C2253" s="44" t="s">
        <v>455</v>
      </c>
      <c r="D2253" s="45">
        <v>57.34</v>
      </c>
      <c r="E2253" s="48" t="s">
        <v>180</v>
      </c>
      <c r="F2253" s="48" t="s">
        <v>96</v>
      </c>
      <c r="G2253" s="48" t="s">
        <v>186</v>
      </c>
      <c r="J2253" s="44">
        <f>YEAR(A2253)</f>
        <v>2023</v>
      </c>
    </row>
    <row r="2254" spans="1:10" ht="12" customHeight="1" x14ac:dyDescent="0.25">
      <c r="A2254" s="43">
        <v>45229</v>
      </c>
      <c r="B2254" s="47">
        <v>15966</v>
      </c>
      <c r="C2254" s="44" t="s">
        <v>455</v>
      </c>
      <c r="D2254" s="45">
        <v>-57.34</v>
      </c>
      <c r="E2254" s="48" t="s">
        <v>299</v>
      </c>
      <c r="F2254" s="48" t="s">
        <v>90</v>
      </c>
      <c r="G2254" s="48" t="s">
        <v>305</v>
      </c>
      <c r="I2254" s="44" t="s">
        <v>1018</v>
      </c>
      <c r="J2254" s="44">
        <f>YEAR(A2254)</f>
        <v>2023</v>
      </c>
    </row>
    <row r="2255" spans="1:10" ht="12" customHeight="1" x14ac:dyDescent="0.25">
      <c r="A2255" s="43">
        <v>45229</v>
      </c>
      <c r="B2255" s="47">
        <v>15967</v>
      </c>
      <c r="C2255" s="44" t="s">
        <v>455</v>
      </c>
      <c r="D2255" s="45">
        <v>72.790000000000006</v>
      </c>
      <c r="E2255" s="48" t="s">
        <v>89</v>
      </c>
      <c r="F2255" s="48" t="s">
        <v>90</v>
      </c>
      <c r="G2255" s="48" t="s">
        <v>91</v>
      </c>
      <c r="J2255" s="44">
        <f>YEAR(A2255)</f>
        <v>2023</v>
      </c>
    </row>
    <row r="2256" spans="1:10" ht="12" customHeight="1" x14ac:dyDescent="0.25">
      <c r="A2256" s="43">
        <v>45229</v>
      </c>
      <c r="B2256" s="47">
        <v>15967</v>
      </c>
      <c r="C2256" s="44" t="s">
        <v>455</v>
      </c>
      <c r="D2256" s="45">
        <v>-75.78</v>
      </c>
      <c r="E2256" s="48" t="s">
        <v>299</v>
      </c>
      <c r="F2256" s="48" t="s">
        <v>90</v>
      </c>
      <c r="G2256" s="48" t="s">
        <v>305</v>
      </c>
      <c r="I2256" s="44" t="s">
        <v>1018</v>
      </c>
      <c r="J2256" s="44">
        <f>YEAR(A2256)</f>
        <v>2023</v>
      </c>
    </row>
    <row r="2257" spans="1:10" ht="12" customHeight="1" x14ac:dyDescent="0.25">
      <c r="A2257" s="43">
        <v>45229</v>
      </c>
      <c r="B2257" s="47">
        <v>15967</v>
      </c>
      <c r="C2257" s="44" t="s">
        <v>455</v>
      </c>
      <c r="D2257" s="45">
        <v>2.99</v>
      </c>
      <c r="E2257" s="48" t="s">
        <v>157</v>
      </c>
      <c r="F2257" s="48" t="s">
        <v>96</v>
      </c>
      <c r="G2257" s="48" t="s">
        <v>91</v>
      </c>
      <c r="J2257" s="44">
        <f>YEAR(A2257)</f>
        <v>2023</v>
      </c>
    </row>
    <row r="2258" spans="1:10" ht="12" customHeight="1" x14ac:dyDescent="0.25">
      <c r="A2258" s="43">
        <v>45229</v>
      </c>
      <c r="B2258" s="47">
        <v>15968</v>
      </c>
      <c r="C2258" s="44" t="s">
        <v>464</v>
      </c>
      <c r="D2258" s="45">
        <v>26.84</v>
      </c>
      <c r="E2258" s="48" t="s">
        <v>89</v>
      </c>
      <c r="F2258" s="48" t="s">
        <v>90</v>
      </c>
      <c r="G2258" s="48" t="s">
        <v>91</v>
      </c>
      <c r="J2258" s="44">
        <f>YEAR(A2258)</f>
        <v>2023</v>
      </c>
    </row>
    <row r="2259" spans="1:10" ht="12" customHeight="1" x14ac:dyDescent="0.25">
      <c r="A2259" s="43">
        <v>45229</v>
      </c>
      <c r="B2259" s="47">
        <v>15968</v>
      </c>
      <c r="C2259" s="44" t="s">
        <v>464</v>
      </c>
      <c r="D2259" s="45">
        <v>-26.84</v>
      </c>
      <c r="E2259" s="48" t="s">
        <v>299</v>
      </c>
      <c r="F2259" s="48" t="s">
        <v>90</v>
      </c>
      <c r="G2259" s="48" t="s">
        <v>305</v>
      </c>
      <c r="I2259" s="44" t="s">
        <v>1018</v>
      </c>
      <c r="J2259" s="44">
        <f>YEAR(A2259)</f>
        <v>2023</v>
      </c>
    </row>
    <row r="2260" spans="1:10" ht="12" customHeight="1" x14ac:dyDescent="0.25">
      <c r="A2260" s="43">
        <v>45229</v>
      </c>
      <c r="B2260" s="47">
        <v>15969</v>
      </c>
      <c r="C2260" s="44" t="s">
        <v>481</v>
      </c>
      <c r="D2260" s="45">
        <v>17.239999999999998</v>
      </c>
      <c r="E2260" s="48" t="s">
        <v>89</v>
      </c>
      <c r="F2260" s="48" t="s">
        <v>90</v>
      </c>
      <c r="G2260" s="48" t="s">
        <v>91</v>
      </c>
      <c r="J2260" s="44">
        <f>YEAR(A2260)</f>
        <v>2023</v>
      </c>
    </row>
    <row r="2261" spans="1:10" ht="12" customHeight="1" x14ac:dyDescent="0.25">
      <c r="A2261" s="43">
        <v>45229</v>
      </c>
      <c r="B2261" s="47">
        <v>15969</v>
      </c>
      <c r="C2261" s="44" t="s">
        <v>481</v>
      </c>
      <c r="D2261" s="45">
        <v>-17.239999999999998</v>
      </c>
      <c r="E2261" s="48" t="s">
        <v>299</v>
      </c>
      <c r="F2261" s="48" t="s">
        <v>90</v>
      </c>
      <c r="G2261" s="48" t="s">
        <v>305</v>
      </c>
      <c r="I2261" s="44" t="s">
        <v>1018</v>
      </c>
      <c r="J2261" s="44">
        <f>YEAR(A2261)</f>
        <v>2023</v>
      </c>
    </row>
    <row r="2262" spans="1:10" ht="12" customHeight="1" x14ac:dyDescent="0.25">
      <c r="A2262" s="43">
        <v>45230</v>
      </c>
      <c r="B2262" s="47">
        <v>15970</v>
      </c>
      <c r="C2262" s="44" t="s">
        <v>453</v>
      </c>
      <c r="D2262" s="45">
        <v>39.049999999999997</v>
      </c>
      <c r="E2262" s="48" t="s">
        <v>89</v>
      </c>
      <c r="F2262" s="48" t="s">
        <v>90</v>
      </c>
      <c r="G2262" s="48" t="s">
        <v>91</v>
      </c>
      <c r="J2262" s="44">
        <f>YEAR(A2262)</f>
        <v>2023</v>
      </c>
    </row>
    <row r="2263" spans="1:10" ht="12" customHeight="1" x14ac:dyDescent="0.25">
      <c r="A2263" s="43">
        <v>45230</v>
      </c>
      <c r="B2263" s="47">
        <v>15970</v>
      </c>
      <c r="C2263" s="44" t="s">
        <v>453</v>
      </c>
      <c r="D2263" s="45">
        <v>-39.049999999999997</v>
      </c>
      <c r="E2263" s="48" t="s">
        <v>299</v>
      </c>
      <c r="F2263" s="48" t="s">
        <v>90</v>
      </c>
      <c r="G2263" s="48" t="s">
        <v>305</v>
      </c>
      <c r="I2263" s="44" t="s">
        <v>1018</v>
      </c>
      <c r="J2263" s="44">
        <f>YEAR(A2263)</f>
        <v>2023</v>
      </c>
    </row>
    <row r="2264" spans="1:10" ht="12" customHeight="1" x14ac:dyDescent="0.25">
      <c r="A2264" s="43">
        <v>45230</v>
      </c>
      <c r="B2264" s="47">
        <v>15971</v>
      </c>
      <c r="C2264" s="44" t="s">
        <v>568</v>
      </c>
      <c r="D2264" s="45">
        <v>22.89</v>
      </c>
      <c r="E2264" s="48" t="s">
        <v>89</v>
      </c>
      <c r="F2264" s="48" t="s">
        <v>90</v>
      </c>
      <c r="G2264" s="48" t="s">
        <v>91</v>
      </c>
      <c r="J2264" s="44">
        <f>YEAR(A2264)</f>
        <v>2023</v>
      </c>
    </row>
    <row r="2265" spans="1:10" ht="12" customHeight="1" x14ac:dyDescent="0.25">
      <c r="A2265" s="43">
        <v>45230</v>
      </c>
      <c r="B2265" s="47">
        <v>15971</v>
      </c>
      <c r="C2265" s="44" t="s">
        <v>568</v>
      </c>
      <c r="D2265" s="45">
        <v>-22.89</v>
      </c>
      <c r="E2265" s="48" t="s">
        <v>299</v>
      </c>
      <c r="F2265" s="48" t="s">
        <v>90</v>
      </c>
      <c r="G2265" s="48" t="s">
        <v>305</v>
      </c>
      <c r="I2265" s="44" t="s">
        <v>1018</v>
      </c>
      <c r="J2265" s="44">
        <f>YEAR(A2265)</f>
        <v>2023</v>
      </c>
    </row>
    <row r="2266" spans="1:10" ht="12" customHeight="1" x14ac:dyDescent="0.25">
      <c r="A2266" s="43">
        <v>45230</v>
      </c>
      <c r="B2266" s="47">
        <v>15972</v>
      </c>
      <c r="C2266" s="44" t="s">
        <v>446</v>
      </c>
      <c r="D2266" s="45">
        <v>48.7</v>
      </c>
      <c r="E2266" s="48" t="s">
        <v>89</v>
      </c>
      <c r="F2266" s="48" t="s">
        <v>90</v>
      </c>
      <c r="G2266" s="48" t="s">
        <v>91</v>
      </c>
      <c r="J2266" s="44">
        <f>YEAR(A2266)</f>
        <v>2023</v>
      </c>
    </row>
    <row r="2267" spans="1:10" ht="12" customHeight="1" x14ac:dyDescent="0.25">
      <c r="A2267" s="43">
        <v>45230</v>
      </c>
      <c r="B2267" s="47">
        <v>15972</v>
      </c>
      <c r="C2267" s="44" t="s">
        <v>446</v>
      </c>
      <c r="D2267" s="45">
        <v>-48.7</v>
      </c>
      <c r="E2267" s="48" t="s">
        <v>299</v>
      </c>
      <c r="F2267" s="48" t="s">
        <v>90</v>
      </c>
      <c r="G2267" s="48" t="s">
        <v>305</v>
      </c>
      <c r="I2267" s="44" t="s">
        <v>1018</v>
      </c>
      <c r="J2267" s="44">
        <f>YEAR(A2267)</f>
        <v>2023</v>
      </c>
    </row>
    <row r="2268" spans="1:10" ht="12" customHeight="1" x14ac:dyDescent="0.25">
      <c r="A2268" s="43">
        <v>45230</v>
      </c>
      <c r="B2268" s="47">
        <v>15973</v>
      </c>
      <c r="C2268" s="44" t="s">
        <v>458</v>
      </c>
      <c r="D2268" s="45">
        <v>46.41</v>
      </c>
      <c r="E2268" s="48" t="s">
        <v>89</v>
      </c>
      <c r="F2268" s="48" t="s">
        <v>90</v>
      </c>
      <c r="G2268" s="48" t="s">
        <v>91</v>
      </c>
      <c r="J2268" s="44">
        <f>YEAR(A2268)</f>
        <v>2023</v>
      </c>
    </row>
    <row r="2269" spans="1:10" ht="12.5" customHeight="1" x14ac:dyDescent="0.25">
      <c r="A2269" s="43">
        <v>45230</v>
      </c>
      <c r="B2269" s="47">
        <v>15973</v>
      </c>
      <c r="C2269" s="44" t="s">
        <v>458</v>
      </c>
      <c r="D2269" s="45">
        <v>-46.41</v>
      </c>
      <c r="E2269" s="48" t="s">
        <v>299</v>
      </c>
      <c r="F2269" s="48" t="s">
        <v>90</v>
      </c>
      <c r="G2269" s="48" t="s">
        <v>305</v>
      </c>
      <c r="I2269" s="44" t="s">
        <v>1018</v>
      </c>
      <c r="J2269" s="44">
        <f>YEAR(A2269)</f>
        <v>2023</v>
      </c>
    </row>
    <row r="2270" spans="1:10" ht="12" customHeight="1" x14ac:dyDescent="0.25">
      <c r="A2270" s="43">
        <v>45230</v>
      </c>
      <c r="B2270" s="47">
        <v>15974</v>
      </c>
      <c r="C2270" s="44" t="s">
        <v>475</v>
      </c>
      <c r="D2270" s="45">
        <v>46.36</v>
      </c>
      <c r="E2270" s="48" t="s">
        <v>89</v>
      </c>
      <c r="F2270" s="48" t="s">
        <v>90</v>
      </c>
      <c r="G2270" s="48" t="s">
        <v>91</v>
      </c>
      <c r="J2270" s="44">
        <f>YEAR(A2270)</f>
        <v>2023</v>
      </c>
    </row>
    <row r="2271" spans="1:10" ht="12" customHeight="1" x14ac:dyDescent="0.25">
      <c r="A2271" s="43">
        <v>45230</v>
      </c>
      <c r="B2271" s="47">
        <v>15974</v>
      </c>
      <c r="C2271" s="44" t="s">
        <v>475</v>
      </c>
      <c r="D2271" s="45">
        <v>-46.36</v>
      </c>
      <c r="E2271" s="48" t="s">
        <v>299</v>
      </c>
      <c r="F2271" s="48" t="s">
        <v>90</v>
      </c>
      <c r="G2271" s="48" t="s">
        <v>305</v>
      </c>
      <c r="I2271" s="44" t="s">
        <v>1018</v>
      </c>
      <c r="J2271" s="44">
        <f>YEAR(A2271)</f>
        <v>2023</v>
      </c>
    </row>
    <row r="2272" spans="1:10" ht="12" customHeight="1" x14ac:dyDescent="0.25">
      <c r="A2272" s="43">
        <v>45230</v>
      </c>
      <c r="B2272" s="47">
        <v>15975</v>
      </c>
      <c r="C2272" s="44" t="s">
        <v>475</v>
      </c>
      <c r="D2272" s="45">
        <v>14.56</v>
      </c>
      <c r="E2272" s="48" t="s">
        <v>89</v>
      </c>
      <c r="F2272" s="48" t="s">
        <v>90</v>
      </c>
      <c r="G2272" s="48" t="s">
        <v>91</v>
      </c>
      <c r="J2272" s="44">
        <f>YEAR(A2272)</f>
        <v>2023</v>
      </c>
    </row>
    <row r="2273" spans="1:10" ht="12" customHeight="1" x14ac:dyDescent="0.25">
      <c r="A2273" s="43">
        <v>45230</v>
      </c>
      <c r="B2273" s="47">
        <v>15975</v>
      </c>
      <c r="C2273" s="44" t="s">
        <v>475</v>
      </c>
      <c r="D2273" s="45">
        <v>-14.56</v>
      </c>
      <c r="E2273" s="48" t="s">
        <v>299</v>
      </c>
      <c r="F2273" s="48" t="s">
        <v>90</v>
      </c>
      <c r="G2273" s="48" t="s">
        <v>305</v>
      </c>
      <c r="I2273" s="44" t="s">
        <v>1018</v>
      </c>
      <c r="J2273" s="44">
        <f>YEAR(A2273)</f>
        <v>2023</v>
      </c>
    </row>
    <row r="2274" spans="1:10" ht="12" customHeight="1" x14ac:dyDescent="0.25">
      <c r="A2274" s="43">
        <v>45230</v>
      </c>
      <c r="B2274" s="47">
        <v>15976</v>
      </c>
      <c r="C2274" s="44" t="s">
        <v>558</v>
      </c>
      <c r="D2274" s="45">
        <v>5.97</v>
      </c>
      <c r="E2274" s="48" t="s">
        <v>89</v>
      </c>
      <c r="F2274" s="48" t="s">
        <v>90</v>
      </c>
      <c r="G2274" s="48" t="s">
        <v>91</v>
      </c>
      <c r="J2274" s="44">
        <f>YEAR(A2274)</f>
        <v>2023</v>
      </c>
    </row>
    <row r="2275" spans="1:10" ht="12" customHeight="1" x14ac:dyDescent="0.25">
      <c r="A2275" s="43">
        <v>45230</v>
      </c>
      <c r="B2275" s="47">
        <v>15976</v>
      </c>
      <c r="C2275" s="44" t="s">
        <v>558</v>
      </c>
      <c r="D2275" s="45">
        <v>-5.97</v>
      </c>
      <c r="E2275" s="48" t="s">
        <v>299</v>
      </c>
      <c r="F2275" s="48" t="s">
        <v>90</v>
      </c>
      <c r="G2275" s="48" t="s">
        <v>305</v>
      </c>
      <c r="I2275" s="44" t="s">
        <v>1018</v>
      </c>
      <c r="J2275" s="44">
        <f>YEAR(A2275)</f>
        <v>2023</v>
      </c>
    </row>
    <row r="2276" spans="1:10" ht="12" customHeight="1" x14ac:dyDescent="0.25">
      <c r="A2276" s="43">
        <v>45230</v>
      </c>
      <c r="B2276" s="47">
        <v>15977</v>
      </c>
      <c r="C2276" s="44" t="s">
        <v>502</v>
      </c>
      <c r="D2276" s="45">
        <v>32.6</v>
      </c>
      <c r="E2276" s="48" t="s">
        <v>89</v>
      </c>
      <c r="F2276" s="48" t="s">
        <v>90</v>
      </c>
      <c r="G2276" s="48" t="s">
        <v>91</v>
      </c>
      <c r="J2276" s="44">
        <f>YEAR(A2276)</f>
        <v>2023</v>
      </c>
    </row>
    <row r="2277" spans="1:10" ht="12" customHeight="1" x14ac:dyDescent="0.25">
      <c r="A2277" s="43">
        <v>45230</v>
      </c>
      <c r="B2277" s="47">
        <v>15977</v>
      </c>
      <c r="C2277" s="44" t="s">
        <v>502</v>
      </c>
      <c r="D2277" s="45">
        <v>-32.6</v>
      </c>
      <c r="E2277" s="48" t="s">
        <v>299</v>
      </c>
      <c r="F2277" s="48" t="s">
        <v>90</v>
      </c>
      <c r="G2277" s="48" t="s">
        <v>305</v>
      </c>
      <c r="I2277" s="44" t="s">
        <v>1018</v>
      </c>
      <c r="J2277" s="44">
        <f>YEAR(A2277)</f>
        <v>2023</v>
      </c>
    </row>
    <row r="2278" spans="1:10" ht="12" customHeight="1" x14ac:dyDescent="0.25">
      <c r="A2278" s="43">
        <v>45232</v>
      </c>
      <c r="B2278" s="47">
        <v>15978</v>
      </c>
      <c r="C2278" s="44" t="s">
        <v>961</v>
      </c>
      <c r="D2278" s="45">
        <v>235.6</v>
      </c>
      <c r="E2278" s="48" t="s">
        <v>197</v>
      </c>
      <c r="F2278" s="48" t="s">
        <v>90</v>
      </c>
      <c r="G2278" s="48" t="s">
        <v>95</v>
      </c>
      <c r="J2278" s="44">
        <f>YEAR(A2278)</f>
        <v>2023</v>
      </c>
    </row>
    <row r="2279" spans="1:10" ht="12" customHeight="1" x14ac:dyDescent="0.25">
      <c r="A2279" s="43">
        <v>45232</v>
      </c>
      <c r="B2279" s="47">
        <v>15978</v>
      </c>
      <c r="C2279" s="44" t="s">
        <v>961</v>
      </c>
      <c r="D2279" s="45">
        <v>-235.6</v>
      </c>
      <c r="E2279" s="48" t="s">
        <v>299</v>
      </c>
      <c r="F2279" s="48" t="s">
        <v>90</v>
      </c>
      <c r="G2279" s="48" t="s">
        <v>305</v>
      </c>
      <c r="I2279" s="44" t="s">
        <v>1018</v>
      </c>
      <c r="J2279" s="44">
        <f>YEAR(A2279)</f>
        <v>2023</v>
      </c>
    </row>
    <row r="2280" spans="1:10" ht="12" customHeight="1" x14ac:dyDescent="0.25">
      <c r="A2280" s="43">
        <v>45232</v>
      </c>
      <c r="B2280" s="47">
        <v>15979</v>
      </c>
      <c r="C2280" s="44" t="s">
        <v>444</v>
      </c>
      <c r="D2280" s="45">
        <v>21.22</v>
      </c>
      <c r="E2280" s="48" t="s">
        <v>89</v>
      </c>
      <c r="F2280" s="48" t="s">
        <v>90</v>
      </c>
      <c r="G2280" s="48" t="s">
        <v>91</v>
      </c>
      <c r="J2280" s="44">
        <f>YEAR(A2280)</f>
        <v>2023</v>
      </c>
    </row>
    <row r="2281" spans="1:10" ht="12" customHeight="1" x14ac:dyDescent="0.25">
      <c r="A2281" s="43">
        <v>45232</v>
      </c>
      <c r="B2281" s="47">
        <v>15979</v>
      </c>
      <c r="C2281" s="44" t="s">
        <v>444</v>
      </c>
      <c r="D2281" s="45">
        <v>-27.81</v>
      </c>
      <c r="E2281" s="48" t="s">
        <v>299</v>
      </c>
      <c r="F2281" s="48" t="s">
        <v>90</v>
      </c>
      <c r="G2281" s="48" t="s">
        <v>91</v>
      </c>
      <c r="H2281" s="44" t="s">
        <v>459</v>
      </c>
      <c r="I2281" s="44" t="s">
        <v>987</v>
      </c>
      <c r="J2281" s="44">
        <f>YEAR(A2281)</f>
        <v>2023</v>
      </c>
    </row>
    <row r="2282" spans="1:10" ht="12" customHeight="1" x14ac:dyDescent="0.25">
      <c r="A2282" s="43">
        <v>45232</v>
      </c>
      <c r="B2282" s="47">
        <v>15979</v>
      </c>
      <c r="C2282" s="44" t="s">
        <v>444</v>
      </c>
      <c r="D2282" s="45">
        <v>6.59</v>
      </c>
      <c r="E2282" s="48" t="s">
        <v>157</v>
      </c>
      <c r="F2282" s="48" t="s">
        <v>96</v>
      </c>
      <c r="G2282" s="48" t="s">
        <v>91</v>
      </c>
      <c r="J2282" s="44">
        <f>YEAR(A2282)</f>
        <v>2023</v>
      </c>
    </row>
    <row r="2283" spans="1:10" ht="12" customHeight="1" x14ac:dyDescent="0.25">
      <c r="A2283" s="43">
        <v>45232</v>
      </c>
      <c r="B2283" s="47">
        <v>15980</v>
      </c>
      <c r="C2283" s="44" t="s">
        <v>444</v>
      </c>
      <c r="D2283" s="45">
        <v>5.98</v>
      </c>
      <c r="E2283" s="48" t="s">
        <v>89</v>
      </c>
      <c r="F2283" s="48" t="s">
        <v>90</v>
      </c>
      <c r="G2283" s="48" t="s">
        <v>91</v>
      </c>
      <c r="J2283" s="44">
        <f>YEAR(A2283)</f>
        <v>2023</v>
      </c>
    </row>
    <row r="2284" spans="1:10" ht="12" customHeight="1" x14ac:dyDescent="0.25">
      <c r="A2284" s="43">
        <v>45232</v>
      </c>
      <c r="B2284" s="47">
        <v>15980</v>
      </c>
      <c r="C2284" s="44" t="s">
        <v>444</v>
      </c>
      <c r="D2284" s="45">
        <v>-22.03</v>
      </c>
      <c r="E2284" s="48" t="s">
        <v>299</v>
      </c>
      <c r="F2284" s="48" t="s">
        <v>90</v>
      </c>
      <c r="G2284" s="48" t="s">
        <v>91</v>
      </c>
      <c r="H2284" s="44" t="s">
        <v>459</v>
      </c>
      <c r="I2284" s="44" t="s">
        <v>987</v>
      </c>
      <c r="J2284" s="44">
        <f>YEAR(A2284)</f>
        <v>2023</v>
      </c>
    </row>
    <row r="2285" spans="1:10" ht="12" customHeight="1" x14ac:dyDescent="0.25">
      <c r="A2285" s="43">
        <v>45232</v>
      </c>
      <c r="B2285" s="47">
        <v>15980</v>
      </c>
      <c r="C2285" s="44" t="s">
        <v>444</v>
      </c>
      <c r="D2285" s="45">
        <v>16.05</v>
      </c>
      <c r="E2285" s="48" t="s">
        <v>197</v>
      </c>
      <c r="F2285" s="48" t="s">
        <v>96</v>
      </c>
      <c r="G2285" s="48" t="s">
        <v>91</v>
      </c>
      <c r="J2285" s="44">
        <f>YEAR(A2285)</f>
        <v>2023</v>
      </c>
    </row>
    <row r="2286" spans="1:10" ht="12" customHeight="1" x14ac:dyDescent="0.25">
      <c r="A2286" s="43">
        <v>45211</v>
      </c>
      <c r="B2286" s="47">
        <v>15981</v>
      </c>
      <c r="C2286" s="44" t="s">
        <v>448</v>
      </c>
      <c r="D2286" s="45">
        <v>10.9</v>
      </c>
      <c r="E2286" s="48" t="s">
        <v>180</v>
      </c>
      <c r="F2286" s="48" t="s">
        <v>90</v>
      </c>
      <c r="G2286" s="48" t="s">
        <v>91</v>
      </c>
      <c r="J2286" s="44">
        <f>YEAR(A2286)</f>
        <v>2023</v>
      </c>
    </row>
    <row r="2287" spans="1:10" ht="12" customHeight="1" x14ac:dyDescent="0.25">
      <c r="A2287" s="43">
        <v>45213</v>
      </c>
      <c r="B2287" s="47">
        <v>15981</v>
      </c>
      <c r="C2287" s="44" t="s">
        <v>769</v>
      </c>
      <c r="D2287" s="45">
        <v>3.5</v>
      </c>
      <c r="E2287" s="48" t="s">
        <v>180</v>
      </c>
      <c r="F2287" s="48" t="s">
        <v>90</v>
      </c>
      <c r="G2287" s="48" t="s">
        <v>91</v>
      </c>
      <c r="J2287" s="44">
        <f>YEAR(A2287)</f>
        <v>2023</v>
      </c>
    </row>
    <row r="2288" spans="1:10" ht="12" customHeight="1" x14ac:dyDescent="0.25">
      <c r="A2288" s="43">
        <v>45215</v>
      </c>
      <c r="B2288" s="47">
        <v>15981</v>
      </c>
      <c r="C2288" s="44" t="s">
        <v>962</v>
      </c>
      <c r="D2288" s="45">
        <v>1.42</v>
      </c>
      <c r="E2288" s="48" t="s">
        <v>89</v>
      </c>
      <c r="F2288" s="48" t="s">
        <v>90</v>
      </c>
      <c r="G2288" s="48" t="s">
        <v>91</v>
      </c>
      <c r="J2288" s="44">
        <f>YEAR(A2288)</f>
        <v>2023</v>
      </c>
    </row>
    <row r="2289" spans="1:10" ht="12" customHeight="1" x14ac:dyDescent="0.25">
      <c r="A2289" s="43">
        <v>45220</v>
      </c>
      <c r="B2289" s="47">
        <v>15981</v>
      </c>
      <c r="C2289" s="44" t="s">
        <v>451</v>
      </c>
      <c r="D2289" s="45">
        <v>4.4000000000000004</v>
      </c>
      <c r="E2289" s="48" t="s">
        <v>89</v>
      </c>
      <c r="F2289" s="48" t="s">
        <v>90</v>
      </c>
      <c r="G2289" s="48" t="s">
        <v>91</v>
      </c>
      <c r="J2289" s="44">
        <f>YEAR(A2289)</f>
        <v>2023</v>
      </c>
    </row>
    <row r="2290" spans="1:10" ht="12" customHeight="1" x14ac:dyDescent="0.25">
      <c r="A2290" s="43">
        <v>45226</v>
      </c>
      <c r="B2290" s="47">
        <v>15981</v>
      </c>
      <c r="C2290" s="44" t="s">
        <v>963</v>
      </c>
      <c r="D2290" s="45">
        <v>110</v>
      </c>
      <c r="E2290" s="48" t="s">
        <v>180</v>
      </c>
      <c r="F2290" s="48" t="s">
        <v>116</v>
      </c>
      <c r="G2290" s="48" t="s">
        <v>555</v>
      </c>
      <c r="J2290" s="44">
        <f>YEAR(A2290)</f>
        <v>2023</v>
      </c>
    </row>
    <row r="2291" spans="1:10" ht="12" customHeight="1" x14ac:dyDescent="0.25">
      <c r="A2291" s="43">
        <v>45227</v>
      </c>
      <c r="B2291" s="47">
        <v>15981</v>
      </c>
      <c r="C2291" s="44" t="s">
        <v>469</v>
      </c>
      <c r="D2291" s="45">
        <v>10.4</v>
      </c>
      <c r="E2291" s="48" t="s">
        <v>89</v>
      </c>
      <c r="F2291" s="48" t="s">
        <v>90</v>
      </c>
      <c r="G2291" s="48" t="s">
        <v>91</v>
      </c>
      <c r="J2291" s="44">
        <f>YEAR(A2291)</f>
        <v>2023</v>
      </c>
    </row>
    <row r="2292" spans="1:10" ht="12" customHeight="1" x14ac:dyDescent="0.25">
      <c r="A2292" s="43">
        <v>45231</v>
      </c>
      <c r="B2292" s="47">
        <v>15981</v>
      </c>
      <c r="C2292" s="44" t="s">
        <v>769</v>
      </c>
      <c r="D2292" s="45">
        <v>4.3</v>
      </c>
      <c r="E2292" s="48" t="s">
        <v>180</v>
      </c>
      <c r="F2292" s="48" t="s">
        <v>90</v>
      </c>
      <c r="G2292" s="48" t="s">
        <v>91</v>
      </c>
      <c r="H2292" s="44" t="s">
        <v>442</v>
      </c>
      <c r="J2292" s="44">
        <f>YEAR(A2292)</f>
        <v>2023</v>
      </c>
    </row>
    <row r="2293" spans="1:10" ht="12" customHeight="1" x14ac:dyDescent="0.25">
      <c r="A2293" s="43">
        <v>45231</v>
      </c>
      <c r="B2293" s="47">
        <v>15981</v>
      </c>
      <c r="C2293" s="44" t="s">
        <v>964</v>
      </c>
      <c r="D2293" s="45">
        <v>2</v>
      </c>
      <c r="E2293" s="48" t="s">
        <v>290</v>
      </c>
      <c r="F2293" s="48" t="s">
        <v>90</v>
      </c>
      <c r="G2293" s="48" t="s">
        <v>91</v>
      </c>
      <c r="J2293" s="44">
        <f>YEAR(A2293)</f>
        <v>2023</v>
      </c>
    </row>
    <row r="2294" spans="1:10" ht="12" customHeight="1" x14ac:dyDescent="0.25">
      <c r="A2294" s="43">
        <v>45232</v>
      </c>
      <c r="B2294" s="47">
        <v>15981</v>
      </c>
      <c r="C2294" s="44" t="s">
        <v>964</v>
      </c>
      <c r="D2294" s="45">
        <v>20</v>
      </c>
      <c r="E2294" s="48" t="s">
        <v>290</v>
      </c>
      <c r="F2294" s="48" t="s">
        <v>90</v>
      </c>
      <c r="G2294" s="48" t="s">
        <v>91</v>
      </c>
      <c r="J2294" s="44">
        <f>YEAR(A2294)</f>
        <v>2023</v>
      </c>
    </row>
    <row r="2295" spans="1:10" ht="12" customHeight="1" x14ac:dyDescent="0.25">
      <c r="A2295" s="43">
        <v>45233</v>
      </c>
      <c r="B2295" s="47">
        <v>15981</v>
      </c>
      <c r="C2295" s="44" t="s">
        <v>965</v>
      </c>
      <c r="D2295" s="45">
        <v>4.88</v>
      </c>
      <c r="E2295" s="48" t="s">
        <v>180</v>
      </c>
      <c r="F2295" s="48" t="s">
        <v>116</v>
      </c>
      <c r="G2295" s="48" t="s">
        <v>555</v>
      </c>
      <c r="J2295" s="44">
        <f>YEAR(A2295)</f>
        <v>2023</v>
      </c>
    </row>
    <row r="2296" spans="1:10" ht="12" customHeight="1" x14ac:dyDescent="0.25">
      <c r="A2296" s="43">
        <v>45233</v>
      </c>
      <c r="B2296" s="47">
        <v>15981</v>
      </c>
      <c r="C2296" s="44" t="s">
        <v>966</v>
      </c>
      <c r="D2296" s="45">
        <v>8.1</v>
      </c>
      <c r="E2296" s="48" t="s">
        <v>157</v>
      </c>
      <c r="F2296" s="48" t="s">
        <v>96</v>
      </c>
      <c r="G2296" s="48" t="s">
        <v>91</v>
      </c>
      <c r="J2296" s="44">
        <f>YEAR(A2296)</f>
        <v>2023</v>
      </c>
    </row>
    <row r="2297" spans="1:10" ht="12" customHeight="1" x14ac:dyDescent="0.25">
      <c r="A2297" s="43">
        <v>45233</v>
      </c>
      <c r="B2297" s="47">
        <v>15981</v>
      </c>
      <c r="C2297" s="44" t="s">
        <v>967</v>
      </c>
      <c r="D2297" s="45">
        <v>98.2</v>
      </c>
      <c r="E2297" s="48" t="s">
        <v>89</v>
      </c>
      <c r="F2297" s="48" t="s">
        <v>96</v>
      </c>
      <c r="G2297" s="48" t="s">
        <v>91</v>
      </c>
      <c r="J2297" s="44">
        <f>YEAR(A2297)</f>
        <v>2023</v>
      </c>
    </row>
    <row r="2298" spans="1:10" ht="12" customHeight="1" x14ac:dyDescent="0.25">
      <c r="A2298" s="43">
        <v>45233</v>
      </c>
      <c r="B2298" s="47">
        <v>15981</v>
      </c>
      <c r="C2298" s="44" t="s">
        <v>769</v>
      </c>
      <c r="D2298" s="45">
        <v>5</v>
      </c>
      <c r="E2298" s="48" t="s">
        <v>180</v>
      </c>
      <c r="F2298" s="48" t="s">
        <v>90</v>
      </c>
      <c r="G2298" s="48" t="s">
        <v>91</v>
      </c>
      <c r="J2298" s="44">
        <f>YEAR(A2298)</f>
        <v>2023</v>
      </c>
    </row>
    <row r="2299" spans="1:10" ht="12" customHeight="1" x14ac:dyDescent="0.25">
      <c r="A2299" s="43">
        <v>45234</v>
      </c>
      <c r="B2299" s="47">
        <v>15981</v>
      </c>
      <c r="C2299" s="44" t="s">
        <v>469</v>
      </c>
      <c r="D2299" s="45">
        <v>4.4000000000000004</v>
      </c>
      <c r="E2299" s="48" t="s">
        <v>89</v>
      </c>
      <c r="F2299" s="48" t="s">
        <v>90</v>
      </c>
      <c r="G2299" s="48" t="s">
        <v>91</v>
      </c>
      <c r="J2299" s="44">
        <f>YEAR(A2299)</f>
        <v>2023</v>
      </c>
    </row>
    <row r="2300" spans="1:10" ht="12" customHeight="1" x14ac:dyDescent="0.25">
      <c r="A2300" s="43">
        <v>45234</v>
      </c>
      <c r="B2300" s="47">
        <v>15981</v>
      </c>
      <c r="C2300" s="44" t="s">
        <v>915</v>
      </c>
      <c r="D2300" s="45">
        <v>-287.5</v>
      </c>
      <c r="E2300" s="48" t="s">
        <v>299</v>
      </c>
      <c r="F2300" s="48" t="s">
        <v>90</v>
      </c>
      <c r="G2300" s="48" t="s">
        <v>91</v>
      </c>
      <c r="H2300" s="44" t="s">
        <v>402</v>
      </c>
      <c r="I2300" s="44" t="s">
        <v>1067</v>
      </c>
      <c r="J2300" s="44">
        <f>YEAR(A2300)</f>
        <v>2023</v>
      </c>
    </row>
    <row r="2301" spans="1:10" ht="12" customHeight="1" x14ac:dyDescent="0.25">
      <c r="A2301" s="43">
        <v>45235</v>
      </c>
      <c r="B2301" s="47">
        <v>15982</v>
      </c>
      <c r="C2301" s="44" t="s">
        <v>968</v>
      </c>
      <c r="D2301" s="45">
        <v>300</v>
      </c>
      <c r="E2301" s="48" t="s">
        <v>145</v>
      </c>
      <c r="F2301" s="48" t="s">
        <v>116</v>
      </c>
      <c r="G2301" s="48" t="s">
        <v>95</v>
      </c>
      <c r="J2301" s="44">
        <f>YEAR(A2301)</f>
        <v>2023</v>
      </c>
    </row>
    <row r="2302" spans="1:10" ht="12" customHeight="1" x14ac:dyDescent="0.25">
      <c r="A2302" s="43">
        <v>45235</v>
      </c>
      <c r="B2302" s="47">
        <v>15982</v>
      </c>
      <c r="C2302" s="44" t="s">
        <v>968</v>
      </c>
      <c r="D2302" s="45">
        <v>-300</v>
      </c>
      <c r="E2302" s="48" t="s">
        <v>299</v>
      </c>
      <c r="F2302" s="48" t="s">
        <v>90</v>
      </c>
      <c r="G2302" s="48" t="s">
        <v>305</v>
      </c>
      <c r="I2302" s="44" t="s">
        <v>1018</v>
      </c>
      <c r="J2302" s="44">
        <f>YEAR(A2302)</f>
        <v>2023</v>
      </c>
    </row>
    <row r="2303" spans="1:10" ht="12" customHeight="1" x14ac:dyDescent="0.25">
      <c r="A2303" s="43">
        <v>45233</v>
      </c>
      <c r="B2303" s="47">
        <v>15983</v>
      </c>
      <c r="C2303" s="44" t="s">
        <v>969</v>
      </c>
      <c r="D2303" s="45">
        <v>-7.04</v>
      </c>
      <c r="E2303" s="48" t="s">
        <v>299</v>
      </c>
      <c r="F2303" s="48" t="s">
        <v>90</v>
      </c>
      <c r="G2303" s="48" t="s">
        <v>305</v>
      </c>
      <c r="I2303" s="44" t="s">
        <v>1018</v>
      </c>
      <c r="J2303" s="44">
        <f>YEAR(A2303)</f>
        <v>2023</v>
      </c>
    </row>
    <row r="2304" spans="1:10" ht="12" customHeight="1" x14ac:dyDescent="0.25">
      <c r="A2304" s="43">
        <v>45233</v>
      </c>
      <c r="B2304" s="47">
        <v>15983</v>
      </c>
      <c r="C2304" s="44" t="s">
        <v>969</v>
      </c>
      <c r="D2304" s="45">
        <v>7.04</v>
      </c>
      <c r="E2304" s="48" t="s">
        <v>89</v>
      </c>
      <c r="F2304" s="48" t="s">
        <v>90</v>
      </c>
      <c r="G2304" s="48" t="s">
        <v>91</v>
      </c>
      <c r="J2304" s="44">
        <f>YEAR(A2304)</f>
        <v>2023</v>
      </c>
    </row>
    <row r="2305" spans="1:10" ht="12" customHeight="1" x14ac:dyDescent="0.25">
      <c r="A2305" s="43">
        <v>45233</v>
      </c>
      <c r="B2305" s="47">
        <v>15984</v>
      </c>
      <c r="C2305" s="44" t="s">
        <v>970</v>
      </c>
      <c r="D2305" s="45">
        <v>-76.95</v>
      </c>
      <c r="E2305" s="48" t="s">
        <v>299</v>
      </c>
      <c r="F2305" s="48" t="s">
        <v>90</v>
      </c>
      <c r="G2305" s="48" t="s">
        <v>305</v>
      </c>
      <c r="I2305" s="44" t="s">
        <v>1018</v>
      </c>
      <c r="J2305" s="44">
        <f>YEAR(A2305)</f>
        <v>2023</v>
      </c>
    </row>
    <row r="2306" spans="1:10" ht="12" customHeight="1" x14ac:dyDescent="0.25">
      <c r="A2306" s="43">
        <v>45233</v>
      </c>
      <c r="B2306" s="47">
        <v>15984</v>
      </c>
      <c r="C2306" s="44" t="s">
        <v>971</v>
      </c>
      <c r="D2306" s="45">
        <v>51.95</v>
      </c>
      <c r="E2306" s="48" t="s">
        <v>145</v>
      </c>
      <c r="F2306" s="48" t="s">
        <v>116</v>
      </c>
      <c r="G2306" s="48" t="s">
        <v>94</v>
      </c>
      <c r="J2306" s="44">
        <f>YEAR(A2306)</f>
        <v>2023</v>
      </c>
    </row>
    <row r="2307" spans="1:10" ht="12" customHeight="1" x14ac:dyDescent="0.25">
      <c r="A2307" s="43">
        <v>45233</v>
      </c>
      <c r="B2307" s="47">
        <v>15984</v>
      </c>
      <c r="C2307" s="44" t="s">
        <v>972</v>
      </c>
      <c r="D2307" s="45">
        <v>25</v>
      </c>
      <c r="E2307" s="48" t="s">
        <v>145</v>
      </c>
      <c r="F2307" s="48" t="s">
        <v>116</v>
      </c>
      <c r="G2307" s="48" t="s">
        <v>95</v>
      </c>
      <c r="J2307" s="44">
        <f>YEAR(A2307)</f>
        <v>2023</v>
      </c>
    </row>
    <row r="2308" spans="1:10" ht="12" customHeight="1" x14ac:dyDescent="0.25">
      <c r="A2308" s="43">
        <v>45233</v>
      </c>
      <c r="B2308" s="47">
        <v>15985</v>
      </c>
      <c r="C2308" s="44" t="s">
        <v>463</v>
      </c>
      <c r="D2308" s="45">
        <v>-27.77</v>
      </c>
      <c r="E2308" s="48" t="s">
        <v>299</v>
      </c>
      <c r="F2308" s="48" t="s">
        <v>90</v>
      </c>
      <c r="G2308" s="48" t="s">
        <v>305</v>
      </c>
      <c r="I2308" s="44" t="s">
        <v>1018</v>
      </c>
      <c r="J2308" s="44">
        <f>YEAR(A2308)</f>
        <v>2023</v>
      </c>
    </row>
    <row r="2309" spans="1:10" ht="12" customHeight="1" x14ac:dyDescent="0.25">
      <c r="A2309" s="43">
        <v>45233</v>
      </c>
      <c r="B2309" s="47">
        <v>15985</v>
      </c>
      <c r="C2309" s="44" t="s">
        <v>463</v>
      </c>
      <c r="D2309" s="45">
        <v>27.77</v>
      </c>
      <c r="E2309" s="48" t="s">
        <v>89</v>
      </c>
      <c r="F2309" s="48" t="s">
        <v>90</v>
      </c>
      <c r="G2309" s="48" t="s">
        <v>91</v>
      </c>
      <c r="J2309" s="44">
        <f>YEAR(A2309)</f>
        <v>2023</v>
      </c>
    </row>
    <row r="2310" spans="1:10" ht="12" customHeight="1" x14ac:dyDescent="0.25">
      <c r="A2310" s="43">
        <v>45233</v>
      </c>
      <c r="B2310" s="47">
        <v>15986</v>
      </c>
      <c r="C2310" s="44" t="s">
        <v>973</v>
      </c>
      <c r="D2310" s="45">
        <v>-93.18</v>
      </c>
      <c r="E2310" s="48" t="s">
        <v>299</v>
      </c>
      <c r="F2310" s="48" t="s">
        <v>90</v>
      </c>
      <c r="G2310" s="48" t="s">
        <v>305</v>
      </c>
      <c r="I2310" s="44" t="s">
        <v>1018</v>
      </c>
      <c r="J2310" s="44">
        <f>YEAR(A2310)</f>
        <v>2023</v>
      </c>
    </row>
    <row r="2311" spans="1:10" ht="12" customHeight="1" x14ac:dyDescent="0.25">
      <c r="A2311" s="43">
        <v>45233</v>
      </c>
      <c r="B2311" s="47">
        <v>15986</v>
      </c>
      <c r="C2311" s="44" t="s">
        <v>973</v>
      </c>
      <c r="D2311" s="45">
        <v>93.18</v>
      </c>
      <c r="E2311" s="48" t="s">
        <v>89</v>
      </c>
      <c r="F2311" s="48" t="s">
        <v>90</v>
      </c>
      <c r="G2311" s="48" t="s">
        <v>91</v>
      </c>
      <c r="J2311" s="44">
        <f>YEAR(A2311)</f>
        <v>2023</v>
      </c>
    </row>
    <row r="2312" spans="1:10" ht="12" customHeight="1" x14ac:dyDescent="0.25">
      <c r="A2312" s="43">
        <v>45233</v>
      </c>
      <c r="B2312" s="47">
        <v>15987</v>
      </c>
      <c r="C2312" s="44" t="s">
        <v>974</v>
      </c>
      <c r="D2312" s="45">
        <v>-11.9</v>
      </c>
      <c r="E2312" s="48" t="s">
        <v>299</v>
      </c>
      <c r="F2312" s="48" t="s">
        <v>90</v>
      </c>
      <c r="G2312" s="48" t="s">
        <v>305</v>
      </c>
      <c r="I2312" s="44" t="s">
        <v>1018</v>
      </c>
      <c r="J2312" s="44">
        <f>YEAR(A2312)</f>
        <v>2023</v>
      </c>
    </row>
    <row r="2313" spans="1:10" ht="12" customHeight="1" x14ac:dyDescent="0.25">
      <c r="A2313" s="43">
        <v>45233</v>
      </c>
      <c r="B2313" s="47">
        <v>15987</v>
      </c>
      <c r="C2313" s="44" t="s">
        <v>974</v>
      </c>
      <c r="D2313" s="45">
        <v>11.9</v>
      </c>
      <c r="E2313" s="48" t="s">
        <v>89</v>
      </c>
      <c r="F2313" s="48" t="s">
        <v>90</v>
      </c>
      <c r="G2313" s="48" t="s">
        <v>91</v>
      </c>
      <c r="J2313" s="44">
        <f>YEAR(A2313)</f>
        <v>2023</v>
      </c>
    </row>
    <row r="2314" spans="1:10" ht="12" customHeight="1" x14ac:dyDescent="0.25">
      <c r="A2314" s="43">
        <v>45236</v>
      </c>
      <c r="B2314" s="47">
        <v>15988</v>
      </c>
      <c r="C2314" s="44" t="s">
        <v>495</v>
      </c>
      <c r="D2314" s="45">
        <v>43</v>
      </c>
      <c r="E2314" s="48" t="s">
        <v>89</v>
      </c>
      <c r="F2314" s="48" t="s">
        <v>96</v>
      </c>
      <c r="G2314" s="48" t="s">
        <v>95</v>
      </c>
      <c r="J2314" s="44">
        <f>YEAR(A2314)</f>
        <v>2023</v>
      </c>
    </row>
    <row r="2315" spans="1:10" ht="12" customHeight="1" x14ac:dyDescent="0.25">
      <c r="A2315" s="43">
        <v>45236</v>
      </c>
      <c r="B2315" s="47">
        <v>15988</v>
      </c>
      <c r="C2315" s="44" t="s">
        <v>495</v>
      </c>
      <c r="D2315" s="45">
        <v>-46.7</v>
      </c>
      <c r="E2315" s="48" t="s">
        <v>299</v>
      </c>
      <c r="F2315" s="48" t="s">
        <v>90</v>
      </c>
      <c r="G2315" s="48" t="s">
        <v>305</v>
      </c>
      <c r="I2315" s="44" t="s">
        <v>1018</v>
      </c>
      <c r="J2315" s="44">
        <f>YEAR(A2315)</f>
        <v>2023</v>
      </c>
    </row>
    <row r="2316" spans="1:10" ht="12" customHeight="1" x14ac:dyDescent="0.25">
      <c r="A2316" s="43">
        <v>45236</v>
      </c>
      <c r="B2316" s="47">
        <v>15988</v>
      </c>
      <c r="C2316" s="44" t="s">
        <v>495</v>
      </c>
      <c r="D2316" s="45">
        <v>3.7</v>
      </c>
      <c r="E2316" s="48" t="s">
        <v>89</v>
      </c>
      <c r="F2316" s="48" t="s">
        <v>90</v>
      </c>
      <c r="G2316" s="48" t="s">
        <v>91</v>
      </c>
      <c r="J2316" s="44">
        <f>YEAR(A2316)</f>
        <v>2023</v>
      </c>
    </row>
    <row r="2317" spans="1:10" ht="12" customHeight="1" x14ac:dyDescent="0.25">
      <c r="A2317" s="43">
        <v>45236</v>
      </c>
      <c r="B2317" s="47">
        <v>15989</v>
      </c>
      <c r="C2317" s="44" t="s">
        <v>444</v>
      </c>
      <c r="D2317" s="45">
        <v>-16.579999999999998</v>
      </c>
      <c r="E2317" s="48" t="s">
        <v>299</v>
      </c>
      <c r="F2317" s="48" t="s">
        <v>90</v>
      </c>
      <c r="G2317" s="48" t="s">
        <v>91</v>
      </c>
      <c r="H2317" s="44" t="s">
        <v>459</v>
      </c>
      <c r="I2317" s="44" t="s">
        <v>987</v>
      </c>
      <c r="J2317" s="44">
        <f>YEAR(A2317)</f>
        <v>2023</v>
      </c>
    </row>
    <row r="2318" spans="1:10" ht="12" customHeight="1" x14ac:dyDescent="0.25">
      <c r="A2318" s="43">
        <v>45236</v>
      </c>
      <c r="B2318" s="47">
        <v>15989</v>
      </c>
      <c r="C2318" s="44" t="s">
        <v>444</v>
      </c>
      <c r="D2318" s="45">
        <v>16.579999999999998</v>
      </c>
      <c r="E2318" s="48" t="s">
        <v>157</v>
      </c>
      <c r="F2318" s="48" t="s">
        <v>96</v>
      </c>
      <c r="G2318" s="48" t="s">
        <v>91</v>
      </c>
      <c r="J2318" s="44">
        <f>YEAR(A2318)</f>
        <v>2023</v>
      </c>
    </row>
    <row r="2319" spans="1:10" ht="12" customHeight="1" x14ac:dyDescent="0.25">
      <c r="A2319" s="43">
        <v>45236</v>
      </c>
      <c r="B2319" s="47">
        <v>15990</v>
      </c>
      <c r="C2319" s="44" t="s">
        <v>975</v>
      </c>
      <c r="D2319" s="45">
        <v>-80</v>
      </c>
      <c r="E2319" s="48" t="s">
        <v>299</v>
      </c>
      <c r="F2319" s="48" t="s">
        <v>90</v>
      </c>
      <c r="G2319" s="48" t="s">
        <v>91</v>
      </c>
      <c r="H2319" s="44" t="s">
        <v>922</v>
      </c>
      <c r="I2319" s="44" t="s">
        <v>987</v>
      </c>
      <c r="J2319" s="44">
        <f>YEAR(A2319)</f>
        <v>2023</v>
      </c>
    </row>
    <row r="2320" spans="1:10" ht="12" customHeight="1" x14ac:dyDescent="0.25">
      <c r="A2320" s="43">
        <v>45236</v>
      </c>
      <c r="B2320" s="47">
        <v>15990</v>
      </c>
      <c r="C2320" s="44" t="s">
        <v>975</v>
      </c>
      <c r="D2320" s="45">
        <v>80</v>
      </c>
      <c r="E2320" s="48" t="s">
        <v>299</v>
      </c>
      <c r="F2320" s="48" t="s">
        <v>101</v>
      </c>
      <c r="G2320" s="48" t="s">
        <v>91</v>
      </c>
      <c r="J2320" s="44">
        <f>YEAR(A2320)</f>
        <v>2023</v>
      </c>
    </row>
    <row r="2321" spans="1:11" ht="12" customHeight="1" x14ac:dyDescent="0.25">
      <c r="A2321" s="43">
        <v>45239</v>
      </c>
      <c r="B2321" s="47">
        <v>15991</v>
      </c>
      <c r="C2321" s="44" t="s">
        <v>976</v>
      </c>
      <c r="D2321" s="45">
        <v>-208.26</v>
      </c>
      <c r="E2321" s="48" t="s">
        <v>299</v>
      </c>
      <c r="F2321" s="48" t="s">
        <v>90</v>
      </c>
      <c r="G2321" s="48" t="s">
        <v>91</v>
      </c>
      <c r="H2321" s="44" t="s">
        <v>402</v>
      </c>
      <c r="I2321" s="44" t="s">
        <v>987</v>
      </c>
      <c r="J2321" s="44">
        <f>YEAR(A2321)</f>
        <v>2023</v>
      </c>
    </row>
    <row r="2322" spans="1:11" ht="12" customHeight="1" x14ac:dyDescent="0.25">
      <c r="A2322" s="43">
        <v>45234</v>
      </c>
      <c r="B2322" s="47">
        <v>15991</v>
      </c>
      <c r="C2322" s="44" t="s">
        <v>451</v>
      </c>
      <c r="D2322" s="45">
        <v>3</v>
      </c>
      <c r="E2322" s="48" t="s">
        <v>89</v>
      </c>
      <c r="F2322" s="48" t="s">
        <v>90</v>
      </c>
      <c r="G2322" s="48" t="s">
        <v>91</v>
      </c>
      <c r="J2322" s="44">
        <f>YEAR(A2322)</f>
        <v>2023</v>
      </c>
    </row>
    <row r="2323" spans="1:11" ht="12" customHeight="1" x14ac:dyDescent="0.25">
      <c r="A2323" s="43">
        <v>45235</v>
      </c>
      <c r="B2323" s="47">
        <v>15991</v>
      </c>
      <c r="C2323" s="44" t="s">
        <v>583</v>
      </c>
      <c r="D2323" s="45">
        <v>45.14</v>
      </c>
      <c r="E2323" s="48" t="s">
        <v>89</v>
      </c>
      <c r="F2323" s="48" t="s">
        <v>90</v>
      </c>
      <c r="G2323" s="48" t="s">
        <v>91</v>
      </c>
      <c r="J2323" s="44">
        <f>YEAR(A2323)</f>
        <v>2023</v>
      </c>
    </row>
    <row r="2324" spans="1:11" ht="12" customHeight="1" x14ac:dyDescent="0.25">
      <c r="A2324" s="43">
        <v>45238</v>
      </c>
      <c r="B2324" s="47">
        <v>15991</v>
      </c>
      <c r="C2324" s="44" t="s">
        <v>165</v>
      </c>
      <c r="D2324" s="45">
        <v>3.92</v>
      </c>
      <c r="E2324" s="48" t="s">
        <v>89</v>
      </c>
      <c r="F2324" s="48" t="s">
        <v>90</v>
      </c>
      <c r="G2324" s="48" t="s">
        <v>91</v>
      </c>
      <c r="J2324" s="44">
        <f>YEAR(A2324)</f>
        <v>2023</v>
      </c>
    </row>
    <row r="2325" spans="1:11" ht="12" customHeight="1" x14ac:dyDescent="0.25">
      <c r="A2325" s="43">
        <v>45239</v>
      </c>
      <c r="B2325" s="47">
        <v>15991</v>
      </c>
      <c r="C2325" s="44" t="s">
        <v>469</v>
      </c>
      <c r="D2325" s="45">
        <v>4.4000000000000004</v>
      </c>
      <c r="E2325" s="48" t="s">
        <v>89</v>
      </c>
      <c r="F2325" s="48" t="s">
        <v>90</v>
      </c>
      <c r="G2325" s="48" t="s">
        <v>91</v>
      </c>
      <c r="J2325" s="44">
        <f>YEAR(A2325)</f>
        <v>2023</v>
      </c>
    </row>
    <row r="2326" spans="1:11" ht="12" customHeight="1" x14ac:dyDescent="0.25">
      <c r="A2326" s="43">
        <v>45239</v>
      </c>
      <c r="B2326" s="47">
        <v>15991</v>
      </c>
      <c r="C2326" s="44" t="s">
        <v>979</v>
      </c>
      <c r="D2326" s="45">
        <v>151.80000000000001</v>
      </c>
      <c r="E2326" s="48" t="s">
        <v>89</v>
      </c>
      <c r="F2326" s="48" t="s">
        <v>96</v>
      </c>
      <c r="G2326" s="48" t="s">
        <v>91</v>
      </c>
      <c r="J2326" s="44">
        <f>YEAR(A2326)</f>
        <v>2023</v>
      </c>
      <c r="K2326" s="49" t="s">
        <v>978</v>
      </c>
    </row>
    <row r="2327" spans="1:11" ht="12" customHeight="1" x14ac:dyDescent="0.25">
      <c r="A2327" s="43">
        <v>45237</v>
      </c>
      <c r="B2327" s="47">
        <v>15992</v>
      </c>
      <c r="C2327" s="44" t="s">
        <v>552</v>
      </c>
      <c r="D2327" s="45">
        <v>36.04</v>
      </c>
      <c r="E2327" s="48" t="s">
        <v>89</v>
      </c>
      <c r="F2327" s="48" t="s">
        <v>90</v>
      </c>
      <c r="G2327" s="48" t="s">
        <v>91</v>
      </c>
      <c r="J2327" s="44">
        <f>YEAR(A2327)</f>
        <v>2023</v>
      </c>
    </row>
    <row r="2328" spans="1:11" ht="12" customHeight="1" x14ac:dyDescent="0.25">
      <c r="A2328" s="43">
        <v>45237</v>
      </c>
      <c r="B2328" s="47">
        <v>15992</v>
      </c>
      <c r="C2328" s="44" t="s">
        <v>552</v>
      </c>
      <c r="D2328" s="45">
        <v>-36.04</v>
      </c>
      <c r="E2328" s="48" t="s">
        <v>299</v>
      </c>
      <c r="F2328" s="48" t="s">
        <v>90</v>
      </c>
      <c r="G2328" s="48" t="s">
        <v>305</v>
      </c>
      <c r="I2328" s="44" t="s">
        <v>1018</v>
      </c>
      <c r="J2328" s="44">
        <f>YEAR(A2328)</f>
        <v>2023</v>
      </c>
    </row>
    <row r="2329" spans="1:11" ht="12" customHeight="1" x14ac:dyDescent="0.25">
      <c r="A2329" s="43">
        <v>45237</v>
      </c>
      <c r="B2329" s="47">
        <v>15993</v>
      </c>
      <c r="C2329" s="44" t="s">
        <v>725</v>
      </c>
      <c r="D2329" s="45">
        <v>8.8000000000000007</v>
      </c>
      <c r="E2329" s="48" t="s">
        <v>139</v>
      </c>
      <c r="F2329" s="48" t="s">
        <v>128</v>
      </c>
      <c r="G2329" s="48" t="s">
        <v>95</v>
      </c>
      <c r="J2329" s="44">
        <f>YEAR(A2329)</f>
        <v>2023</v>
      </c>
      <c r="K2329" s="49" t="s">
        <v>977</v>
      </c>
    </row>
    <row r="2330" spans="1:11" ht="12" customHeight="1" x14ac:dyDescent="0.25">
      <c r="A2330" s="43">
        <v>45237</v>
      </c>
      <c r="B2330" s="47">
        <v>15993</v>
      </c>
      <c r="C2330" s="44" t="s">
        <v>725</v>
      </c>
      <c r="D2330" s="45">
        <v>-30.05</v>
      </c>
      <c r="E2330" s="48" t="s">
        <v>299</v>
      </c>
      <c r="F2330" s="48" t="s">
        <v>90</v>
      </c>
      <c r="G2330" s="48" t="s">
        <v>305</v>
      </c>
      <c r="I2330" s="44" t="s">
        <v>1018</v>
      </c>
      <c r="J2330" s="44">
        <f>YEAR(A2330)</f>
        <v>2023</v>
      </c>
    </row>
    <row r="2331" spans="1:11" ht="12" customHeight="1" x14ac:dyDescent="0.25">
      <c r="A2331" s="43">
        <v>45237</v>
      </c>
      <c r="B2331" s="47">
        <v>15993</v>
      </c>
      <c r="C2331" s="44" t="s">
        <v>725</v>
      </c>
      <c r="D2331" s="45">
        <v>21.25</v>
      </c>
      <c r="E2331" s="48" t="s">
        <v>157</v>
      </c>
      <c r="F2331" s="48" t="s">
        <v>96</v>
      </c>
      <c r="G2331" s="48" t="s">
        <v>91</v>
      </c>
      <c r="J2331" s="44">
        <f>YEAR(A2331)</f>
        <v>2023</v>
      </c>
    </row>
    <row r="2332" spans="1:11" ht="12" customHeight="1" x14ac:dyDescent="0.25">
      <c r="A2332" s="43">
        <v>45237</v>
      </c>
      <c r="B2332" s="47">
        <v>15994</v>
      </c>
      <c r="C2332" s="44" t="s">
        <v>969</v>
      </c>
      <c r="D2332" s="45">
        <v>121.67</v>
      </c>
      <c r="E2332" s="48" t="s">
        <v>89</v>
      </c>
      <c r="F2332" s="48" t="s">
        <v>90</v>
      </c>
      <c r="G2332" s="48" t="s">
        <v>91</v>
      </c>
      <c r="J2332" s="44">
        <f>YEAR(A2332)</f>
        <v>2023</v>
      </c>
    </row>
    <row r="2333" spans="1:11" ht="12" customHeight="1" x14ac:dyDescent="0.25">
      <c r="A2333" s="43">
        <v>45237</v>
      </c>
      <c r="B2333" s="47">
        <v>15994</v>
      </c>
      <c r="C2333" s="44" t="s">
        <v>969</v>
      </c>
      <c r="D2333" s="45">
        <v>-121.67</v>
      </c>
      <c r="E2333" s="48" t="s">
        <v>299</v>
      </c>
      <c r="F2333" s="48" t="s">
        <v>90</v>
      </c>
      <c r="G2333" s="48" t="s">
        <v>305</v>
      </c>
      <c r="I2333" s="44" t="s">
        <v>1018</v>
      </c>
      <c r="J2333" s="44">
        <f>YEAR(A2333)</f>
        <v>2023</v>
      </c>
    </row>
    <row r="2334" spans="1:11" ht="12" customHeight="1" x14ac:dyDescent="0.25">
      <c r="A2334" s="43">
        <v>45237</v>
      </c>
      <c r="B2334" s="47">
        <v>15995</v>
      </c>
      <c r="C2334" s="44" t="s">
        <v>502</v>
      </c>
      <c r="D2334" s="45">
        <v>16</v>
      </c>
      <c r="E2334" s="48" t="s">
        <v>89</v>
      </c>
      <c r="F2334" s="48" t="s">
        <v>90</v>
      </c>
      <c r="G2334" s="48" t="s">
        <v>91</v>
      </c>
      <c r="J2334" s="44">
        <f>YEAR(A2334)</f>
        <v>2023</v>
      </c>
    </row>
    <row r="2335" spans="1:11" ht="12" customHeight="1" x14ac:dyDescent="0.25">
      <c r="A2335" s="43">
        <v>45237</v>
      </c>
      <c r="B2335" s="47">
        <v>15995</v>
      </c>
      <c r="C2335" s="44" t="s">
        <v>502</v>
      </c>
      <c r="D2335" s="45">
        <v>76.7</v>
      </c>
      <c r="E2335" s="48" t="s">
        <v>89</v>
      </c>
      <c r="F2335" s="48" t="s">
        <v>96</v>
      </c>
      <c r="G2335" s="48" t="s">
        <v>91</v>
      </c>
      <c r="J2335" s="44">
        <f>YEAR(A2335)</f>
        <v>2023</v>
      </c>
      <c r="K2335" s="49" t="s">
        <v>978</v>
      </c>
    </row>
    <row r="2336" spans="1:11" ht="12" customHeight="1" x14ac:dyDescent="0.25">
      <c r="A2336" s="43">
        <v>45237</v>
      </c>
      <c r="B2336" s="47">
        <v>15995</v>
      </c>
      <c r="C2336" s="44" t="s">
        <v>502</v>
      </c>
      <c r="D2336" s="45">
        <v>-92.7</v>
      </c>
      <c r="E2336" s="48" t="s">
        <v>299</v>
      </c>
      <c r="F2336" s="48" t="s">
        <v>90</v>
      </c>
      <c r="G2336" s="48" t="s">
        <v>305</v>
      </c>
      <c r="I2336" s="44" t="s">
        <v>1018</v>
      </c>
      <c r="J2336" s="44">
        <f>YEAR(A2336)</f>
        <v>2023</v>
      </c>
    </row>
    <row r="2337" spans="1:11" ht="12" customHeight="1" x14ac:dyDescent="0.25">
      <c r="A2337" s="43">
        <v>45237</v>
      </c>
      <c r="B2337" s="47">
        <v>15996</v>
      </c>
      <c r="C2337" s="44" t="s">
        <v>444</v>
      </c>
      <c r="D2337" s="45">
        <v>-44.28</v>
      </c>
      <c r="E2337" s="48" t="s">
        <v>299</v>
      </c>
      <c r="F2337" s="48" t="s">
        <v>90</v>
      </c>
      <c r="G2337" s="48" t="s">
        <v>91</v>
      </c>
      <c r="H2337" s="44" t="s">
        <v>459</v>
      </c>
      <c r="I2337" s="44" t="s">
        <v>987</v>
      </c>
      <c r="J2337" s="44">
        <f>YEAR(A2337)</f>
        <v>2023</v>
      </c>
    </row>
    <row r="2338" spans="1:11" ht="12" customHeight="1" x14ac:dyDescent="0.25">
      <c r="A2338" s="43">
        <v>45237</v>
      </c>
      <c r="B2338" s="47">
        <v>15996</v>
      </c>
      <c r="C2338" s="44" t="s">
        <v>444</v>
      </c>
      <c r="D2338" s="45">
        <v>44.28</v>
      </c>
      <c r="E2338" s="48" t="s">
        <v>89</v>
      </c>
      <c r="F2338" s="48" t="s">
        <v>90</v>
      </c>
      <c r="G2338" s="48" t="s">
        <v>91</v>
      </c>
      <c r="J2338" s="44">
        <f>YEAR(A2338)</f>
        <v>2023</v>
      </c>
    </row>
    <row r="2339" spans="1:11" ht="12" customHeight="1" x14ac:dyDescent="0.25">
      <c r="A2339" s="43">
        <v>45238</v>
      </c>
      <c r="B2339" s="47">
        <v>15997</v>
      </c>
      <c r="C2339" s="44" t="s">
        <v>501</v>
      </c>
      <c r="D2339" s="45">
        <v>3.15</v>
      </c>
      <c r="E2339" s="48" t="s">
        <v>89</v>
      </c>
      <c r="F2339" s="48" t="s">
        <v>90</v>
      </c>
      <c r="G2339" s="48" t="s">
        <v>91</v>
      </c>
      <c r="J2339" s="44">
        <f>YEAR(A2339)</f>
        <v>2023</v>
      </c>
    </row>
    <row r="2340" spans="1:11" ht="12" customHeight="1" x14ac:dyDescent="0.25">
      <c r="A2340" s="43">
        <v>45238</v>
      </c>
      <c r="B2340" s="47">
        <v>15997</v>
      </c>
      <c r="C2340" s="44" t="s">
        <v>501</v>
      </c>
      <c r="D2340" s="45">
        <v>-3.15</v>
      </c>
      <c r="E2340" s="48" t="s">
        <v>299</v>
      </c>
      <c r="F2340" s="48" t="s">
        <v>90</v>
      </c>
      <c r="G2340" s="48" t="s">
        <v>305</v>
      </c>
      <c r="I2340" s="44" t="s">
        <v>1018</v>
      </c>
      <c r="J2340" s="44">
        <f>YEAR(A2340)</f>
        <v>2023</v>
      </c>
    </row>
    <row r="2341" spans="1:11" ht="12" customHeight="1" x14ac:dyDescent="0.25">
      <c r="A2341" s="43">
        <v>45239</v>
      </c>
      <c r="B2341" s="47">
        <v>15998</v>
      </c>
      <c r="C2341" s="44" t="s">
        <v>495</v>
      </c>
      <c r="D2341" s="45">
        <v>44.8</v>
      </c>
      <c r="E2341" s="48" t="s">
        <v>89</v>
      </c>
      <c r="F2341" s="48" t="s">
        <v>96</v>
      </c>
      <c r="G2341" s="48" t="s">
        <v>91</v>
      </c>
      <c r="J2341" s="44">
        <f>YEAR(A2341)</f>
        <v>2023</v>
      </c>
      <c r="K2341" s="49" t="s">
        <v>978</v>
      </c>
    </row>
    <row r="2342" spans="1:11" ht="12" customHeight="1" x14ac:dyDescent="0.25">
      <c r="A2342" s="43">
        <v>45239</v>
      </c>
      <c r="B2342" s="47">
        <v>15998</v>
      </c>
      <c r="C2342" s="44" t="s">
        <v>495</v>
      </c>
      <c r="D2342" s="45">
        <v>-44.8</v>
      </c>
      <c r="E2342" s="48" t="s">
        <v>299</v>
      </c>
      <c r="F2342" s="48" t="s">
        <v>90</v>
      </c>
      <c r="G2342" s="48" t="s">
        <v>305</v>
      </c>
      <c r="I2342" s="44" t="s">
        <v>1018</v>
      </c>
      <c r="J2342" s="44">
        <f>YEAR(A2342)</f>
        <v>2023</v>
      </c>
    </row>
    <row r="2343" spans="1:11" ht="12" customHeight="1" x14ac:dyDescent="0.25">
      <c r="A2343" s="43">
        <v>45239</v>
      </c>
      <c r="B2343" s="47">
        <v>15999</v>
      </c>
      <c r="C2343" s="44" t="s">
        <v>980</v>
      </c>
      <c r="D2343" s="45">
        <v>750</v>
      </c>
      <c r="E2343" s="48" t="s">
        <v>89</v>
      </c>
      <c r="F2343" s="48" t="s">
        <v>96</v>
      </c>
      <c r="G2343" s="48" t="s">
        <v>91</v>
      </c>
      <c r="J2343" s="44">
        <f>YEAR(A2343)</f>
        <v>2023</v>
      </c>
      <c r="K2343" s="49" t="s">
        <v>981</v>
      </c>
    </row>
    <row r="2344" spans="1:11" ht="12" customHeight="1" x14ac:dyDescent="0.25">
      <c r="A2344" s="43">
        <v>45239</v>
      </c>
      <c r="B2344" s="47">
        <v>15999</v>
      </c>
      <c r="C2344" s="44" t="s">
        <v>980</v>
      </c>
      <c r="D2344" s="45">
        <v>-750</v>
      </c>
      <c r="E2344" s="48" t="s">
        <v>299</v>
      </c>
      <c r="F2344" s="48" t="s">
        <v>90</v>
      </c>
      <c r="G2344" s="48" t="s">
        <v>305</v>
      </c>
      <c r="I2344" s="44" t="s">
        <v>1018</v>
      </c>
      <c r="J2344" s="44">
        <f>YEAR(A2344)</f>
        <v>2023</v>
      </c>
    </row>
    <row r="2345" spans="1:11" ht="12" customHeight="1" x14ac:dyDescent="0.25">
      <c r="A2345" s="43">
        <v>45240</v>
      </c>
      <c r="B2345" s="47">
        <v>16000</v>
      </c>
      <c r="C2345" s="44" t="s">
        <v>982</v>
      </c>
      <c r="D2345" s="45">
        <v>150</v>
      </c>
      <c r="E2345" s="48" t="s">
        <v>299</v>
      </c>
      <c r="F2345" s="48" t="s">
        <v>101</v>
      </c>
      <c r="G2345" s="48" t="s">
        <v>91</v>
      </c>
      <c r="J2345" s="44">
        <f>YEAR(A2345)</f>
        <v>2023</v>
      </c>
    </row>
    <row r="2346" spans="1:11" ht="12" customHeight="1" x14ac:dyDescent="0.25">
      <c r="A2346" s="43">
        <v>45240</v>
      </c>
      <c r="B2346" s="47">
        <v>16000</v>
      </c>
      <c r="C2346" s="44" t="s">
        <v>982</v>
      </c>
      <c r="D2346" s="45">
        <v>-150</v>
      </c>
      <c r="E2346" s="48" t="s">
        <v>299</v>
      </c>
      <c r="F2346" s="48" t="s">
        <v>90</v>
      </c>
      <c r="G2346" s="48" t="s">
        <v>91</v>
      </c>
      <c r="H2346" s="44" t="s">
        <v>402</v>
      </c>
      <c r="I2346" s="44" t="s">
        <v>1021</v>
      </c>
      <c r="J2346" s="44">
        <f>YEAR(A2346)</f>
        <v>2023</v>
      </c>
    </row>
    <row r="2347" spans="1:11" ht="12" customHeight="1" x14ac:dyDescent="0.25">
      <c r="A2347" s="43">
        <v>45240</v>
      </c>
      <c r="B2347" s="47">
        <v>16001</v>
      </c>
      <c r="C2347" s="44" t="s">
        <v>561</v>
      </c>
      <c r="D2347" s="45">
        <v>27.92</v>
      </c>
      <c r="E2347" s="48" t="s">
        <v>157</v>
      </c>
      <c r="F2347" s="48" t="s">
        <v>96</v>
      </c>
      <c r="G2347" s="48" t="s">
        <v>91</v>
      </c>
      <c r="J2347" s="44">
        <f>YEAR(A2347)</f>
        <v>2023</v>
      </c>
    </row>
    <row r="2348" spans="1:11" ht="12" customHeight="1" x14ac:dyDescent="0.25">
      <c r="A2348" s="43">
        <v>45240</v>
      </c>
      <c r="B2348" s="47">
        <v>16001</v>
      </c>
      <c r="C2348" s="44" t="s">
        <v>561</v>
      </c>
      <c r="D2348" s="45">
        <v>-27.92</v>
      </c>
      <c r="E2348" s="48" t="s">
        <v>299</v>
      </c>
      <c r="F2348" s="48" t="s">
        <v>90</v>
      </c>
      <c r="G2348" s="48" t="s">
        <v>305</v>
      </c>
      <c r="I2348" s="44" t="s">
        <v>1018</v>
      </c>
      <c r="J2348" s="44">
        <f>YEAR(A2348)</f>
        <v>2023</v>
      </c>
    </row>
    <row r="2349" spans="1:11" ht="12" customHeight="1" x14ac:dyDescent="0.25">
      <c r="A2349" s="43">
        <v>45241</v>
      </c>
      <c r="B2349" s="47">
        <v>16002</v>
      </c>
      <c r="C2349" s="44" t="s">
        <v>444</v>
      </c>
      <c r="D2349" s="45">
        <v>29.95</v>
      </c>
      <c r="E2349" s="48" t="s">
        <v>89</v>
      </c>
      <c r="F2349" s="48" t="s">
        <v>90</v>
      </c>
      <c r="G2349" s="48" t="s">
        <v>91</v>
      </c>
      <c r="J2349" s="44">
        <f>YEAR(A2349)</f>
        <v>2023</v>
      </c>
    </row>
    <row r="2350" spans="1:11" ht="12" customHeight="1" x14ac:dyDescent="0.25">
      <c r="A2350" s="43">
        <v>45241</v>
      </c>
      <c r="B2350" s="47">
        <v>16002</v>
      </c>
      <c r="C2350" s="44" t="s">
        <v>444</v>
      </c>
      <c r="D2350" s="45">
        <v>-29.95</v>
      </c>
      <c r="E2350" s="48" t="s">
        <v>299</v>
      </c>
      <c r="F2350" s="48" t="s">
        <v>90</v>
      </c>
      <c r="G2350" s="48" t="s">
        <v>91</v>
      </c>
      <c r="H2350" s="44" t="s">
        <v>459</v>
      </c>
      <c r="I2350" s="44" t="s">
        <v>1021</v>
      </c>
      <c r="J2350" s="44">
        <f>YEAR(A2350)</f>
        <v>2023</v>
      </c>
    </row>
    <row r="2351" spans="1:11" ht="12" customHeight="1" x14ac:dyDescent="0.25">
      <c r="A2351" s="43">
        <v>45242</v>
      </c>
      <c r="B2351" s="47">
        <v>16003</v>
      </c>
      <c r="C2351" s="44" t="s">
        <v>983</v>
      </c>
      <c r="D2351" s="45">
        <v>13.1</v>
      </c>
      <c r="E2351" s="48" t="s">
        <v>180</v>
      </c>
      <c r="F2351" s="48" t="s">
        <v>90</v>
      </c>
      <c r="G2351" s="48" t="s">
        <v>91</v>
      </c>
      <c r="H2351" s="44" t="s">
        <v>442</v>
      </c>
      <c r="J2351" s="44">
        <f>YEAR(A2351)</f>
        <v>2023</v>
      </c>
    </row>
    <row r="2352" spans="1:11" ht="12" customHeight="1" x14ac:dyDescent="0.25">
      <c r="A2352" s="43">
        <v>45242</v>
      </c>
      <c r="B2352" s="47">
        <v>16003</v>
      </c>
      <c r="C2352" s="44" t="s">
        <v>983</v>
      </c>
      <c r="D2352" s="45">
        <v>-13.1</v>
      </c>
      <c r="E2352" s="48" t="s">
        <v>299</v>
      </c>
      <c r="F2352" s="48" t="s">
        <v>90</v>
      </c>
      <c r="G2352" s="48" t="s">
        <v>305</v>
      </c>
      <c r="I2352" s="44" t="s">
        <v>1018</v>
      </c>
      <c r="J2352" s="44">
        <f>YEAR(A2352)</f>
        <v>2023</v>
      </c>
    </row>
    <row r="2353" spans="1:10" ht="12" customHeight="1" x14ac:dyDescent="0.25">
      <c r="A2353" s="43">
        <v>45244</v>
      </c>
      <c r="B2353" s="47">
        <v>16004</v>
      </c>
      <c r="C2353" s="44" t="s">
        <v>468</v>
      </c>
      <c r="D2353" s="45">
        <v>19.46</v>
      </c>
      <c r="E2353" s="48" t="s">
        <v>197</v>
      </c>
      <c r="F2353" s="48" t="s">
        <v>90</v>
      </c>
      <c r="G2353" s="48" t="s">
        <v>91</v>
      </c>
      <c r="J2353" s="44">
        <f>YEAR(A2353)</f>
        <v>2023</v>
      </c>
    </row>
    <row r="2354" spans="1:10" ht="12" customHeight="1" x14ac:dyDescent="0.25">
      <c r="A2354" s="43">
        <v>45244</v>
      </c>
      <c r="B2354" s="47">
        <v>16004</v>
      </c>
      <c r="C2354" s="44" t="s">
        <v>468</v>
      </c>
      <c r="D2354" s="45">
        <v>-19.46</v>
      </c>
      <c r="E2354" s="48" t="s">
        <v>299</v>
      </c>
      <c r="F2354" s="48" t="s">
        <v>90</v>
      </c>
      <c r="G2354" s="48" t="s">
        <v>305</v>
      </c>
      <c r="I2354" s="44" t="s">
        <v>1018</v>
      </c>
      <c r="J2354" s="44">
        <f>YEAR(A2354)</f>
        <v>2023</v>
      </c>
    </row>
    <row r="2355" spans="1:10" ht="12" customHeight="1" x14ac:dyDescent="0.25">
      <c r="A2355" s="43">
        <v>45244</v>
      </c>
      <c r="B2355" s="47">
        <v>16005</v>
      </c>
      <c r="C2355" s="44" t="s">
        <v>550</v>
      </c>
      <c r="D2355" s="45">
        <v>19.8</v>
      </c>
      <c r="E2355" s="48" t="s">
        <v>157</v>
      </c>
      <c r="F2355" s="48" t="s">
        <v>96</v>
      </c>
      <c r="G2355" s="48" t="s">
        <v>93</v>
      </c>
      <c r="J2355" s="44">
        <f>YEAR(A2355)</f>
        <v>2023</v>
      </c>
    </row>
    <row r="2356" spans="1:10" ht="12" customHeight="1" x14ac:dyDescent="0.25">
      <c r="A2356" s="43">
        <v>45244</v>
      </c>
      <c r="B2356" s="47">
        <v>16005</v>
      </c>
      <c r="C2356" s="44" t="s">
        <v>550</v>
      </c>
      <c r="D2356" s="45">
        <v>-19.8</v>
      </c>
      <c r="E2356" s="48" t="s">
        <v>299</v>
      </c>
      <c r="F2356" s="48" t="s">
        <v>90</v>
      </c>
      <c r="G2356" s="48" t="s">
        <v>305</v>
      </c>
      <c r="I2356" s="44" t="s">
        <v>1018</v>
      </c>
      <c r="J2356" s="44">
        <f>YEAR(A2356)</f>
        <v>2023</v>
      </c>
    </row>
    <row r="2357" spans="1:10" ht="12" customHeight="1" x14ac:dyDescent="0.25">
      <c r="A2357" s="43">
        <v>45244</v>
      </c>
      <c r="B2357" s="47">
        <v>16006</v>
      </c>
      <c r="C2357" s="44" t="s">
        <v>552</v>
      </c>
      <c r="D2357" s="45">
        <v>41.14</v>
      </c>
      <c r="E2357" s="48" t="s">
        <v>89</v>
      </c>
      <c r="F2357" s="48" t="s">
        <v>90</v>
      </c>
      <c r="G2357" s="48" t="s">
        <v>91</v>
      </c>
      <c r="J2357" s="44">
        <f>YEAR(A2357)</f>
        <v>2023</v>
      </c>
    </row>
    <row r="2358" spans="1:10" ht="12" customHeight="1" x14ac:dyDescent="0.25">
      <c r="A2358" s="43">
        <v>45244</v>
      </c>
      <c r="B2358" s="47">
        <v>16006</v>
      </c>
      <c r="C2358" s="44" t="s">
        <v>552</v>
      </c>
      <c r="D2358" s="45">
        <v>-41.14</v>
      </c>
      <c r="E2358" s="48" t="s">
        <v>299</v>
      </c>
      <c r="F2358" s="48" t="s">
        <v>90</v>
      </c>
      <c r="G2358" s="48" t="s">
        <v>305</v>
      </c>
      <c r="I2358" s="44" t="s">
        <v>1018</v>
      </c>
      <c r="J2358" s="44">
        <f>YEAR(A2358)</f>
        <v>2023</v>
      </c>
    </row>
    <row r="2359" spans="1:10" ht="12" customHeight="1" x14ac:dyDescent="0.25">
      <c r="A2359" s="43">
        <v>45244</v>
      </c>
      <c r="B2359" s="47">
        <v>16007</v>
      </c>
      <c r="C2359" s="44" t="s">
        <v>552</v>
      </c>
      <c r="D2359" s="45">
        <v>5.99</v>
      </c>
      <c r="E2359" s="48" t="s">
        <v>89</v>
      </c>
      <c r="F2359" s="48" t="s">
        <v>90</v>
      </c>
      <c r="G2359" s="48" t="s">
        <v>91</v>
      </c>
      <c r="J2359" s="44">
        <f>YEAR(A2359)</f>
        <v>2023</v>
      </c>
    </row>
    <row r="2360" spans="1:10" ht="12" customHeight="1" x14ac:dyDescent="0.25">
      <c r="A2360" s="43">
        <v>45244</v>
      </c>
      <c r="B2360" s="47">
        <v>16007</v>
      </c>
      <c r="C2360" s="44" t="s">
        <v>552</v>
      </c>
      <c r="D2360" s="45">
        <v>-5.99</v>
      </c>
      <c r="E2360" s="48" t="s">
        <v>299</v>
      </c>
      <c r="F2360" s="48" t="s">
        <v>90</v>
      </c>
      <c r="G2360" s="48" t="s">
        <v>305</v>
      </c>
      <c r="I2360" s="44" t="s">
        <v>1018</v>
      </c>
      <c r="J2360" s="44">
        <f>YEAR(A2360)</f>
        <v>2023</v>
      </c>
    </row>
    <row r="2361" spans="1:10" ht="12" customHeight="1" x14ac:dyDescent="0.25">
      <c r="A2361" s="43">
        <v>45245</v>
      </c>
      <c r="B2361" s="47">
        <v>16008</v>
      </c>
      <c r="C2361" s="44" t="s">
        <v>806</v>
      </c>
      <c r="D2361" s="45">
        <v>9.99</v>
      </c>
      <c r="E2361" s="48" t="s">
        <v>145</v>
      </c>
      <c r="F2361" s="48" t="s">
        <v>116</v>
      </c>
      <c r="G2361" s="48" t="s">
        <v>93</v>
      </c>
      <c r="J2361" s="44">
        <f>YEAR(A2361)</f>
        <v>2023</v>
      </c>
    </row>
    <row r="2362" spans="1:10" ht="12" customHeight="1" x14ac:dyDescent="0.25">
      <c r="A2362" s="43">
        <v>45245</v>
      </c>
      <c r="B2362" s="47">
        <v>16008</v>
      </c>
      <c r="C2362" s="44" t="s">
        <v>806</v>
      </c>
      <c r="D2362" s="45">
        <v>-9.99</v>
      </c>
      <c r="E2362" s="48" t="s">
        <v>299</v>
      </c>
      <c r="F2362" s="48" t="s">
        <v>90</v>
      </c>
      <c r="G2362" s="48" t="s">
        <v>305</v>
      </c>
      <c r="I2362" s="44" t="s">
        <v>1018</v>
      </c>
      <c r="J2362" s="44">
        <f>YEAR(A2362)</f>
        <v>2023</v>
      </c>
    </row>
    <row r="2363" spans="1:10" ht="12" customHeight="1" x14ac:dyDescent="0.25">
      <c r="A2363" s="43">
        <v>45245</v>
      </c>
      <c r="B2363" s="47">
        <v>16009</v>
      </c>
      <c r="C2363" s="44" t="s">
        <v>499</v>
      </c>
      <c r="D2363" s="45">
        <v>1.98</v>
      </c>
      <c r="E2363" s="48" t="s">
        <v>89</v>
      </c>
      <c r="F2363" s="48" t="s">
        <v>90</v>
      </c>
      <c r="G2363" s="48" t="s">
        <v>91</v>
      </c>
      <c r="J2363" s="44">
        <f>YEAR(A2363)</f>
        <v>2023</v>
      </c>
    </row>
    <row r="2364" spans="1:10" ht="12" customHeight="1" x14ac:dyDescent="0.25">
      <c r="A2364" s="43">
        <v>45245</v>
      </c>
      <c r="B2364" s="47">
        <v>16009</v>
      </c>
      <c r="C2364" s="44" t="s">
        <v>499</v>
      </c>
      <c r="D2364" s="45">
        <v>-1.98</v>
      </c>
      <c r="E2364" s="48" t="s">
        <v>299</v>
      </c>
      <c r="F2364" s="48" t="s">
        <v>90</v>
      </c>
      <c r="G2364" s="48" t="s">
        <v>305</v>
      </c>
      <c r="I2364" s="44" t="s">
        <v>1018</v>
      </c>
      <c r="J2364" s="44">
        <f>YEAR(A2364)</f>
        <v>2023</v>
      </c>
    </row>
    <row r="2365" spans="1:10" ht="12" customHeight="1" x14ac:dyDescent="0.25">
      <c r="A2365" s="43">
        <v>45246</v>
      </c>
      <c r="B2365" s="47">
        <v>16010</v>
      </c>
      <c r="C2365" s="44" t="s">
        <v>468</v>
      </c>
      <c r="D2365" s="45">
        <v>12.13</v>
      </c>
      <c r="E2365" s="48" t="s">
        <v>197</v>
      </c>
      <c r="F2365" s="48" t="s">
        <v>90</v>
      </c>
      <c r="G2365" s="48" t="s">
        <v>91</v>
      </c>
      <c r="J2365" s="44">
        <f>YEAR(A2365)</f>
        <v>2023</v>
      </c>
    </row>
    <row r="2366" spans="1:10" ht="12" customHeight="1" x14ac:dyDescent="0.25">
      <c r="A2366" s="43">
        <v>45246</v>
      </c>
      <c r="B2366" s="47">
        <v>16010</v>
      </c>
      <c r="C2366" s="44" t="s">
        <v>468</v>
      </c>
      <c r="D2366" s="45">
        <v>-12.13</v>
      </c>
      <c r="E2366" s="48" t="s">
        <v>299</v>
      </c>
      <c r="F2366" s="48" t="s">
        <v>90</v>
      </c>
      <c r="G2366" s="48" t="s">
        <v>305</v>
      </c>
      <c r="I2366" s="44" t="s">
        <v>1018</v>
      </c>
      <c r="J2366" s="44">
        <f>YEAR(A2366)</f>
        <v>2023</v>
      </c>
    </row>
    <row r="2367" spans="1:10" ht="12" customHeight="1" x14ac:dyDescent="0.25">
      <c r="A2367" s="43">
        <v>45246</v>
      </c>
      <c r="B2367" s="47">
        <v>16011</v>
      </c>
      <c r="C2367" s="44" t="s">
        <v>501</v>
      </c>
      <c r="D2367" s="45">
        <v>3.95</v>
      </c>
      <c r="E2367" s="48" t="s">
        <v>89</v>
      </c>
      <c r="F2367" s="48" t="s">
        <v>90</v>
      </c>
      <c r="G2367" s="48" t="s">
        <v>91</v>
      </c>
      <c r="J2367" s="44">
        <f>YEAR(A2367)</f>
        <v>2023</v>
      </c>
    </row>
    <row r="2368" spans="1:10" ht="12" customHeight="1" x14ac:dyDescent="0.25">
      <c r="A2368" s="43">
        <v>45246</v>
      </c>
      <c r="B2368" s="47">
        <v>16011</v>
      </c>
      <c r="C2368" s="44" t="s">
        <v>501</v>
      </c>
      <c r="D2368" s="45">
        <v>-3.95</v>
      </c>
      <c r="E2368" s="48" t="s">
        <v>299</v>
      </c>
      <c r="F2368" s="48" t="s">
        <v>90</v>
      </c>
      <c r="G2368" s="48" t="s">
        <v>305</v>
      </c>
      <c r="I2368" s="44" t="s">
        <v>1018</v>
      </c>
      <c r="J2368" s="44">
        <f>YEAR(A2368)</f>
        <v>2023</v>
      </c>
    </row>
    <row r="2369" spans="1:10" ht="12" customHeight="1" x14ac:dyDescent="0.25">
      <c r="A2369" s="43">
        <v>45246</v>
      </c>
      <c r="B2369" s="47">
        <v>16012</v>
      </c>
      <c r="C2369" s="44" t="s">
        <v>499</v>
      </c>
      <c r="D2369" s="45">
        <v>0.99</v>
      </c>
      <c r="E2369" s="48" t="s">
        <v>89</v>
      </c>
      <c r="F2369" s="48" t="s">
        <v>90</v>
      </c>
      <c r="G2369" s="48" t="s">
        <v>91</v>
      </c>
      <c r="J2369" s="44">
        <f>YEAR(A2369)</f>
        <v>2023</v>
      </c>
    </row>
    <row r="2370" spans="1:10" ht="12" customHeight="1" x14ac:dyDescent="0.25">
      <c r="A2370" s="43">
        <v>45246</v>
      </c>
      <c r="B2370" s="47">
        <v>16012</v>
      </c>
      <c r="C2370" s="44" t="s">
        <v>499</v>
      </c>
      <c r="D2370" s="45">
        <v>-0.99</v>
      </c>
      <c r="E2370" s="48" t="s">
        <v>299</v>
      </c>
      <c r="F2370" s="48" t="s">
        <v>90</v>
      </c>
      <c r="G2370" s="48" t="s">
        <v>305</v>
      </c>
      <c r="I2370" s="44" t="s">
        <v>1018</v>
      </c>
      <c r="J2370" s="44">
        <f>YEAR(A2370)</f>
        <v>2023</v>
      </c>
    </row>
    <row r="2371" spans="1:10" ht="12" customHeight="1" x14ac:dyDescent="0.25">
      <c r="A2371" s="43">
        <v>45246</v>
      </c>
      <c r="B2371" s="47">
        <v>16013</v>
      </c>
      <c r="C2371" s="44" t="s">
        <v>924</v>
      </c>
      <c r="D2371" s="45">
        <v>30</v>
      </c>
      <c r="E2371" s="48" t="s">
        <v>105</v>
      </c>
      <c r="F2371" s="48" t="s">
        <v>90</v>
      </c>
      <c r="G2371" s="48" t="s">
        <v>98</v>
      </c>
      <c r="J2371" s="44">
        <f>YEAR(A2371)</f>
        <v>2023</v>
      </c>
    </row>
    <row r="2372" spans="1:10" ht="12" customHeight="1" x14ac:dyDescent="0.25">
      <c r="A2372" s="43">
        <v>45246</v>
      </c>
      <c r="B2372" s="47">
        <v>16013</v>
      </c>
      <c r="C2372" s="44" t="s">
        <v>924</v>
      </c>
      <c r="D2372" s="45">
        <v>-30</v>
      </c>
      <c r="E2372" s="48" t="s">
        <v>299</v>
      </c>
      <c r="F2372" s="48" t="s">
        <v>90</v>
      </c>
      <c r="G2372" s="48" t="s">
        <v>305</v>
      </c>
      <c r="I2372" s="44" t="s">
        <v>1018</v>
      </c>
      <c r="J2372" s="44">
        <f>YEAR(A2372)</f>
        <v>2023</v>
      </c>
    </row>
    <row r="2373" spans="1:10" ht="12" customHeight="1" x14ac:dyDescent="0.25">
      <c r="A2373" s="43">
        <v>45246</v>
      </c>
      <c r="B2373" s="47">
        <v>16014</v>
      </c>
      <c r="C2373" s="44" t="s">
        <v>505</v>
      </c>
      <c r="D2373" s="45">
        <v>112.93</v>
      </c>
      <c r="E2373" s="48" t="s">
        <v>89</v>
      </c>
      <c r="F2373" s="48" t="s">
        <v>90</v>
      </c>
      <c r="G2373" s="48" t="s">
        <v>91</v>
      </c>
      <c r="J2373" s="44">
        <f>YEAR(A2373)</f>
        <v>2023</v>
      </c>
    </row>
    <row r="2374" spans="1:10" ht="12" customHeight="1" x14ac:dyDescent="0.25">
      <c r="A2374" s="43">
        <v>45246</v>
      </c>
      <c r="B2374" s="47">
        <v>16014</v>
      </c>
      <c r="C2374" s="44" t="s">
        <v>505</v>
      </c>
      <c r="D2374" s="45">
        <v>-112.93</v>
      </c>
      <c r="E2374" s="48" t="s">
        <v>299</v>
      </c>
      <c r="F2374" s="48" t="s">
        <v>90</v>
      </c>
      <c r="G2374" s="48" t="s">
        <v>305</v>
      </c>
      <c r="I2374" s="44" t="s">
        <v>1018</v>
      </c>
      <c r="J2374" s="44">
        <f>YEAR(A2374)</f>
        <v>2023</v>
      </c>
    </row>
    <row r="2375" spans="1:10" ht="12" customHeight="1" x14ac:dyDescent="0.25">
      <c r="A2375" s="43">
        <v>45230</v>
      </c>
      <c r="B2375" s="47">
        <v>16015</v>
      </c>
      <c r="C2375" s="44" t="s">
        <v>580</v>
      </c>
      <c r="D2375" s="45">
        <v>-28.55</v>
      </c>
      <c r="E2375" s="48" t="s">
        <v>299</v>
      </c>
      <c r="F2375" s="48" t="s">
        <v>90</v>
      </c>
      <c r="G2375" s="48" t="s">
        <v>91</v>
      </c>
      <c r="H2375" s="44">
        <v>4081</v>
      </c>
      <c r="I2375" s="44" t="s">
        <v>1021</v>
      </c>
      <c r="J2375" s="44">
        <f>YEAR(A2375)</f>
        <v>2023</v>
      </c>
    </row>
    <row r="2376" spans="1:10" ht="12" customHeight="1" x14ac:dyDescent="0.25">
      <c r="A2376" s="43">
        <v>45230</v>
      </c>
      <c r="B2376" s="47">
        <v>16015</v>
      </c>
      <c r="C2376" s="44" t="s">
        <v>580</v>
      </c>
      <c r="D2376" s="45">
        <v>28.55</v>
      </c>
      <c r="E2376" s="48" t="s">
        <v>89</v>
      </c>
      <c r="F2376" s="48" t="s">
        <v>90</v>
      </c>
      <c r="G2376" s="48" t="s">
        <v>91</v>
      </c>
      <c r="J2376" s="44">
        <f>YEAR(A2376)</f>
        <v>2023</v>
      </c>
    </row>
    <row r="2377" spans="1:10" ht="12" customHeight="1" x14ac:dyDescent="0.25">
      <c r="A2377" s="43">
        <v>45240</v>
      </c>
      <c r="B2377" s="47">
        <v>16016</v>
      </c>
      <c r="C2377" s="44" t="s">
        <v>447</v>
      </c>
      <c r="D2377" s="45">
        <v>-68</v>
      </c>
      <c r="E2377" s="48" t="s">
        <v>299</v>
      </c>
      <c r="F2377" s="48" t="s">
        <v>90</v>
      </c>
      <c r="G2377" s="48" t="s">
        <v>91</v>
      </c>
      <c r="H2377" s="44">
        <v>4082</v>
      </c>
      <c r="I2377" s="44" t="s">
        <v>1021</v>
      </c>
      <c r="J2377" s="44">
        <f>YEAR(A2377)</f>
        <v>2023</v>
      </c>
    </row>
    <row r="2378" spans="1:10" ht="12" customHeight="1" x14ac:dyDescent="0.25">
      <c r="A2378" s="43">
        <v>45240</v>
      </c>
      <c r="B2378" s="47">
        <v>16016</v>
      </c>
      <c r="C2378" s="44" t="s">
        <v>447</v>
      </c>
      <c r="D2378" s="45">
        <v>68</v>
      </c>
      <c r="E2378" s="48" t="s">
        <v>197</v>
      </c>
      <c r="F2378" s="48" t="s">
        <v>96</v>
      </c>
      <c r="G2378" s="48" t="s">
        <v>95</v>
      </c>
      <c r="J2378" s="44">
        <f>YEAR(A2378)</f>
        <v>2023</v>
      </c>
    </row>
    <row r="2379" spans="1:10" ht="12" customHeight="1" x14ac:dyDescent="0.25">
      <c r="A2379" s="43">
        <v>45243</v>
      </c>
      <c r="B2379" s="47">
        <v>16017</v>
      </c>
      <c r="C2379" s="44" t="s">
        <v>447</v>
      </c>
      <c r="D2379" s="45">
        <v>-68</v>
      </c>
      <c r="E2379" s="48" t="s">
        <v>299</v>
      </c>
      <c r="F2379" s="48" t="s">
        <v>90</v>
      </c>
      <c r="G2379" s="48" t="s">
        <v>91</v>
      </c>
      <c r="H2379" s="44">
        <v>4083</v>
      </c>
      <c r="I2379" s="44" t="s">
        <v>1021</v>
      </c>
      <c r="J2379" s="44">
        <f>YEAR(A2379)</f>
        <v>2023</v>
      </c>
    </row>
    <row r="2380" spans="1:10" ht="12" customHeight="1" x14ac:dyDescent="0.25">
      <c r="A2380" s="43">
        <v>45243</v>
      </c>
      <c r="B2380" s="47">
        <v>16017</v>
      </c>
      <c r="C2380" s="44" t="s">
        <v>447</v>
      </c>
      <c r="D2380" s="45">
        <v>68</v>
      </c>
      <c r="E2380" s="48" t="s">
        <v>197</v>
      </c>
      <c r="F2380" s="48" t="s">
        <v>96</v>
      </c>
      <c r="G2380" s="48" t="s">
        <v>99</v>
      </c>
      <c r="J2380" s="44">
        <f>YEAR(A2380)</f>
        <v>2023</v>
      </c>
    </row>
    <row r="2381" spans="1:10" ht="12" customHeight="1" x14ac:dyDescent="0.25">
      <c r="A2381" s="43">
        <v>45244</v>
      </c>
      <c r="B2381" s="47">
        <v>16018</v>
      </c>
      <c r="C2381" s="44" t="s">
        <v>984</v>
      </c>
      <c r="D2381" s="45">
        <v>-86.9</v>
      </c>
      <c r="E2381" s="48" t="s">
        <v>299</v>
      </c>
      <c r="F2381" s="48" t="s">
        <v>90</v>
      </c>
      <c r="G2381" s="48" t="s">
        <v>91</v>
      </c>
      <c r="H2381" s="44">
        <v>4084</v>
      </c>
      <c r="I2381" s="44" t="s">
        <v>1021</v>
      </c>
      <c r="J2381" s="44">
        <f>YEAR(A2381)</f>
        <v>2023</v>
      </c>
    </row>
    <row r="2382" spans="1:10" ht="12" customHeight="1" x14ac:dyDescent="0.25">
      <c r="A2382" s="43">
        <v>45244</v>
      </c>
      <c r="B2382" s="47">
        <v>16018</v>
      </c>
      <c r="C2382" s="44" t="s">
        <v>984</v>
      </c>
      <c r="D2382" s="45">
        <v>86.9</v>
      </c>
      <c r="E2382" s="48" t="s">
        <v>197</v>
      </c>
      <c r="F2382" s="48" t="s">
        <v>96</v>
      </c>
      <c r="G2382" s="48" t="s">
        <v>99</v>
      </c>
      <c r="J2382" s="44">
        <f>YEAR(A2382)</f>
        <v>2023</v>
      </c>
    </row>
    <row r="2383" spans="1:10" ht="12" customHeight="1" x14ac:dyDescent="0.25">
      <c r="A2383" s="43">
        <v>45236</v>
      </c>
      <c r="B2383" s="47">
        <v>16019</v>
      </c>
      <c r="C2383" s="44" t="s">
        <v>417</v>
      </c>
      <c r="D2383" s="45">
        <v>-1975.07</v>
      </c>
      <c r="E2383" s="48" t="s">
        <v>299</v>
      </c>
      <c r="F2383" s="48" t="s">
        <v>90</v>
      </c>
      <c r="G2383" s="48" t="s">
        <v>91</v>
      </c>
      <c r="I2383" s="44" t="s">
        <v>987</v>
      </c>
      <c r="J2383" s="44">
        <f>YEAR(A2383)</f>
        <v>2023</v>
      </c>
    </row>
    <row r="2384" spans="1:10" ht="12" customHeight="1" x14ac:dyDescent="0.25">
      <c r="A2384" s="43">
        <v>45236</v>
      </c>
      <c r="B2384" s="47">
        <v>16019</v>
      </c>
      <c r="C2384" s="44" t="s">
        <v>417</v>
      </c>
      <c r="D2384" s="45">
        <v>1975.07</v>
      </c>
      <c r="E2384" s="48" t="s">
        <v>299</v>
      </c>
      <c r="F2384" s="48" t="s">
        <v>90</v>
      </c>
      <c r="G2384" s="48" t="s">
        <v>305</v>
      </c>
      <c r="I2384" s="44" t="s">
        <v>986</v>
      </c>
      <c r="J2384" s="44">
        <f>YEAR(A2384)</f>
        <v>2023</v>
      </c>
    </row>
    <row r="2385" spans="1:10" ht="12" customHeight="1" x14ac:dyDescent="0.25">
      <c r="A2385" s="43">
        <v>45232</v>
      </c>
      <c r="B2385" s="47">
        <v>16020</v>
      </c>
      <c r="C2385" s="44" t="s">
        <v>409</v>
      </c>
      <c r="D2385" s="45">
        <v>-3300</v>
      </c>
      <c r="E2385" s="48" t="s">
        <v>214</v>
      </c>
      <c r="F2385" s="48" t="s">
        <v>90</v>
      </c>
      <c r="G2385" s="48" t="s">
        <v>107</v>
      </c>
      <c r="J2385" s="44">
        <f>YEAR(A2385)</f>
        <v>2023</v>
      </c>
    </row>
    <row r="2386" spans="1:10" ht="12" customHeight="1" x14ac:dyDescent="0.25">
      <c r="A2386" s="43">
        <v>45232</v>
      </c>
      <c r="B2386" s="47">
        <v>16020</v>
      </c>
      <c r="C2386" s="44" t="s">
        <v>409</v>
      </c>
      <c r="D2386" s="45">
        <v>3300</v>
      </c>
      <c r="E2386" s="48" t="s">
        <v>299</v>
      </c>
      <c r="F2386" s="48" t="s">
        <v>90</v>
      </c>
      <c r="G2386" s="48" t="s">
        <v>91</v>
      </c>
      <c r="H2386" s="44" t="s">
        <v>398</v>
      </c>
      <c r="I2386" s="44" t="s">
        <v>988</v>
      </c>
      <c r="J2386" s="44">
        <f>YEAR(A2386)</f>
        <v>2023</v>
      </c>
    </row>
    <row r="2387" spans="1:10" ht="12" customHeight="1" x14ac:dyDescent="0.25">
      <c r="A2387" s="43">
        <v>45216</v>
      </c>
      <c r="B2387" s="47">
        <v>16021</v>
      </c>
      <c r="C2387" s="44" t="s">
        <v>390</v>
      </c>
      <c r="D2387" s="45">
        <v>6.3</v>
      </c>
      <c r="E2387" s="48" t="s">
        <v>124</v>
      </c>
      <c r="F2387" s="48" t="s">
        <v>128</v>
      </c>
      <c r="G2387" s="48" t="s">
        <v>91</v>
      </c>
      <c r="J2387" s="44">
        <f>YEAR(A2387)</f>
        <v>2023</v>
      </c>
    </row>
    <row r="2388" spans="1:10" ht="12" customHeight="1" x14ac:dyDescent="0.25">
      <c r="A2388" s="43">
        <v>45216</v>
      </c>
      <c r="B2388" s="47">
        <v>16021</v>
      </c>
      <c r="C2388" s="44" t="s">
        <v>390</v>
      </c>
      <c r="D2388" s="45">
        <v>-6.3</v>
      </c>
      <c r="E2388" s="48" t="s">
        <v>299</v>
      </c>
      <c r="F2388" s="48" t="s">
        <v>90</v>
      </c>
      <c r="G2388" s="48" t="s">
        <v>91</v>
      </c>
      <c r="H2388" s="44" t="s">
        <v>391</v>
      </c>
      <c r="I2388" s="44" t="s">
        <v>987</v>
      </c>
      <c r="J2388" s="44">
        <f>YEAR(A2388)</f>
        <v>2023</v>
      </c>
    </row>
    <row r="2389" spans="1:10" ht="12" customHeight="1" x14ac:dyDescent="0.25">
      <c r="A2389" s="43">
        <v>45216</v>
      </c>
      <c r="B2389" s="47">
        <v>16021</v>
      </c>
      <c r="C2389" s="44" t="s">
        <v>393</v>
      </c>
      <c r="D2389" s="45">
        <v>16.100000000000001</v>
      </c>
      <c r="E2389" s="48" t="s">
        <v>124</v>
      </c>
      <c r="F2389" s="48" t="s">
        <v>128</v>
      </c>
      <c r="G2389" s="48" t="s">
        <v>91</v>
      </c>
      <c r="J2389" s="44">
        <f>YEAR(A2389)</f>
        <v>2023</v>
      </c>
    </row>
    <row r="2390" spans="1:10" ht="12" customHeight="1" x14ac:dyDescent="0.25">
      <c r="A2390" s="43">
        <v>45216</v>
      </c>
      <c r="B2390" s="47">
        <v>16021</v>
      </c>
      <c r="C2390" s="44" t="s">
        <v>393</v>
      </c>
      <c r="D2390" s="45">
        <v>-16.100000000000001</v>
      </c>
      <c r="E2390" s="48" t="s">
        <v>299</v>
      </c>
      <c r="F2390" s="48" t="s">
        <v>90</v>
      </c>
      <c r="G2390" s="48" t="s">
        <v>91</v>
      </c>
      <c r="H2390" s="44" t="s">
        <v>391</v>
      </c>
      <c r="I2390" s="44" t="s">
        <v>987</v>
      </c>
      <c r="J2390" s="44">
        <f>YEAR(A2390)</f>
        <v>2023</v>
      </c>
    </row>
    <row r="2391" spans="1:10" ht="12" customHeight="1" x14ac:dyDescent="0.25">
      <c r="A2391" s="43">
        <v>45216</v>
      </c>
      <c r="B2391" s="47">
        <v>16021</v>
      </c>
      <c r="C2391" s="44" t="s">
        <v>394</v>
      </c>
      <c r="D2391" s="45">
        <v>0.49</v>
      </c>
      <c r="E2391" s="48" t="s">
        <v>124</v>
      </c>
      <c r="F2391" s="48" t="s">
        <v>128</v>
      </c>
      <c r="G2391" s="48" t="s">
        <v>91</v>
      </c>
      <c r="J2391" s="44">
        <f>YEAR(A2391)</f>
        <v>2023</v>
      </c>
    </row>
    <row r="2392" spans="1:10" ht="12" customHeight="1" x14ac:dyDescent="0.25">
      <c r="A2392" s="43">
        <v>45216</v>
      </c>
      <c r="B2392" s="47">
        <v>16021</v>
      </c>
      <c r="C2392" s="44" t="s">
        <v>394</v>
      </c>
      <c r="D2392" s="45">
        <v>-0.49</v>
      </c>
      <c r="E2392" s="48" t="s">
        <v>299</v>
      </c>
      <c r="F2392" s="48" t="s">
        <v>90</v>
      </c>
      <c r="G2392" s="48" t="s">
        <v>91</v>
      </c>
      <c r="H2392" s="44" t="s">
        <v>391</v>
      </c>
      <c r="I2392" s="44" t="s">
        <v>987</v>
      </c>
      <c r="J2392" s="44">
        <f>YEAR(A2392)</f>
        <v>2023</v>
      </c>
    </row>
    <row r="2393" spans="1:10" ht="12" customHeight="1" x14ac:dyDescent="0.25">
      <c r="A2393" s="43">
        <v>45216</v>
      </c>
      <c r="B2393" s="47">
        <v>16021</v>
      </c>
      <c r="C2393" s="44" t="s">
        <v>395</v>
      </c>
      <c r="D2393" s="45">
        <v>0.7</v>
      </c>
      <c r="E2393" s="48" t="s">
        <v>124</v>
      </c>
      <c r="F2393" s="48" t="s">
        <v>128</v>
      </c>
      <c r="G2393" s="48" t="s">
        <v>91</v>
      </c>
      <c r="J2393" s="44">
        <f>YEAR(A2393)</f>
        <v>2023</v>
      </c>
    </row>
    <row r="2394" spans="1:10" ht="12" customHeight="1" x14ac:dyDescent="0.25">
      <c r="A2394" s="43">
        <v>45216</v>
      </c>
      <c r="B2394" s="47">
        <v>16021</v>
      </c>
      <c r="C2394" s="44" t="s">
        <v>395</v>
      </c>
      <c r="D2394" s="45">
        <v>-0.7</v>
      </c>
      <c r="E2394" s="48" t="s">
        <v>299</v>
      </c>
      <c r="F2394" s="48" t="s">
        <v>90</v>
      </c>
      <c r="G2394" s="48" t="s">
        <v>91</v>
      </c>
      <c r="H2394" s="44" t="s">
        <v>391</v>
      </c>
      <c r="I2394" s="44" t="s">
        <v>987</v>
      </c>
      <c r="J2394" s="44">
        <f>YEAR(A2394)</f>
        <v>2023</v>
      </c>
    </row>
    <row r="2395" spans="1:10" ht="12" customHeight="1" x14ac:dyDescent="0.25">
      <c r="A2395" s="43">
        <v>45226</v>
      </c>
      <c r="B2395" s="47">
        <v>16022</v>
      </c>
      <c r="C2395" s="44" t="s">
        <v>396</v>
      </c>
      <c r="D2395" s="45">
        <v>29.79</v>
      </c>
      <c r="E2395" s="48" t="s">
        <v>157</v>
      </c>
      <c r="F2395" s="48" t="s">
        <v>155</v>
      </c>
      <c r="G2395" s="48" t="s">
        <v>94</v>
      </c>
      <c r="J2395" s="44">
        <f>YEAR(A2395)</f>
        <v>2023</v>
      </c>
    </row>
    <row r="2396" spans="1:10" ht="12" customHeight="1" x14ac:dyDescent="0.25">
      <c r="A2396" s="43">
        <v>45226</v>
      </c>
      <c r="B2396" s="47">
        <v>16022</v>
      </c>
      <c r="C2396" s="44" t="s">
        <v>396</v>
      </c>
      <c r="D2396" s="45">
        <v>-29.79</v>
      </c>
      <c r="E2396" s="48" t="s">
        <v>299</v>
      </c>
      <c r="F2396" s="48" t="s">
        <v>90</v>
      </c>
      <c r="G2396" s="48" t="s">
        <v>91</v>
      </c>
      <c r="H2396" s="44" t="s">
        <v>391</v>
      </c>
      <c r="I2396" s="44" t="s">
        <v>987</v>
      </c>
      <c r="J2396" s="44">
        <f>YEAR(A2396)</f>
        <v>2023</v>
      </c>
    </row>
    <row r="2397" spans="1:10" ht="12" customHeight="1" x14ac:dyDescent="0.25">
      <c r="A2397" s="43">
        <v>45215</v>
      </c>
      <c r="B2397" s="47">
        <v>16023</v>
      </c>
      <c r="C2397" s="44" t="s">
        <v>397</v>
      </c>
      <c r="D2397" s="45">
        <v>-800</v>
      </c>
      <c r="E2397" s="48" t="s">
        <v>244</v>
      </c>
      <c r="F2397" s="48" t="s">
        <v>90</v>
      </c>
      <c r="G2397" s="48" t="s">
        <v>114</v>
      </c>
      <c r="J2397" s="44">
        <f>YEAR(A2397)</f>
        <v>2023</v>
      </c>
    </row>
    <row r="2398" spans="1:10" ht="12" customHeight="1" x14ac:dyDescent="0.25">
      <c r="A2398" s="43">
        <v>45215</v>
      </c>
      <c r="B2398" s="47">
        <v>16023</v>
      </c>
      <c r="C2398" s="44" t="s">
        <v>397</v>
      </c>
      <c r="D2398" s="45">
        <v>800</v>
      </c>
      <c r="E2398" s="48" t="s">
        <v>299</v>
      </c>
      <c r="F2398" s="48" t="s">
        <v>90</v>
      </c>
      <c r="G2398" s="48" t="s">
        <v>91</v>
      </c>
      <c r="H2398" s="44" t="s">
        <v>398</v>
      </c>
      <c r="I2398" s="44" t="s">
        <v>988</v>
      </c>
      <c r="J2398" s="44">
        <f>YEAR(A2398)</f>
        <v>2023</v>
      </c>
    </row>
    <row r="2399" spans="1:10" ht="12" customHeight="1" x14ac:dyDescent="0.25">
      <c r="A2399" s="43">
        <v>45232</v>
      </c>
      <c r="B2399" s="47">
        <v>16024</v>
      </c>
      <c r="C2399" s="44" t="s">
        <v>399</v>
      </c>
      <c r="D2399" s="45">
        <v>19.989999999999998</v>
      </c>
      <c r="E2399" s="48" t="s">
        <v>157</v>
      </c>
      <c r="F2399" s="48" t="s">
        <v>155</v>
      </c>
      <c r="G2399" s="48" t="s">
        <v>98</v>
      </c>
      <c r="J2399" s="44">
        <f>YEAR(A2399)</f>
        <v>2023</v>
      </c>
    </row>
    <row r="2400" spans="1:10" ht="12" customHeight="1" x14ac:dyDescent="0.25">
      <c r="A2400" s="43">
        <v>45232</v>
      </c>
      <c r="B2400" s="47">
        <v>16024</v>
      </c>
      <c r="C2400" s="44" t="s">
        <v>399</v>
      </c>
      <c r="D2400" s="45">
        <v>-19.989999999999998</v>
      </c>
      <c r="E2400" s="48" t="s">
        <v>299</v>
      </c>
      <c r="F2400" s="48" t="s">
        <v>90</v>
      </c>
      <c r="G2400" s="48" t="s">
        <v>91</v>
      </c>
      <c r="H2400" s="44" t="s">
        <v>391</v>
      </c>
      <c r="I2400" s="44" t="s">
        <v>987</v>
      </c>
      <c r="J2400" s="44">
        <f>YEAR(A2400)</f>
        <v>2023</v>
      </c>
    </row>
    <row r="2401" spans="1:10" ht="12" customHeight="1" x14ac:dyDescent="0.25">
      <c r="A2401" s="43">
        <v>45232</v>
      </c>
      <c r="B2401" s="47">
        <v>16025</v>
      </c>
      <c r="C2401" s="44" t="s">
        <v>400</v>
      </c>
      <c r="D2401" s="45">
        <v>21.66</v>
      </c>
      <c r="E2401" s="48" t="s">
        <v>157</v>
      </c>
      <c r="F2401" s="48" t="s">
        <v>155</v>
      </c>
      <c r="G2401" s="48" t="s">
        <v>95</v>
      </c>
      <c r="J2401" s="44">
        <f>YEAR(A2401)</f>
        <v>2023</v>
      </c>
    </row>
    <row r="2402" spans="1:10" ht="12" customHeight="1" x14ac:dyDescent="0.25">
      <c r="A2402" s="43">
        <v>45232</v>
      </c>
      <c r="B2402" s="47">
        <v>16025</v>
      </c>
      <c r="C2402" s="44" t="s">
        <v>400</v>
      </c>
      <c r="D2402" s="45">
        <v>-21.66</v>
      </c>
      <c r="E2402" s="48" t="s">
        <v>299</v>
      </c>
      <c r="F2402" s="48" t="s">
        <v>90</v>
      </c>
      <c r="G2402" s="48" t="s">
        <v>91</v>
      </c>
      <c r="H2402" s="44" t="s">
        <v>391</v>
      </c>
      <c r="I2402" s="44" t="s">
        <v>987</v>
      </c>
      <c r="J2402" s="44">
        <f>YEAR(A2402)</f>
        <v>2023</v>
      </c>
    </row>
    <row r="2403" spans="1:10" ht="12" customHeight="1" x14ac:dyDescent="0.25">
      <c r="A2403" s="43">
        <v>45224</v>
      </c>
      <c r="B2403" s="47">
        <v>16026</v>
      </c>
      <c r="C2403" s="44" t="s">
        <v>951</v>
      </c>
      <c r="D2403" s="45">
        <v>19.989999999999998</v>
      </c>
      <c r="E2403" s="48" t="s">
        <v>157</v>
      </c>
      <c r="F2403" s="48" t="s">
        <v>155</v>
      </c>
      <c r="G2403" s="48" t="s">
        <v>99</v>
      </c>
      <c r="J2403" s="44">
        <f>YEAR(A2403)</f>
        <v>2023</v>
      </c>
    </row>
    <row r="2404" spans="1:10" ht="12" customHeight="1" x14ac:dyDescent="0.25">
      <c r="A2404" s="43">
        <v>45224</v>
      </c>
      <c r="B2404" s="47">
        <v>16026</v>
      </c>
      <c r="C2404" s="44" t="s">
        <v>951</v>
      </c>
      <c r="D2404" s="45">
        <v>-19.989999999999998</v>
      </c>
      <c r="E2404" s="48" t="s">
        <v>299</v>
      </c>
      <c r="F2404" s="48" t="s">
        <v>90</v>
      </c>
      <c r="G2404" s="48" t="s">
        <v>91</v>
      </c>
      <c r="H2404" s="44" t="s">
        <v>391</v>
      </c>
      <c r="I2404" s="44" t="s">
        <v>987</v>
      </c>
      <c r="J2404" s="44">
        <f>YEAR(A2404)</f>
        <v>2023</v>
      </c>
    </row>
    <row r="2405" spans="1:10" ht="12" customHeight="1" x14ac:dyDescent="0.25">
      <c r="A2405" s="43">
        <v>45215</v>
      </c>
      <c r="B2405" s="47">
        <v>16027</v>
      </c>
      <c r="C2405" s="44" t="s">
        <v>401</v>
      </c>
      <c r="D2405" s="45">
        <v>234</v>
      </c>
      <c r="E2405" s="48" t="s">
        <v>110</v>
      </c>
      <c r="F2405" s="48" t="s">
        <v>90</v>
      </c>
      <c r="G2405" s="48" t="s">
        <v>91</v>
      </c>
      <c r="J2405" s="44">
        <f>YEAR(A2405)</f>
        <v>2023</v>
      </c>
    </row>
    <row r="2406" spans="1:10" ht="12" customHeight="1" x14ac:dyDescent="0.25">
      <c r="A2406" s="43">
        <v>45215</v>
      </c>
      <c r="B2406" s="47">
        <v>16027</v>
      </c>
      <c r="C2406" s="44" t="s">
        <v>401</v>
      </c>
      <c r="D2406" s="45">
        <v>-234</v>
      </c>
      <c r="E2406" s="48" t="s">
        <v>299</v>
      </c>
      <c r="F2406" s="48" t="s">
        <v>90</v>
      </c>
      <c r="G2406" s="48" t="s">
        <v>91</v>
      </c>
      <c r="H2406" s="44" t="s">
        <v>402</v>
      </c>
      <c r="I2406" s="44" t="s">
        <v>987</v>
      </c>
      <c r="J2406" s="44">
        <f>YEAR(A2406)</f>
        <v>2023</v>
      </c>
    </row>
    <row r="2407" spans="1:10" ht="12" customHeight="1" x14ac:dyDescent="0.25">
      <c r="A2407" s="43">
        <v>45218</v>
      </c>
      <c r="B2407" s="47">
        <v>16028</v>
      </c>
      <c r="C2407" s="44" t="s">
        <v>405</v>
      </c>
      <c r="D2407" s="45">
        <v>-38.97</v>
      </c>
      <c r="E2407" s="48" t="s">
        <v>299</v>
      </c>
      <c r="F2407" s="48" t="s">
        <v>90</v>
      </c>
      <c r="G2407" s="48" t="s">
        <v>91</v>
      </c>
      <c r="H2407" s="44" t="s">
        <v>391</v>
      </c>
      <c r="I2407" s="44" t="s">
        <v>987</v>
      </c>
      <c r="J2407" s="44">
        <f>YEAR(A2407)</f>
        <v>2023</v>
      </c>
    </row>
    <row r="2408" spans="1:10" ht="12" customHeight="1" x14ac:dyDescent="0.25">
      <c r="A2408" s="43">
        <v>45218</v>
      </c>
      <c r="B2408" s="47">
        <v>16028</v>
      </c>
      <c r="C2408" s="44" t="s">
        <v>405</v>
      </c>
      <c r="D2408" s="45">
        <v>38.97</v>
      </c>
      <c r="E2408" s="48" t="s">
        <v>157</v>
      </c>
      <c r="F2408" s="48" t="s">
        <v>137</v>
      </c>
      <c r="G2408" s="48" t="s">
        <v>115</v>
      </c>
      <c r="J2408" s="44">
        <f>YEAR(A2408)</f>
        <v>2023</v>
      </c>
    </row>
    <row r="2409" spans="1:10" ht="12" customHeight="1" x14ac:dyDescent="0.25">
      <c r="A2409" s="43">
        <v>45226</v>
      </c>
      <c r="B2409" s="47">
        <v>16029</v>
      </c>
      <c r="C2409" s="44" t="s">
        <v>404</v>
      </c>
      <c r="D2409" s="45">
        <v>-75.87</v>
      </c>
      <c r="E2409" s="48" t="s">
        <v>299</v>
      </c>
      <c r="F2409" s="48" t="s">
        <v>90</v>
      </c>
      <c r="G2409" s="48" t="s">
        <v>91</v>
      </c>
      <c r="H2409" s="44" t="s">
        <v>391</v>
      </c>
      <c r="I2409" s="44" t="s">
        <v>987</v>
      </c>
      <c r="J2409" s="44">
        <f>YEAR(A2409)</f>
        <v>2023</v>
      </c>
    </row>
    <row r="2410" spans="1:10" ht="12" customHeight="1" x14ac:dyDescent="0.25">
      <c r="A2410" s="43">
        <v>45226</v>
      </c>
      <c r="B2410" s="47">
        <v>16029</v>
      </c>
      <c r="C2410" s="44" t="s">
        <v>404</v>
      </c>
      <c r="D2410" s="45">
        <v>75.87</v>
      </c>
      <c r="E2410" s="48" t="s">
        <v>157</v>
      </c>
      <c r="F2410" s="48" t="s">
        <v>137</v>
      </c>
      <c r="G2410" s="48" t="s">
        <v>91</v>
      </c>
      <c r="J2410" s="44">
        <f>YEAR(A2410)</f>
        <v>2023</v>
      </c>
    </row>
    <row r="2411" spans="1:10" ht="12" customHeight="1" x14ac:dyDescent="0.25">
      <c r="A2411" s="43">
        <v>45226</v>
      </c>
      <c r="B2411" s="47">
        <v>16030</v>
      </c>
      <c r="C2411" s="44" t="s">
        <v>403</v>
      </c>
      <c r="D2411" s="45">
        <v>-92.86</v>
      </c>
      <c r="E2411" s="48" t="s">
        <v>299</v>
      </c>
      <c r="F2411" s="48" t="s">
        <v>90</v>
      </c>
      <c r="G2411" s="48" t="s">
        <v>91</v>
      </c>
      <c r="H2411" s="44" t="s">
        <v>391</v>
      </c>
      <c r="I2411" s="44" t="s">
        <v>987</v>
      </c>
      <c r="J2411" s="44">
        <f>YEAR(A2411)</f>
        <v>2023</v>
      </c>
    </row>
    <row r="2412" spans="1:10" ht="12" customHeight="1" x14ac:dyDescent="0.25">
      <c r="A2412" s="43">
        <v>45226</v>
      </c>
      <c r="B2412" s="47">
        <v>16030</v>
      </c>
      <c r="C2412" s="44" t="s">
        <v>403</v>
      </c>
      <c r="D2412" s="45">
        <v>92.86</v>
      </c>
      <c r="E2412" s="48" t="s">
        <v>157</v>
      </c>
      <c r="F2412" s="48" t="s">
        <v>137</v>
      </c>
      <c r="G2412" s="48" t="s">
        <v>91</v>
      </c>
      <c r="J2412" s="44">
        <f>YEAR(A2412)</f>
        <v>2023</v>
      </c>
    </row>
    <row r="2413" spans="1:10" ht="12" customHeight="1" x14ac:dyDescent="0.25">
      <c r="A2413" s="43">
        <v>45222</v>
      </c>
      <c r="B2413" s="47">
        <v>16031</v>
      </c>
      <c r="C2413" s="44" t="s">
        <v>407</v>
      </c>
      <c r="D2413" s="45">
        <v>14.99</v>
      </c>
      <c r="E2413" s="48" t="s">
        <v>157</v>
      </c>
      <c r="F2413" s="48" t="s">
        <v>116</v>
      </c>
      <c r="G2413" s="48" t="s">
        <v>91</v>
      </c>
      <c r="J2413" s="44">
        <f>YEAR(A2413)</f>
        <v>2023</v>
      </c>
    </row>
    <row r="2414" spans="1:10" ht="12" customHeight="1" x14ac:dyDescent="0.25">
      <c r="A2414" s="43">
        <v>45222</v>
      </c>
      <c r="B2414" s="47">
        <v>16031</v>
      </c>
      <c r="C2414" s="44" t="s">
        <v>407</v>
      </c>
      <c r="D2414" s="45">
        <v>-14.99</v>
      </c>
      <c r="E2414" s="48" t="s">
        <v>299</v>
      </c>
      <c r="F2414" s="48" t="s">
        <v>90</v>
      </c>
      <c r="G2414" s="48" t="s">
        <v>91</v>
      </c>
      <c r="H2414" s="44" t="s">
        <v>391</v>
      </c>
      <c r="I2414" s="44" t="s">
        <v>987</v>
      </c>
      <c r="J2414" s="44">
        <f>YEAR(A2414)</f>
        <v>2023</v>
      </c>
    </row>
    <row r="2415" spans="1:10" ht="12" customHeight="1" x14ac:dyDescent="0.25">
      <c r="A2415" s="43">
        <v>45215</v>
      </c>
      <c r="B2415" s="47">
        <v>16032</v>
      </c>
      <c r="C2415" s="44" t="s">
        <v>448</v>
      </c>
      <c r="D2415" s="45">
        <v>156.69999999999999</v>
      </c>
      <c r="E2415" s="48" t="s">
        <v>180</v>
      </c>
      <c r="F2415" s="48" t="s">
        <v>90</v>
      </c>
      <c r="G2415" s="48" t="s">
        <v>91</v>
      </c>
      <c r="J2415" s="44">
        <f>YEAR(A2415)</f>
        <v>2023</v>
      </c>
    </row>
    <row r="2416" spans="1:10" ht="12" customHeight="1" x14ac:dyDescent="0.25">
      <c r="A2416" s="43">
        <v>45215</v>
      </c>
      <c r="B2416" s="47">
        <v>16032</v>
      </c>
      <c r="C2416" s="44" t="s">
        <v>448</v>
      </c>
      <c r="D2416" s="45">
        <v>-156.69999999999999</v>
      </c>
      <c r="E2416" s="48" t="s">
        <v>299</v>
      </c>
      <c r="F2416" s="48" t="s">
        <v>90</v>
      </c>
      <c r="G2416" s="48" t="s">
        <v>91</v>
      </c>
      <c r="H2416" s="44" t="s">
        <v>391</v>
      </c>
      <c r="I2416" s="44" t="s">
        <v>987</v>
      </c>
      <c r="J2416" s="44">
        <f>YEAR(A2416)</f>
        <v>2023</v>
      </c>
    </row>
    <row r="2417" spans="1:10" ht="12" customHeight="1" x14ac:dyDescent="0.25">
      <c r="A2417" s="43">
        <v>45224</v>
      </c>
      <c r="B2417" s="47">
        <v>16033</v>
      </c>
      <c r="C2417" s="44" t="s">
        <v>802</v>
      </c>
      <c r="D2417" s="45">
        <v>53.25</v>
      </c>
      <c r="E2417" s="48" t="s">
        <v>157</v>
      </c>
      <c r="F2417" s="48" t="s">
        <v>137</v>
      </c>
      <c r="G2417" s="48" t="s">
        <v>91</v>
      </c>
      <c r="J2417" s="44">
        <f>YEAR(A2417)</f>
        <v>2023</v>
      </c>
    </row>
    <row r="2418" spans="1:10" ht="12" customHeight="1" x14ac:dyDescent="0.25">
      <c r="A2418" s="43">
        <v>45224</v>
      </c>
      <c r="B2418" s="47">
        <v>16033</v>
      </c>
      <c r="C2418" s="44" t="s">
        <v>802</v>
      </c>
      <c r="D2418" s="45">
        <v>-53.25</v>
      </c>
      <c r="E2418" s="48" t="s">
        <v>299</v>
      </c>
      <c r="F2418" s="48" t="s">
        <v>90</v>
      </c>
      <c r="G2418" s="48" t="s">
        <v>91</v>
      </c>
      <c r="H2418" s="44" t="s">
        <v>391</v>
      </c>
      <c r="I2418" s="44" t="s">
        <v>987</v>
      </c>
      <c r="J2418" s="44">
        <f>YEAR(A2418)</f>
        <v>2023</v>
      </c>
    </row>
    <row r="2419" spans="1:10" ht="12" customHeight="1" x14ac:dyDescent="0.25">
      <c r="A2419" s="43">
        <v>45233</v>
      </c>
      <c r="B2419" s="47">
        <v>16034</v>
      </c>
      <c r="C2419" s="44" t="s">
        <v>560</v>
      </c>
      <c r="D2419" s="45">
        <v>-447.19</v>
      </c>
      <c r="E2419" s="48" t="s">
        <v>214</v>
      </c>
      <c r="F2419" s="48" t="s">
        <v>128</v>
      </c>
      <c r="G2419" s="48" t="s">
        <v>99</v>
      </c>
      <c r="J2419" s="44">
        <f>YEAR(A2419)</f>
        <v>2023</v>
      </c>
    </row>
    <row r="2420" spans="1:10" ht="12" customHeight="1" x14ac:dyDescent="0.25">
      <c r="A2420" s="43">
        <v>45233</v>
      </c>
      <c r="B2420" s="47">
        <v>16034</v>
      </c>
      <c r="C2420" s="44" t="s">
        <v>560</v>
      </c>
      <c r="D2420" s="45">
        <v>0</v>
      </c>
      <c r="E2420" s="48" t="s">
        <v>110</v>
      </c>
      <c r="F2420" s="48" t="s">
        <v>90</v>
      </c>
      <c r="G2420" s="48" t="s">
        <v>91</v>
      </c>
      <c r="J2420" s="44">
        <f>YEAR(A2420)</f>
        <v>2023</v>
      </c>
    </row>
    <row r="2421" spans="1:10" ht="12" customHeight="1" x14ac:dyDescent="0.25">
      <c r="A2421" s="43">
        <v>45233</v>
      </c>
      <c r="B2421" s="47">
        <v>16034</v>
      </c>
      <c r="C2421" s="44" t="s">
        <v>560</v>
      </c>
      <c r="D2421" s="45">
        <v>447.19</v>
      </c>
      <c r="E2421" s="48" t="s">
        <v>299</v>
      </c>
      <c r="F2421" s="48" t="s">
        <v>90</v>
      </c>
      <c r="G2421" s="48" t="s">
        <v>91</v>
      </c>
      <c r="H2421" s="44" t="s">
        <v>398</v>
      </c>
      <c r="I2421" s="44" t="s">
        <v>988</v>
      </c>
      <c r="J2421" s="44">
        <f>YEAR(A2421)</f>
        <v>2023</v>
      </c>
    </row>
    <row r="2422" spans="1:10" ht="12" customHeight="1" x14ac:dyDescent="0.25">
      <c r="A2422" s="43">
        <v>45236</v>
      </c>
      <c r="B2422" s="47">
        <v>16035</v>
      </c>
      <c r="C2422" s="44" t="s">
        <v>410</v>
      </c>
      <c r="D2422" s="45">
        <v>-715.89</v>
      </c>
      <c r="E2422" s="48" t="s">
        <v>214</v>
      </c>
      <c r="F2422" s="48" t="s">
        <v>128</v>
      </c>
      <c r="G2422" s="48" t="s">
        <v>99</v>
      </c>
      <c r="J2422" s="44">
        <f>YEAR(A2422)</f>
        <v>2023</v>
      </c>
    </row>
    <row r="2423" spans="1:10" ht="12" customHeight="1" x14ac:dyDescent="0.25">
      <c r="A2423" s="43">
        <v>45236</v>
      </c>
      <c r="B2423" s="47">
        <v>16035</v>
      </c>
      <c r="C2423" s="44" t="s">
        <v>411</v>
      </c>
      <c r="D2423" s="45">
        <v>0</v>
      </c>
      <c r="E2423" s="48" t="s">
        <v>110</v>
      </c>
      <c r="F2423" s="48" t="s">
        <v>90</v>
      </c>
      <c r="G2423" s="48" t="s">
        <v>91</v>
      </c>
      <c r="J2423" s="44">
        <f>YEAR(A2423)</f>
        <v>2023</v>
      </c>
    </row>
    <row r="2424" spans="1:10" ht="12" customHeight="1" x14ac:dyDescent="0.25">
      <c r="A2424" s="43">
        <v>45236</v>
      </c>
      <c r="B2424" s="47">
        <v>16035</v>
      </c>
      <c r="C2424" s="44" t="s">
        <v>410</v>
      </c>
      <c r="D2424" s="45">
        <v>715.89</v>
      </c>
      <c r="E2424" s="48" t="s">
        <v>299</v>
      </c>
      <c r="F2424" s="48" t="s">
        <v>90</v>
      </c>
      <c r="G2424" s="48" t="s">
        <v>91</v>
      </c>
      <c r="H2424" s="44" t="s">
        <v>398</v>
      </c>
      <c r="I2424" s="44" t="s">
        <v>988</v>
      </c>
      <c r="J2424" s="44">
        <f>YEAR(A2424)</f>
        <v>2023</v>
      </c>
    </row>
    <row r="2425" spans="1:10" ht="12" customHeight="1" x14ac:dyDescent="0.25">
      <c r="A2425" s="43">
        <v>45239</v>
      </c>
      <c r="B2425" s="47">
        <v>16036</v>
      </c>
      <c r="C2425" s="44" t="s">
        <v>563</v>
      </c>
      <c r="D2425" s="45">
        <v>-1171.18</v>
      </c>
      <c r="E2425" s="48" t="s">
        <v>214</v>
      </c>
      <c r="F2425" s="48" t="s">
        <v>90</v>
      </c>
      <c r="G2425" s="48" t="s">
        <v>99</v>
      </c>
      <c r="J2425" s="44">
        <f>YEAR(A2425)</f>
        <v>2023</v>
      </c>
    </row>
    <row r="2426" spans="1:10" ht="12" customHeight="1" x14ac:dyDescent="0.25">
      <c r="A2426" s="43">
        <v>45239</v>
      </c>
      <c r="B2426" s="47">
        <v>16036</v>
      </c>
      <c r="C2426" s="44" t="s">
        <v>564</v>
      </c>
      <c r="D2426" s="45">
        <v>0</v>
      </c>
      <c r="E2426" s="48" t="s">
        <v>110</v>
      </c>
      <c r="F2426" s="48" t="s">
        <v>90</v>
      </c>
      <c r="G2426" s="48" t="s">
        <v>91</v>
      </c>
      <c r="J2426" s="44">
        <f>YEAR(A2426)</f>
        <v>2023</v>
      </c>
    </row>
    <row r="2427" spans="1:10" ht="12" customHeight="1" x14ac:dyDescent="0.25">
      <c r="A2427" s="43">
        <v>45239</v>
      </c>
      <c r="B2427" s="47">
        <v>16036</v>
      </c>
      <c r="C2427" s="44" t="s">
        <v>563</v>
      </c>
      <c r="D2427" s="45">
        <v>1171.18</v>
      </c>
      <c r="E2427" s="48" t="s">
        <v>299</v>
      </c>
      <c r="F2427" s="48" t="s">
        <v>90</v>
      </c>
      <c r="G2427" s="48" t="s">
        <v>91</v>
      </c>
      <c r="H2427" s="44" t="s">
        <v>398</v>
      </c>
      <c r="I2427" s="44" t="s">
        <v>988</v>
      </c>
      <c r="J2427" s="44">
        <f>YEAR(A2427)</f>
        <v>2023</v>
      </c>
    </row>
    <row r="2428" spans="1:10" ht="12" customHeight="1" x14ac:dyDescent="0.25">
      <c r="A2428" s="43">
        <v>45237</v>
      </c>
      <c r="B2428" s="47">
        <v>16037</v>
      </c>
      <c r="C2428" s="44" t="s">
        <v>440</v>
      </c>
      <c r="D2428" s="45">
        <v>282.7</v>
      </c>
      <c r="E2428" s="48" t="s">
        <v>124</v>
      </c>
      <c r="F2428" s="48" t="s">
        <v>90</v>
      </c>
      <c r="G2428" s="48" t="s">
        <v>91</v>
      </c>
      <c r="J2428" s="44">
        <f>YEAR(A2428)</f>
        <v>2023</v>
      </c>
    </row>
    <row r="2429" spans="1:10" ht="12" customHeight="1" x14ac:dyDescent="0.25">
      <c r="A2429" s="43">
        <v>45237</v>
      </c>
      <c r="B2429" s="47">
        <v>16037</v>
      </c>
      <c r="C2429" s="44" t="s">
        <v>440</v>
      </c>
      <c r="D2429" s="45">
        <v>-282.7</v>
      </c>
      <c r="E2429" s="48" t="s">
        <v>299</v>
      </c>
      <c r="F2429" s="48" t="s">
        <v>90</v>
      </c>
      <c r="G2429" s="48" t="s">
        <v>91</v>
      </c>
      <c r="H2429" s="44" t="s">
        <v>391</v>
      </c>
      <c r="I2429" s="44" t="s">
        <v>987</v>
      </c>
      <c r="J2429" s="44">
        <f>YEAR(A2429)</f>
        <v>2023</v>
      </c>
    </row>
    <row r="2430" spans="1:10" ht="12" customHeight="1" x14ac:dyDescent="0.25">
      <c r="A2430" s="43">
        <v>45248</v>
      </c>
      <c r="B2430" s="47">
        <v>16038</v>
      </c>
      <c r="C2430" s="44" t="s">
        <v>481</v>
      </c>
      <c r="D2430" s="45">
        <v>15.97</v>
      </c>
      <c r="E2430" s="48" t="s">
        <v>89</v>
      </c>
      <c r="F2430" s="48" t="s">
        <v>90</v>
      </c>
      <c r="G2430" s="48" t="s">
        <v>91</v>
      </c>
      <c r="J2430" s="44">
        <f>YEAR(A2430)</f>
        <v>2023</v>
      </c>
    </row>
    <row r="2431" spans="1:10" ht="12" customHeight="1" x14ac:dyDescent="0.25">
      <c r="A2431" s="43">
        <v>45248</v>
      </c>
      <c r="B2431" s="47">
        <v>16038</v>
      </c>
      <c r="C2431" s="44" t="s">
        <v>481</v>
      </c>
      <c r="D2431" s="45">
        <v>-15.97</v>
      </c>
      <c r="E2431" s="48" t="s">
        <v>299</v>
      </c>
      <c r="F2431" s="48" t="s">
        <v>90</v>
      </c>
      <c r="G2431" s="48" t="s">
        <v>305</v>
      </c>
      <c r="I2431" s="44" t="s">
        <v>1018</v>
      </c>
      <c r="J2431" s="44">
        <f>YEAR(A2431)</f>
        <v>2023</v>
      </c>
    </row>
    <row r="2432" spans="1:10" ht="12" customHeight="1" x14ac:dyDescent="0.25">
      <c r="A2432" s="43">
        <v>45248</v>
      </c>
      <c r="B2432" s="47">
        <v>16039</v>
      </c>
      <c r="C2432" s="44" t="s">
        <v>446</v>
      </c>
      <c r="D2432" s="45">
        <v>87.38</v>
      </c>
      <c r="E2432" s="48" t="s">
        <v>89</v>
      </c>
      <c r="F2432" s="48" t="s">
        <v>90</v>
      </c>
      <c r="G2432" s="48" t="s">
        <v>91</v>
      </c>
      <c r="J2432" s="44">
        <f>YEAR(A2432)</f>
        <v>2023</v>
      </c>
    </row>
    <row r="2433" spans="1:10" ht="12" customHeight="1" x14ac:dyDescent="0.25">
      <c r="A2433" s="43">
        <v>45248</v>
      </c>
      <c r="B2433" s="47">
        <v>16039</v>
      </c>
      <c r="C2433" s="44" t="s">
        <v>446</v>
      </c>
      <c r="D2433" s="45">
        <v>-87.38</v>
      </c>
      <c r="E2433" s="48" t="s">
        <v>299</v>
      </c>
      <c r="F2433" s="48" t="s">
        <v>90</v>
      </c>
      <c r="G2433" s="48" t="s">
        <v>305</v>
      </c>
      <c r="I2433" s="44" t="s">
        <v>1018</v>
      </c>
      <c r="J2433" s="44">
        <f>YEAR(A2433)</f>
        <v>2023</v>
      </c>
    </row>
    <row r="2434" spans="1:10" ht="12" customHeight="1" x14ac:dyDescent="0.25">
      <c r="A2434" s="43">
        <v>45251</v>
      </c>
      <c r="B2434" s="47">
        <v>16040</v>
      </c>
      <c r="C2434" s="44" t="s">
        <v>959</v>
      </c>
      <c r="D2434" s="45">
        <v>-556</v>
      </c>
      <c r="E2434" s="48" t="s">
        <v>244</v>
      </c>
      <c r="F2434" s="48" t="s">
        <v>90</v>
      </c>
      <c r="G2434" s="48" t="s">
        <v>115</v>
      </c>
      <c r="J2434" s="44">
        <f>YEAR(A2434)</f>
        <v>2023</v>
      </c>
    </row>
    <row r="2435" spans="1:10" ht="12" customHeight="1" x14ac:dyDescent="0.25">
      <c r="A2435" s="43">
        <v>45251</v>
      </c>
      <c r="B2435" s="47">
        <v>16040</v>
      </c>
      <c r="C2435" s="44" t="s">
        <v>1072</v>
      </c>
      <c r="D2435" s="45">
        <v>556</v>
      </c>
      <c r="E2435" s="48" t="s">
        <v>299</v>
      </c>
      <c r="F2435" s="48" t="s">
        <v>307</v>
      </c>
      <c r="G2435" s="48" t="s">
        <v>91</v>
      </c>
      <c r="J2435" s="44">
        <f>YEAR(A2435)</f>
        <v>2023</v>
      </c>
    </row>
    <row r="2436" spans="1:10" ht="12" customHeight="1" x14ac:dyDescent="0.25">
      <c r="A2436" s="43">
        <v>45250</v>
      </c>
      <c r="B2436" s="47">
        <v>16041</v>
      </c>
      <c r="C2436" s="44" t="s">
        <v>455</v>
      </c>
      <c r="D2436" s="45">
        <v>81.430000000000007</v>
      </c>
      <c r="E2436" s="48" t="s">
        <v>180</v>
      </c>
      <c r="F2436" s="48" t="s">
        <v>96</v>
      </c>
      <c r="G2436" s="48" t="s">
        <v>187</v>
      </c>
      <c r="J2436" s="44">
        <f>YEAR(A2436)</f>
        <v>2023</v>
      </c>
    </row>
    <row r="2437" spans="1:10" ht="12" customHeight="1" x14ac:dyDescent="0.25">
      <c r="A2437" s="43">
        <v>45250</v>
      </c>
      <c r="B2437" s="47">
        <v>16041</v>
      </c>
      <c r="C2437" s="44" t="s">
        <v>455</v>
      </c>
      <c r="D2437" s="45">
        <v>-81.430000000000007</v>
      </c>
      <c r="E2437" s="48" t="s">
        <v>299</v>
      </c>
      <c r="F2437" s="48" t="s">
        <v>90</v>
      </c>
      <c r="G2437" s="48" t="s">
        <v>305</v>
      </c>
      <c r="I2437" s="44" t="s">
        <v>1018</v>
      </c>
      <c r="J2437" s="44">
        <f>YEAR(A2437)</f>
        <v>2023</v>
      </c>
    </row>
    <row r="2438" spans="1:10" ht="12" customHeight="1" x14ac:dyDescent="0.25">
      <c r="A2438" s="43">
        <v>45250</v>
      </c>
      <c r="B2438" s="47">
        <v>16042</v>
      </c>
      <c r="C2438" s="44" t="s">
        <v>455</v>
      </c>
      <c r="D2438" s="45">
        <v>27.78</v>
      </c>
      <c r="E2438" s="48" t="s">
        <v>89</v>
      </c>
      <c r="F2438" s="48" t="s">
        <v>90</v>
      </c>
      <c r="G2438" s="48" t="s">
        <v>91</v>
      </c>
      <c r="J2438" s="44">
        <f>YEAR(A2438)</f>
        <v>2023</v>
      </c>
    </row>
    <row r="2439" spans="1:10" ht="12" customHeight="1" x14ac:dyDescent="0.25">
      <c r="A2439" s="43">
        <v>45250</v>
      </c>
      <c r="B2439" s="47">
        <v>16042</v>
      </c>
      <c r="C2439" s="44" t="s">
        <v>455</v>
      </c>
      <c r="D2439" s="45">
        <v>-62.43</v>
      </c>
      <c r="E2439" s="48" t="s">
        <v>299</v>
      </c>
      <c r="F2439" s="48" t="s">
        <v>90</v>
      </c>
      <c r="G2439" s="48" t="s">
        <v>305</v>
      </c>
      <c r="I2439" s="44" t="s">
        <v>1018</v>
      </c>
      <c r="J2439" s="44">
        <f>YEAR(A2439)</f>
        <v>2023</v>
      </c>
    </row>
    <row r="2440" spans="1:10" ht="12" customHeight="1" x14ac:dyDescent="0.25">
      <c r="A2440" s="43">
        <v>45250</v>
      </c>
      <c r="B2440" s="47">
        <v>16042</v>
      </c>
      <c r="C2440" s="44" t="s">
        <v>455</v>
      </c>
      <c r="D2440" s="45">
        <v>20.89</v>
      </c>
      <c r="E2440" s="48" t="s">
        <v>157</v>
      </c>
      <c r="F2440" s="48" t="s">
        <v>96</v>
      </c>
      <c r="G2440" s="48" t="s">
        <v>91</v>
      </c>
      <c r="J2440" s="44">
        <f>YEAR(A2440)</f>
        <v>2023</v>
      </c>
    </row>
    <row r="2441" spans="1:10" ht="12" customHeight="1" x14ac:dyDescent="0.25">
      <c r="A2441" s="43">
        <v>45250</v>
      </c>
      <c r="B2441" s="47">
        <v>16042</v>
      </c>
      <c r="C2441" s="44" t="s">
        <v>455</v>
      </c>
      <c r="D2441" s="45">
        <v>13.76</v>
      </c>
      <c r="E2441" s="48" t="s">
        <v>197</v>
      </c>
      <c r="F2441" s="48" t="s">
        <v>96</v>
      </c>
      <c r="G2441" s="48" t="s">
        <v>91</v>
      </c>
      <c r="J2441" s="44">
        <f>YEAR(A2441)</f>
        <v>2023</v>
      </c>
    </row>
    <row r="2442" spans="1:10" ht="12" customHeight="1" x14ac:dyDescent="0.25">
      <c r="A2442" s="43">
        <v>45251</v>
      </c>
      <c r="B2442" s="47">
        <v>16043</v>
      </c>
      <c r="C2442" s="44" t="s">
        <v>568</v>
      </c>
      <c r="D2442" s="45">
        <v>41.88</v>
      </c>
      <c r="E2442" s="48" t="s">
        <v>89</v>
      </c>
      <c r="F2442" s="48" t="s">
        <v>90</v>
      </c>
      <c r="G2442" s="48" t="s">
        <v>91</v>
      </c>
      <c r="J2442" s="44">
        <f>YEAR(A2442)</f>
        <v>2023</v>
      </c>
    </row>
    <row r="2443" spans="1:10" ht="12" customHeight="1" x14ac:dyDescent="0.25">
      <c r="A2443" s="43">
        <v>45251</v>
      </c>
      <c r="B2443" s="47">
        <v>16043</v>
      </c>
      <c r="C2443" s="44" t="s">
        <v>568</v>
      </c>
      <c r="D2443" s="45">
        <v>-41.88</v>
      </c>
      <c r="E2443" s="48" t="s">
        <v>299</v>
      </c>
      <c r="F2443" s="48" t="s">
        <v>90</v>
      </c>
      <c r="G2443" s="48" t="s">
        <v>305</v>
      </c>
      <c r="I2443" s="44" t="s">
        <v>1018</v>
      </c>
      <c r="J2443" s="44">
        <f>YEAR(A2443)</f>
        <v>2023</v>
      </c>
    </row>
    <row r="2444" spans="1:10" ht="12" customHeight="1" x14ac:dyDescent="0.25">
      <c r="A2444" s="43">
        <v>45251</v>
      </c>
      <c r="B2444" s="47">
        <v>16044</v>
      </c>
      <c r="C2444" s="44" t="s">
        <v>453</v>
      </c>
      <c r="D2444" s="45">
        <v>7.9</v>
      </c>
      <c r="E2444" s="48" t="s">
        <v>89</v>
      </c>
      <c r="F2444" s="48" t="s">
        <v>90</v>
      </c>
      <c r="G2444" s="48" t="s">
        <v>91</v>
      </c>
      <c r="J2444" s="44">
        <f>YEAR(A2444)</f>
        <v>2023</v>
      </c>
    </row>
    <row r="2445" spans="1:10" ht="12" customHeight="1" x14ac:dyDescent="0.25">
      <c r="A2445" s="43">
        <v>45251</v>
      </c>
      <c r="B2445" s="47">
        <v>16044</v>
      </c>
      <c r="C2445" s="44" t="s">
        <v>453</v>
      </c>
      <c r="D2445" s="45">
        <v>-7.9</v>
      </c>
      <c r="E2445" s="48" t="s">
        <v>299</v>
      </c>
      <c r="F2445" s="48" t="s">
        <v>90</v>
      </c>
      <c r="G2445" s="48" t="s">
        <v>305</v>
      </c>
      <c r="I2445" s="44" t="s">
        <v>1018</v>
      </c>
      <c r="J2445" s="44">
        <f>YEAR(A2445)</f>
        <v>2023</v>
      </c>
    </row>
    <row r="2446" spans="1:10" ht="12" customHeight="1" x14ac:dyDescent="0.25">
      <c r="A2446" s="43">
        <v>45251</v>
      </c>
      <c r="B2446" s="47">
        <v>16045</v>
      </c>
      <c r="C2446" s="44" t="s">
        <v>458</v>
      </c>
      <c r="D2446" s="45">
        <v>10.4</v>
      </c>
      <c r="E2446" s="48" t="s">
        <v>89</v>
      </c>
      <c r="F2446" s="48" t="s">
        <v>90</v>
      </c>
      <c r="G2446" s="48" t="s">
        <v>91</v>
      </c>
      <c r="J2446" s="44">
        <f>YEAR(A2446)</f>
        <v>2023</v>
      </c>
    </row>
    <row r="2447" spans="1:10" ht="12" customHeight="1" x14ac:dyDescent="0.25">
      <c r="A2447" s="43">
        <v>45251</v>
      </c>
      <c r="B2447" s="47">
        <v>16045</v>
      </c>
      <c r="C2447" s="44" t="s">
        <v>458</v>
      </c>
      <c r="D2447" s="45">
        <v>-10.4</v>
      </c>
      <c r="E2447" s="48" t="s">
        <v>299</v>
      </c>
      <c r="F2447" s="48" t="s">
        <v>90</v>
      </c>
      <c r="G2447" s="48" t="s">
        <v>305</v>
      </c>
      <c r="I2447" s="44" t="s">
        <v>1018</v>
      </c>
      <c r="J2447" s="44">
        <f>YEAR(A2447)</f>
        <v>2023</v>
      </c>
    </row>
    <row r="2448" spans="1:10" ht="12" customHeight="1" x14ac:dyDescent="0.25">
      <c r="A2448" s="43">
        <v>45251</v>
      </c>
      <c r="B2448" s="47">
        <v>16046</v>
      </c>
      <c r="C2448" s="44" t="s">
        <v>475</v>
      </c>
      <c r="D2448" s="45">
        <v>23.16</v>
      </c>
      <c r="E2448" s="48" t="s">
        <v>89</v>
      </c>
      <c r="F2448" s="48" t="s">
        <v>90</v>
      </c>
      <c r="G2448" s="48" t="s">
        <v>91</v>
      </c>
      <c r="J2448" s="44">
        <f>YEAR(A2448)</f>
        <v>2023</v>
      </c>
    </row>
    <row r="2449" spans="1:10" ht="12" customHeight="1" x14ac:dyDescent="0.25">
      <c r="A2449" s="43">
        <v>45251</v>
      </c>
      <c r="B2449" s="47">
        <v>16046</v>
      </c>
      <c r="C2449" s="44" t="s">
        <v>475</v>
      </c>
      <c r="D2449" s="45">
        <v>-23.16</v>
      </c>
      <c r="E2449" s="48" t="s">
        <v>299</v>
      </c>
      <c r="F2449" s="48" t="s">
        <v>90</v>
      </c>
      <c r="G2449" s="48" t="s">
        <v>305</v>
      </c>
      <c r="I2449" s="44" t="s">
        <v>1018</v>
      </c>
      <c r="J2449" s="44">
        <f>YEAR(A2449)</f>
        <v>2023</v>
      </c>
    </row>
    <row r="2450" spans="1:10" ht="12" customHeight="1" x14ac:dyDescent="0.25">
      <c r="A2450" s="43">
        <v>45251</v>
      </c>
      <c r="B2450" s="47">
        <v>16047</v>
      </c>
      <c r="C2450" s="44" t="s">
        <v>989</v>
      </c>
      <c r="D2450" s="45">
        <v>5.68</v>
      </c>
      <c r="E2450" s="48" t="s">
        <v>89</v>
      </c>
      <c r="F2450" s="48" t="s">
        <v>90</v>
      </c>
      <c r="G2450" s="48" t="s">
        <v>91</v>
      </c>
      <c r="J2450" s="44">
        <f>YEAR(A2450)</f>
        <v>2023</v>
      </c>
    </row>
    <row r="2451" spans="1:10" ht="12" customHeight="1" x14ac:dyDescent="0.25">
      <c r="A2451" s="43">
        <v>45251</v>
      </c>
      <c r="B2451" s="47">
        <v>16047</v>
      </c>
      <c r="C2451" s="44" t="s">
        <v>989</v>
      </c>
      <c r="D2451" s="45">
        <v>-5.68</v>
      </c>
      <c r="E2451" s="48" t="s">
        <v>299</v>
      </c>
      <c r="F2451" s="48" t="s">
        <v>90</v>
      </c>
      <c r="G2451" s="48" t="s">
        <v>305</v>
      </c>
      <c r="I2451" s="44" t="s">
        <v>1018</v>
      </c>
      <c r="J2451" s="44">
        <f>YEAR(A2451)</f>
        <v>2023</v>
      </c>
    </row>
    <row r="2452" spans="1:10" ht="12" customHeight="1" x14ac:dyDescent="0.25">
      <c r="A2452" s="43">
        <v>45251</v>
      </c>
      <c r="B2452" s="47">
        <v>16048</v>
      </c>
      <c r="C2452" s="44" t="s">
        <v>446</v>
      </c>
      <c r="D2452" s="45">
        <v>12.87</v>
      </c>
      <c r="E2452" s="48" t="s">
        <v>89</v>
      </c>
      <c r="F2452" s="48" t="s">
        <v>90</v>
      </c>
      <c r="G2452" s="48" t="s">
        <v>91</v>
      </c>
      <c r="J2452" s="44">
        <f>YEAR(A2452)</f>
        <v>2023</v>
      </c>
    </row>
    <row r="2453" spans="1:10" ht="12" customHeight="1" x14ac:dyDescent="0.25">
      <c r="A2453" s="43">
        <v>45251</v>
      </c>
      <c r="B2453" s="47">
        <v>16048</v>
      </c>
      <c r="C2453" s="44" t="s">
        <v>446</v>
      </c>
      <c r="D2453" s="45">
        <v>-12.87</v>
      </c>
      <c r="E2453" s="48" t="s">
        <v>299</v>
      </c>
      <c r="F2453" s="48" t="s">
        <v>90</v>
      </c>
      <c r="G2453" s="48" t="s">
        <v>305</v>
      </c>
      <c r="I2453" s="44" t="s">
        <v>1018</v>
      </c>
      <c r="J2453" s="44">
        <f>YEAR(A2453)</f>
        <v>2023</v>
      </c>
    </row>
    <row r="2454" spans="1:10" ht="12" customHeight="1" x14ac:dyDescent="0.25">
      <c r="A2454" s="43">
        <v>45251</v>
      </c>
      <c r="B2454" s="47">
        <v>16049</v>
      </c>
      <c r="C2454" s="44" t="s">
        <v>464</v>
      </c>
      <c r="D2454" s="45">
        <v>31.76</v>
      </c>
      <c r="E2454" s="48" t="s">
        <v>89</v>
      </c>
      <c r="F2454" s="48" t="s">
        <v>90</v>
      </c>
      <c r="G2454" s="48" t="s">
        <v>91</v>
      </c>
      <c r="J2454" s="44">
        <f>YEAR(A2454)</f>
        <v>2023</v>
      </c>
    </row>
    <row r="2455" spans="1:10" ht="12" customHeight="1" x14ac:dyDescent="0.25">
      <c r="A2455" s="43">
        <v>45251</v>
      </c>
      <c r="B2455" s="47">
        <v>16049</v>
      </c>
      <c r="C2455" s="44" t="s">
        <v>464</v>
      </c>
      <c r="D2455" s="45">
        <v>-31.76</v>
      </c>
      <c r="E2455" s="48" t="s">
        <v>299</v>
      </c>
      <c r="F2455" s="48" t="s">
        <v>90</v>
      </c>
      <c r="G2455" s="48" t="s">
        <v>305</v>
      </c>
      <c r="I2455" s="44" t="s">
        <v>1018</v>
      </c>
      <c r="J2455" s="44">
        <f>YEAR(A2455)</f>
        <v>2023</v>
      </c>
    </row>
    <row r="2456" spans="1:10" ht="12" customHeight="1" x14ac:dyDescent="0.25">
      <c r="A2456" s="43">
        <v>45251</v>
      </c>
      <c r="B2456" s="47">
        <v>16050</v>
      </c>
      <c r="C2456" s="44" t="s">
        <v>458</v>
      </c>
      <c r="D2456" s="45">
        <v>6.4</v>
      </c>
      <c r="E2456" s="48" t="s">
        <v>89</v>
      </c>
      <c r="F2456" s="48" t="s">
        <v>90</v>
      </c>
      <c r="G2456" s="48" t="s">
        <v>91</v>
      </c>
      <c r="J2456" s="44">
        <f>YEAR(A2456)</f>
        <v>2023</v>
      </c>
    </row>
    <row r="2457" spans="1:10" ht="12" customHeight="1" x14ac:dyDescent="0.25">
      <c r="A2457" s="43">
        <v>45251</v>
      </c>
      <c r="B2457" s="47">
        <v>16050</v>
      </c>
      <c r="C2457" s="44" t="s">
        <v>458</v>
      </c>
      <c r="D2457" s="45">
        <v>-6.4</v>
      </c>
      <c r="E2457" s="48" t="s">
        <v>299</v>
      </c>
      <c r="F2457" s="48" t="s">
        <v>90</v>
      </c>
      <c r="G2457" s="48" t="s">
        <v>305</v>
      </c>
      <c r="I2457" s="44" t="s">
        <v>1018</v>
      </c>
      <c r="J2457" s="44">
        <f>YEAR(A2457)</f>
        <v>2023</v>
      </c>
    </row>
    <row r="2458" spans="1:10" ht="12" customHeight="1" x14ac:dyDescent="0.25">
      <c r="A2458" s="43">
        <v>45251</v>
      </c>
      <c r="B2458" s="47">
        <v>16051</v>
      </c>
      <c r="C2458" s="44" t="s">
        <v>453</v>
      </c>
      <c r="D2458" s="45">
        <v>24.7</v>
      </c>
      <c r="E2458" s="48" t="s">
        <v>89</v>
      </c>
      <c r="F2458" s="48" t="s">
        <v>90</v>
      </c>
      <c r="G2458" s="48" t="s">
        <v>91</v>
      </c>
      <c r="J2458" s="44">
        <f>YEAR(A2458)</f>
        <v>2023</v>
      </c>
    </row>
    <row r="2459" spans="1:10" ht="12" customHeight="1" x14ac:dyDescent="0.25">
      <c r="A2459" s="43">
        <v>45251</v>
      </c>
      <c r="B2459" s="47">
        <v>16051</v>
      </c>
      <c r="C2459" s="44" t="s">
        <v>453</v>
      </c>
      <c r="D2459" s="45">
        <v>-24.7</v>
      </c>
      <c r="E2459" s="48" t="s">
        <v>299</v>
      </c>
      <c r="F2459" s="48" t="s">
        <v>90</v>
      </c>
      <c r="G2459" s="48" t="s">
        <v>305</v>
      </c>
      <c r="I2459" s="44" t="s">
        <v>1018</v>
      </c>
      <c r="J2459" s="44">
        <f>YEAR(A2459)</f>
        <v>2023</v>
      </c>
    </row>
    <row r="2460" spans="1:10" ht="12" customHeight="1" x14ac:dyDescent="0.25">
      <c r="A2460" s="43">
        <v>45253</v>
      </c>
      <c r="B2460" s="47">
        <v>16052</v>
      </c>
      <c r="C2460" s="44" t="s">
        <v>997</v>
      </c>
      <c r="D2460" s="45">
        <v>-1173.73</v>
      </c>
      <c r="E2460" s="48" t="s">
        <v>299</v>
      </c>
      <c r="F2460" s="48" t="s">
        <v>90</v>
      </c>
      <c r="G2460" s="48" t="s">
        <v>91</v>
      </c>
      <c r="H2460" s="44" t="s">
        <v>402</v>
      </c>
      <c r="I2460" s="44" t="s">
        <v>1021</v>
      </c>
      <c r="J2460" s="44">
        <f>YEAR(A2460)</f>
        <v>2023</v>
      </c>
    </row>
    <row r="2461" spans="1:10" ht="12" customHeight="1" x14ac:dyDescent="0.25">
      <c r="A2461" s="43">
        <v>45138</v>
      </c>
      <c r="B2461" s="47">
        <v>16052</v>
      </c>
      <c r="C2461" s="44" t="s">
        <v>990</v>
      </c>
      <c r="D2461" s="45">
        <v>14.5</v>
      </c>
      <c r="E2461" s="48" t="s">
        <v>139</v>
      </c>
      <c r="F2461" s="48" t="s">
        <v>128</v>
      </c>
      <c r="G2461" s="48" t="s">
        <v>91</v>
      </c>
      <c r="J2461" s="44">
        <f>YEAR(A2461)</f>
        <v>2023</v>
      </c>
    </row>
    <row r="2462" spans="1:10" ht="12" customHeight="1" x14ac:dyDescent="0.25">
      <c r="A2462" s="43">
        <v>45165</v>
      </c>
      <c r="B2462" s="47">
        <v>16052</v>
      </c>
      <c r="C2462" s="44" t="s">
        <v>991</v>
      </c>
      <c r="D2462" s="45">
        <v>40</v>
      </c>
      <c r="E2462" s="48" t="s">
        <v>197</v>
      </c>
      <c r="F2462" s="48" t="s">
        <v>90</v>
      </c>
      <c r="G2462" s="48" t="s">
        <v>91</v>
      </c>
      <c r="J2462" s="44">
        <f>YEAR(A2462)</f>
        <v>2023</v>
      </c>
    </row>
    <row r="2463" spans="1:10" ht="12" customHeight="1" x14ac:dyDescent="0.25">
      <c r="A2463" s="43">
        <v>45165</v>
      </c>
      <c r="B2463" s="47">
        <v>16052</v>
      </c>
      <c r="C2463" s="44" t="s">
        <v>991</v>
      </c>
      <c r="D2463" s="45">
        <v>30</v>
      </c>
      <c r="E2463" s="48" t="s">
        <v>145</v>
      </c>
      <c r="F2463" s="48" t="s">
        <v>135</v>
      </c>
      <c r="G2463" s="48" t="s">
        <v>91</v>
      </c>
      <c r="J2463" s="44">
        <f>YEAR(A2463)</f>
        <v>2023</v>
      </c>
    </row>
    <row r="2464" spans="1:10" ht="12" customHeight="1" x14ac:dyDescent="0.25">
      <c r="A2464" s="43">
        <v>45165</v>
      </c>
      <c r="B2464" s="47">
        <v>16052</v>
      </c>
      <c r="C2464" s="44" t="s">
        <v>991</v>
      </c>
      <c r="D2464" s="45">
        <v>60</v>
      </c>
      <c r="E2464" s="48" t="s">
        <v>180</v>
      </c>
      <c r="F2464" s="48" t="s">
        <v>90</v>
      </c>
      <c r="G2464" s="48" t="s">
        <v>91</v>
      </c>
      <c r="J2464" s="44">
        <f>YEAR(A2464)</f>
        <v>2023</v>
      </c>
    </row>
    <row r="2465" spans="1:11" ht="12" customHeight="1" x14ac:dyDescent="0.25">
      <c r="A2465" s="43">
        <v>45172</v>
      </c>
      <c r="B2465" s="47">
        <v>16052</v>
      </c>
      <c r="C2465" s="44" t="s">
        <v>553</v>
      </c>
      <c r="D2465" s="45">
        <v>200</v>
      </c>
      <c r="E2465" s="48" t="s">
        <v>145</v>
      </c>
      <c r="F2465" s="48" t="s">
        <v>116</v>
      </c>
      <c r="G2465" s="48" t="s">
        <v>93</v>
      </c>
      <c r="J2465" s="44">
        <f>YEAR(A2465)</f>
        <v>2023</v>
      </c>
    </row>
    <row r="2466" spans="1:11" ht="12" customHeight="1" x14ac:dyDescent="0.25">
      <c r="A2466" s="43">
        <v>45185</v>
      </c>
      <c r="B2466" s="47">
        <v>16052</v>
      </c>
      <c r="C2466" s="44" t="s">
        <v>992</v>
      </c>
      <c r="D2466" s="45">
        <v>81.459999999999994</v>
      </c>
      <c r="E2466" s="48" t="s">
        <v>89</v>
      </c>
      <c r="F2466" s="48" t="s">
        <v>90</v>
      </c>
      <c r="G2466" s="48" t="s">
        <v>91</v>
      </c>
      <c r="J2466" s="44">
        <f>YEAR(A2466)</f>
        <v>2023</v>
      </c>
    </row>
    <row r="2467" spans="1:11" ht="12" customHeight="1" x14ac:dyDescent="0.25">
      <c r="A2467" s="43">
        <v>45207</v>
      </c>
      <c r="B2467" s="47">
        <v>16052</v>
      </c>
      <c r="C2467" s="44" t="s">
        <v>993</v>
      </c>
      <c r="D2467" s="45">
        <v>14.9</v>
      </c>
      <c r="E2467" s="48" t="s">
        <v>145</v>
      </c>
      <c r="F2467" s="48" t="s">
        <v>116</v>
      </c>
      <c r="G2467" s="48" t="s">
        <v>98</v>
      </c>
      <c r="J2467" s="44">
        <f>YEAR(A2467)</f>
        <v>2023</v>
      </c>
    </row>
    <row r="2468" spans="1:11" ht="12" customHeight="1" x14ac:dyDescent="0.25">
      <c r="A2468" s="43">
        <v>45207</v>
      </c>
      <c r="B2468" s="47">
        <v>16052</v>
      </c>
      <c r="C2468" s="44" t="s">
        <v>993</v>
      </c>
      <c r="D2468" s="45">
        <v>14.9</v>
      </c>
      <c r="E2468" s="48" t="s">
        <v>157</v>
      </c>
      <c r="F2468" s="48" t="s">
        <v>96</v>
      </c>
      <c r="G2468" s="48" t="s">
        <v>91</v>
      </c>
      <c r="J2468" s="44">
        <f>YEAR(A2468)</f>
        <v>2023</v>
      </c>
    </row>
    <row r="2469" spans="1:11" ht="12" customHeight="1" x14ac:dyDescent="0.25">
      <c r="A2469" s="43">
        <v>45208</v>
      </c>
      <c r="B2469" s="47">
        <v>16052</v>
      </c>
      <c r="C2469" s="44" t="s">
        <v>994</v>
      </c>
      <c r="D2469" s="45">
        <v>367.5</v>
      </c>
      <c r="E2469" s="48" t="s">
        <v>157</v>
      </c>
      <c r="F2469" s="48" t="s">
        <v>96</v>
      </c>
      <c r="G2469" s="48" t="s">
        <v>91</v>
      </c>
      <c r="J2469" s="44">
        <f>YEAR(A2469)</f>
        <v>2023</v>
      </c>
    </row>
    <row r="2470" spans="1:11" ht="12" customHeight="1" x14ac:dyDescent="0.25">
      <c r="A2470" s="43">
        <v>45055</v>
      </c>
      <c r="B2470" s="47">
        <v>16052</v>
      </c>
      <c r="C2470" s="44" t="s">
        <v>995</v>
      </c>
      <c r="D2470" s="45">
        <v>80.48</v>
      </c>
      <c r="E2470" s="48" t="s">
        <v>105</v>
      </c>
      <c r="F2470" s="48" t="s">
        <v>90</v>
      </c>
      <c r="G2470" s="48" t="s">
        <v>93</v>
      </c>
      <c r="J2470" s="44">
        <f>YEAR(A2470)</f>
        <v>2023</v>
      </c>
    </row>
    <row r="2471" spans="1:11" ht="12" customHeight="1" x14ac:dyDescent="0.25">
      <c r="A2471" s="43">
        <v>45056</v>
      </c>
      <c r="B2471" s="47">
        <v>16052</v>
      </c>
      <c r="C2471" s="44" t="s">
        <v>647</v>
      </c>
      <c r="D2471" s="45">
        <v>75</v>
      </c>
      <c r="E2471" s="48" t="s">
        <v>197</v>
      </c>
      <c r="F2471" s="48" t="s">
        <v>90</v>
      </c>
      <c r="G2471" s="48" t="s">
        <v>99</v>
      </c>
      <c r="J2471" s="44">
        <f>YEAR(A2471)</f>
        <v>2023</v>
      </c>
    </row>
    <row r="2472" spans="1:11" ht="12" customHeight="1" x14ac:dyDescent="0.25">
      <c r="A2472" s="43">
        <v>45128</v>
      </c>
      <c r="B2472" s="47">
        <v>16052</v>
      </c>
      <c r="C2472" s="44" t="s">
        <v>204</v>
      </c>
      <c r="D2472" s="45">
        <v>94.99</v>
      </c>
      <c r="E2472" s="48" t="s">
        <v>145</v>
      </c>
      <c r="F2472" s="48" t="s">
        <v>116</v>
      </c>
      <c r="G2472" s="48" t="s">
        <v>91</v>
      </c>
      <c r="J2472" s="44">
        <f>YEAR(A2472)</f>
        <v>2023</v>
      </c>
    </row>
    <row r="2473" spans="1:11" ht="12" customHeight="1" x14ac:dyDescent="0.25">
      <c r="A2473" s="43">
        <v>45237</v>
      </c>
      <c r="B2473" s="47">
        <v>16052</v>
      </c>
      <c r="C2473" s="44" t="s">
        <v>969</v>
      </c>
      <c r="D2473" s="45">
        <v>100</v>
      </c>
      <c r="E2473" s="48" t="s">
        <v>89</v>
      </c>
      <c r="F2473" s="48" t="s">
        <v>96</v>
      </c>
      <c r="G2473" s="48" t="s">
        <v>91</v>
      </c>
      <c r="J2473" s="44">
        <f>YEAR(A2473)</f>
        <v>2023</v>
      </c>
      <c r="K2473" s="49" t="s">
        <v>996</v>
      </c>
    </row>
    <row r="2474" spans="1:11" ht="12" customHeight="1" x14ac:dyDescent="0.25">
      <c r="A2474" s="43">
        <v>45253</v>
      </c>
      <c r="B2474" s="47">
        <v>16053</v>
      </c>
      <c r="C2474" s="44" t="s">
        <v>998</v>
      </c>
      <c r="D2474" s="45">
        <v>67.430000000000007</v>
      </c>
      <c r="E2474" s="48" t="s">
        <v>105</v>
      </c>
      <c r="F2474" s="48" t="s">
        <v>90</v>
      </c>
      <c r="G2474" s="48" t="s">
        <v>91</v>
      </c>
      <c r="J2474" s="44">
        <f>YEAR(A2474)</f>
        <v>2023</v>
      </c>
    </row>
    <row r="2475" spans="1:11" ht="12" customHeight="1" x14ac:dyDescent="0.25">
      <c r="A2475" s="43">
        <v>45253</v>
      </c>
      <c r="B2475" s="47">
        <v>16053</v>
      </c>
      <c r="C2475" s="44" t="s">
        <v>998</v>
      </c>
      <c r="D2475" s="45">
        <v>-67.430000000000007</v>
      </c>
      <c r="E2475" s="48" t="s">
        <v>299</v>
      </c>
      <c r="F2475" s="48" t="s">
        <v>90</v>
      </c>
      <c r="G2475" s="48" t="s">
        <v>305</v>
      </c>
      <c r="I2475" s="44" t="s">
        <v>1018</v>
      </c>
      <c r="J2475" s="44">
        <f>YEAR(A2475)</f>
        <v>2023</v>
      </c>
    </row>
    <row r="2476" spans="1:11" ht="12" customHeight="1" x14ac:dyDescent="0.25">
      <c r="A2476" s="43">
        <v>45253</v>
      </c>
      <c r="B2476" s="47">
        <v>16054</v>
      </c>
      <c r="C2476" s="44" t="s">
        <v>999</v>
      </c>
      <c r="D2476" s="45">
        <v>-180</v>
      </c>
      <c r="E2476" s="48" t="s">
        <v>299</v>
      </c>
      <c r="F2476" s="48" t="s">
        <v>90</v>
      </c>
      <c r="G2476" s="48" t="s">
        <v>91</v>
      </c>
      <c r="H2476" s="44">
        <v>4085</v>
      </c>
      <c r="I2476" s="44" t="s">
        <v>1067</v>
      </c>
      <c r="J2476" s="44">
        <f>YEAR(A2476)</f>
        <v>2023</v>
      </c>
    </row>
    <row r="2477" spans="1:11" ht="12" customHeight="1" x14ac:dyDescent="0.25">
      <c r="A2477" s="43">
        <v>45253</v>
      </c>
      <c r="B2477" s="47">
        <v>16054</v>
      </c>
      <c r="C2477" s="44" t="s">
        <v>999</v>
      </c>
      <c r="D2477" s="45">
        <v>180</v>
      </c>
      <c r="E2477" s="48" t="s">
        <v>89</v>
      </c>
      <c r="F2477" s="48" t="s">
        <v>90</v>
      </c>
      <c r="G2477" s="48" t="s">
        <v>91</v>
      </c>
      <c r="J2477" s="44">
        <f>YEAR(A2477)</f>
        <v>2023</v>
      </c>
    </row>
    <row r="2478" spans="1:11" ht="12" customHeight="1" x14ac:dyDescent="0.25">
      <c r="A2478" s="43">
        <v>45254</v>
      </c>
      <c r="B2478" s="47">
        <v>16055</v>
      </c>
      <c r="C2478" s="44" t="s">
        <v>1000</v>
      </c>
      <c r="D2478" s="45">
        <v>-174</v>
      </c>
      <c r="E2478" s="48" t="s">
        <v>299</v>
      </c>
      <c r="F2478" s="48" t="s">
        <v>90</v>
      </c>
      <c r="G2478" s="48" t="s">
        <v>91</v>
      </c>
      <c r="H2478" s="44">
        <v>4086</v>
      </c>
      <c r="I2478" s="44" t="s">
        <v>1067</v>
      </c>
      <c r="J2478" s="44">
        <f>YEAR(A2478)</f>
        <v>2023</v>
      </c>
    </row>
    <row r="2479" spans="1:11" ht="12" customHeight="1" x14ac:dyDescent="0.25">
      <c r="A2479" s="43">
        <v>45254</v>
      </c>
      <c r="B2479" s="47">
        <v>16055</v>
      </c>
      <c r="C2479" s="44" t="s">
        <v>1000</v>
      </c>
      <c r="D2479" s="45">
        <v>174</v>
      </c>
      <c r="E2479" s="48" t="s">
        <v>89</v>
      </c>
      <c r="F2479" s="48" t="s">
        <v>90</v>
      </c>
      <c r="G2479" s="48" t="s">
        <v>91</v>
      </c>
      <c r="J2479" s="44">
        <f>YEAR(A2479)</f>
        <v>2023</v>
      </c>
    </row>
    <row r="2480" spans="1:11" ht="12" customHeight="1" x14ac:dyDescent="0.25">
      <c r="A2480" s="43">
        <v>45253</v>
      </c>
      <c r="B2480" s="47">
        <v>16056</v>
      </c>
      <c r="C2480" s="44" t="s">
        <v>479</v>
      </c>
      <c r="D2480" s="45">
        <v>24.8</v>
      </c>
      <c r="E2480" s="48" t="s">
        <v>89</v>
      </c>
      <c r="F2480" s="48" t="s">
        <v>90</v>
      </c>
      <c r="G2480" s="48" t="s">
        <v>91</v>
      </c>
      <c r="J2480" s="44">
        <f>YEAR(A2480)</f>
        <v>2023</v>
      </c>
    </row>
    <row r="2481" spans="1:11" ht="12" customHeight="1" x14ac:dyDescent="0.25">
      <c r="A2481" s="43">
        <v>45253</v>
      </c>
      <c r="B2481" s="47">
        <v>16056</v>
      </c>
      <c r="C2481" s="44" t="s">
        <v>479</v>
      </c>
      <c r="D2481" s="45">
        <v>-24.8</v>
      </c>
      <c r="E2481" s="48" t="s">
        <v>299</v>
      </c>
      <c r="F2481" s="48" t="s">
        <v>90</v>
      </c>
      <c r="G2481" s="48" t="s">
        <v>305</v>
      </c>
      <c r="I2481" s="44" t="s">
        <v>1018</v>
      </c>
      <c r="J2481" s="44">
        <f>YEAR(A2481)</f>
        <v>2023</v>
      </c>
    </row>
    <row r="2482" spans="1:11" ht="12" customHeight="1" x14ac:dyDescent="0.25">
      <c r="A2482" s="43">
        <v>45253</v>
      </c>
      <c r="B2482" s="47">
        <v>16057</v>
      </c>
      <c r="C2482" s="44" t="s">
        <v>407</v>
      </c>
      <c r="D2482" s="45">
        <v>209.98</v>
      </c>
      <c r="E2482" s="48" t="s">
        <v>157</v>
      </c>
      <c r="F2482" s="48" t="s">
        <v>96</v>
      </c>
      <c r="G2482" s="48" t="s">
        <v>91</v>
      </c>
      <c r="J2482" s="44">
        <f>YEAR(A2482)</f>
        <v>2023</v>
      </c>
    </row>
    <row r="2483" spans="1:11" ht="12" customHeight="1" x14ac:dyDescent="0.25">
      <c r="A2483" s="43">
        <v>45253</v>
      </c>
      <c r="B2483" s="47">
        <v>16057</v>
      </c>
      <c r="C2483" s="44" t="s">
        <v>1019</v>
      </c>
      <c r="D2483" s="45">
        <v>-209.98</v>
      </c>
      <c r="E2483" s="48" t="s">
        <v>299</v>
      </c>
      <c r="F2483" s="48" t="s">
        <v>90</v>
      </c>
      <c r="G2483" s="48" t="s">
        <v>305</v>
      </c>
      <c r="I2483" s="44" t="s">
        <v>1018</v>
      </c>
      <c r="J2483" s="44">
        <f>YEAR(A2483)</f>
        <v>2023</v>
      </c>
    </row>
    <row r="2484" spans="1:11" ht="12" customHeight="1" x14ac:dyDescent="0.25">
      <c r="A2484" s="43">
        <v>45253</v>
      </c>
      <c r="B2484" s="47">
        <v>16058</v>
      </c>
      <c r="C2484" s="44" t="s">
        <v>561</v>
      </c>
      <c r="D2484" s="45">
        <v>24.95</v>
      </c>
      <c r="E2484" s="48" t="s">
        <v>157</v>
      </c>
      <c r="F2484" s="48" t="s">
        <v>96</v>
      </c>
      <c r="G2484" s="48" t="s">
        <v>93</v>
      </c>
      <c r="J2484" s="44">
        <f>YEAR(A2484)</f>
        <v>2023</v>
      </c>
    </row>
    <row r="2485" spans="1:11" ht="12" customHeight="1" x14ac:dyDescent="0.25">
      <c r="A2485" s="43">
        <v>45253</v>
      </c>
      <c r="B2485" s="47">
        <v>16058</v>
      </c>
      <c r="C2485" s="44" t="s">
        <v>561</v>
      </c>
      <c r="D2485" s="45">
        <v>-24.95</v>
      </c>
      <c r="E2485" s="48" t="s">
        <v>299</v>
      </c>
      <c r="F2485" s="48" t="s">
        <v>90</v>
      </c>
      <c r="G2485" s="48" t="s">
        <v>305</v>
      </c>
      <c r="I2485" s="44" t="s">
        <v>1018</v>
      </c>
      <c r="J2485" s="44">
        <f>YEAR(A2485)</f>
        <v>2023</v>
      </c>
    </row>
    <row r="2486" spans="1:11" ht="12" customHeight="1" x14ac:dyDescent="0.25">
      <c r="A2486" s="43">
        <v>45253</v>
      </c>
      <c r="B2486" s="47">
        <v>16059</v>
      </c>
      <c r="C2486" s="44" t="s">
        <v>204</v>
      </c>
      <c r="D2486" s="45">
        <v>29.94</v>
      </c>
      <c r="E2486" s="48" t="s">
        <v>145</v>
      </c>
      <c r="F2486" s="48" t="s">
        <v>116</v>
      </c>
      <c r="G2486" s="48" t="s">
        <v>91</v>
      </c>
      <c r="J2486" s="44">
        <f>YEAR(A2486)</f>
        <v>2023</v>
      </c>
      <c r="K2486" s="49" t="s">
        <v>1032</v>
      </c>
    </row>
    <row r="2487" spans="1:11" ht="12" customHeight="1" x14ac:dyDescent="0.25">
      <c r="A2487" s="43">
        <v>45253</v>
      </c>
      <c r="B2487" s="47">
        <v>16059</v>
      </c>
      <c r="C2487" s="44" t="s">
        <v>204</v>
      </c>
      <c r="D2487" s="45">
        <v>-29.94</v>
      </c>
      <c r="E2487" s="48" t="s">
        <v>294</v>
      </c>
      <c r="F2487" s="48" t="s">
        <v>90</v>
      </c>
      <c r="G2487" s="48" t="s">
        <v>91</v>
      </c>
      <c r="J2487" s="44">
        <f>YEAR(A2487)</f>
        <v>2023</v>
      </c>
      <c r="K2487" s="49" t="s">
        <v>1082</v>
      </c>
    </row>
    <row r="2488" spans="1:11" ht="12" customHeight="1" x14ac:dyDescent="0.25">
      <c r="A2488" s="43">
        <v>45254</v>
      </c>
      <c r="B2488" s="47">
        <v>16060</v>
      </c>
      <c r="C2488" s="44" t="s">
        <v>444</v>
      </c>
      <c r="D2488" s="45">
        <v>56.1</v>
      </c>
      <c r="E2488" s="48" t="s">
        <v>197</v>
      </c>
      <c r="F2488" s="48" t="s">
        <v>96</v>
      </c>
      <c r="G2488" s="48" t="s">
        <v>91</v>
      </c>
      <c r="J2488" s="44">
        <f>YEAR(A2488)</f>
        <v>2023</v>
      </c>
    </row>
    <row r="2489" spans="1:11" ht="12" customHeight="1" x14ac:dyDescent="0.25">
      <c r="A2489" s="43">
        <v>45254</v>
      </c>
      <c r="B2489" s="47">
        <v>16060</v>
      </c>
      <c r="C2489" s="44" t="s">
        <v>444</v>
      </c>
      <c r="D2489" s="45">
        <v>-56.1</v>
      </c>
      <c r="E2489" s="48" t="s">
        <v>299</v>
      </c>
      <c r="F2489" s="48" t="s">
        <v>90</v>
      </c>
      <c r="G2489" s="48" t="s">
        <v>305</v>
      </c>
      <c r="I2489" s="44" t="s">
        <v>1018</v>
      </c>
      <c r="J2489" s="44">
        <f>YEAR(A2489)</f>
        <v>2023</v>
      </c>
    </row>
    <row r="2490" spans="1:11" ht="12" customHeight="1" x14ac:dyDescent="0.25">
      <c r="A2490" s="43">
        <v>45254</v>
      </c>
      <c r="B2490" s="47">
        <v>16061</v>
      </c>
      <c r="C2490" s="44" t="s">
        <v>444</v>
      </c>
      <c r="D2490" s="45">
        <v>-118.26</v>
      </c>
      <c r="E2490" s="48" t="s">
        <v>299</v>
      </c>
      <c r="F2490" s="48" t="s">
        <v>90</v>
      </c>
      <c r="G2490" s="48" t="s">
        <v>91</v>
      </c>
      <c r="H2490" s="44" t="s">
        <v>459</v>
      </c>
      <c r="I2490" s="44" t="s">
        <v>1021</v>
      </c>
      <c r="J2490" s="44">
        <f>YEAR(A2490)</f>
        <v>2023</v>
      </c>
    </row>
    <row r="2491" spans="1:11" ht="12" customHeight="1" x14ac:dyDescent="0.25">
      <c r="A2491" s="43">
        <v>45254</v>
      </c>
      <c r="B2491" s="47">
        <v>16061</v>
      </c>
      <c r="C2491" s="44" t="s">
        <v>444</v>
      </c>
      <c r="D2491" s="45">
        <v>59.43</v>
      </c>
      <c r="E2491" s="48" t="s">
        <v>89</v>
      </c>
      <c r="F2491" s="48" t="s">
        <v>90</v>
      </c>
      <c r="G2491" s="48" t="s">
        <v>91</v>
      </c>
      <c r="J2491" s="44">
        <f>YEAR(A2491)</f>
        <v>2023</v>
      </c>
    </row>
    <row r="2492" spans="1:11" ht="12" customHeight="1" x14ac:dyDescent="0.25">
      <c r="A2492" s="43">
        <v>45254</v>
      </c>
      <c r="B2492" s="47">
        <v>16061</v>
      </c>
      <c r="C2492" s="44" t="s">
        <v>444</v>
      </c>
      <c r="D2492" s="45">
        <v>37.64</v>
      </c>
      <c r="E2492" s="48" t="s">
        <v>157</v>
      </c>
      <c r="F2492" s="48" t="s">
        <v>96</v>
      </c>
      <c r="G2492" s="48" t="s">
        <v>91</v>
      </c>
      <c r="J2492" s="44">
        <f>YEAR(A2492)</f>
        <v>2023</v>
      </c>
    </row>
    <row r="2493" spans="1:11" ht="12" customHeight="1" x14ac:dyDescent="0.25">
      <c r="A2493" s="43">
        <v>45254</v>
      </c>
      <c r="B2493" s="47">
        <v>16061</v>
      </c>
      <c r="C2493" s="44" t="s">
        <v>444</v>
      </c>
      <c r="D2493" s="45">
        <v>18.690000000000001</v>
      </c>
      <c r="E2493" s="48" t="s">
        <v>105</v>
      </c>
      <c r="F2493" s="48" t="s">
        <v>90</v>
      </c>
      <c r="G2493" s="48" t="s">
        <v>91</v>
      </c>
      <c r="J2493" s="44">
        <f>YEAR(A2493)</f>
        <v>2023</v>
      </c>
    </row>
    <row r="2494" spans="1:11" ht="12" customHeight="1" x14ac:dyDescent="0.25">
      <c r="A2494" s="43">
        <v>45254</v>
      </c>
      <c r="B2494" s="47">
        <v>16061</v>
      </c>
      <c r="C2494" s="44" t="s">
        <v>444</v>
      </c>
      <c r="D2494" s="45">
        <v>2.5</v>
      </c>
      <c r="E2494" s="48" t="s">
        <v>145</v>
      </c>
      <c r="F2494" s="48" t="s">
        <v>128</v>
      </c>
      <c r="G2494" s="48" t="s">
        <v>91</v>
      </c>
      <c r="J2494" s="44">
        <f>YEAR(A2494)</f>
        <v>2023</v>
      </c>
    </row>
    <row r="2495" spans="1:11" ht="12" customHeight="1" x14ac:dyDescent="0.25">
      <c r="A2495" s="43">
        <v>45257</v>
      </c>
      <c r="B2495" s="47">
        <v>16062</v>
      </c>
      <c r="C2495" s="44" t="s">
        <v>480</v>
      </c>
      <c r="D2495" s="45">
        <v>15.99</v>
      </c>
      <c r="E2495" s="48" t="s">
        <v>145</v>
      </c>
      <c r="F2495" s="48" t="s">
        <v>128</v>
      </c>
      <c r="G2495" s="48" t="s">
        <v>115</v>
      </c>
      <c r="J2495" s="44">
        <f>YEAR(A2495)</f>
        <v>2023</v>
      </c>
    </row>
    <row r="2496" spans="1:11" ht="12" customHeight="1" x14ac:dyDescent="0.25">
      <c r="A2496" s="43">
        <v>45257</v>
      </c>
      <c r="B2496" s="47">
        <v>16062</v>
      </c>
      <c r="C2496" s="44" t="s">
        <v>480</v>
      </c>
      <c r="D2496" s="45">
        <v>-15.99</v>
      </c>
      <c r="E2496" s="48" t="s">
        <v>299</v>
      </c>
      <c r="F2496" s="48" t="s">
        <v>90</v>
      </c>
      <c r="G2496" s="48" t="s">
        <v>305</v>
      </c>
      <c r="I2496" s="44" t="s">
        <v>1018</v>
      </c>
      <c r="J2496" s="44">
        <f>YEAR(A2496)</f>
        <v>2023</v>
      </c>
    </row>
    <row r="2497" spans="1:10" ht="12" customHeight="1" x14ac:dyDescent="0.25">
      <c r="A2497" s="43">
        <v>45257</v>
      </c>
      <c r="B2497" s="47">
        <v>16063</v>
      </c>
      <c r="C2497" s="44" t="s">
        <v>464</v>
      </c>
      <c r="D2497" s="45">
        <v>41.24</v>
      </c>
      <c r="E2497" s="48" t="s">
        <v>89</v>
      </c>
      <c r="F2497" s="48" t="s">
        <v>90</v>
      </c>
      <c r="G2497" s="48" t="s">
        <v>91</v>
      </c>
      <c r="J2497" s="44">
        <f>YEAR(A2497)</f>
        <v>2023</v>
      </c>
    </row>
    <row r="2498" spans="1:10" ht="12" customHeight="1" x14ac:dyDescent="0.25">
      <c r="A2498" s="43">
        <v>45257</v>
      </c>
      <c r="B2498" s="47">
        <v>16063</v>
      </c>
      <c r="C2498" s="44" t="s">
        <v>464</v>
      </c>
      <c r="D2498" s="45">
        <v>-41.24</v>
      </c>
      <c r="E2498" s="48" t="s">
        <v>299</v>
      </c>
      <c r="F2498" s="48" t="s">
        <v>90</v>
      </c>
      <c r="G2498" s="48" t="s">
        <v>305</v>
      </c>
      <c r="I2498" s="44" t="s">
        <v>1018</v>
      </c>
      <c r="J2498" s="44">
        <f>YEAR(A2498)</f>
        <v>2023</v>
      </c>
    </row>
    <row r="2499" spans="1:10" ht="12" customHeight="1" x14ac:dyDescent="0.25">
      <c r="A2499" s="43">
        <v>45258</v>
      </c>
      <c r="B2499" s="47">
        <v>16064</v>
      </c>
      <c r="C2499" s="44" t="s">
        <v>1002</v>
      </c>
      <c r="D2499" s="45">
        <v>2</v>
      </c>
      <c r="E2499" s="48" t="s">
        <v>145</v>
      </c>
      <c r="F2499" s="48" t="s">
        <v>128</v>
      </c>
      <c r="G2499" s="48" t="s">
        <v>115</v>
      </c>
      <c r="J2499" s="44">
        <f>YEAR(A2499)</f>
        <v>2023</v>
      </c>
    </row>
    <row r="2500" spans="1:10" ht="12" customHeight="1" x14ac:dyDescent="0.25">
      <c r="A2500" s="43">
        <v>45258</v>
      </c>
      <c r="B2500" s="47">
        <v>16064</v>
      </c>
      <c r="C2500" s="44" t="s">
        <v>441</v>
      </c>
      <c r="D2500" s="45">
        <v>-15.85</v>
      </c>
      <c r="E2500" s="48" t="s">
        <v>299</v>
      </c>
      <c r="F2500" s="48" t="s">
        <v>101</v>
      </c>
      <c r="G2500" s="48" t="s">
        <v>91</v>
      </c>
      <c r="J2500" s="44">
        <f>YEAR(A2500)</f>
        <v>2023</v>
      </c>
    </row>
    <row r="2501" spans="1:10" ht="12" customHeight="1" x14ac:dyDescent="0.25">
      <c r="A2501" s="43">
        <v>45258</v>
      </c>
      <c r="B2501" s="47">
        <v>16064</v>
      </c>
      <c r="C2501" s="44" t="s">
        <v>474</v>
      </c>
      <c r="D2501" s="45">
        <v>4.88</v>
      </c>
      <c r="E2501" s="48" t="s">
        <v>89</v>
      </c>
      <c r="F2501" s="48" t="s">
        <v>90</v>
      </c>
      <c r="G2501" s="48" t="s">
        <v>91</v>
      </c>
      <c r="J2501" s="44">
        <f>YEAR(A2501)</f>
        <v>2023</v>
      </c>
    </row>
    <row r="2502" spans="1:10" ht="12" customHeight="1" x14ac:dyDescent="0.25">
      <c r="A2502" s="43">
        <v>45258</v>
      </c>
      <c r="B2502" s="47">
        <v>16064</v>
      </c>
      <c r="C2502" s="44" t="s">
        <v>464</v>
      </c>
      <c r="D2502" s="45">
        <v>8.9700000000000006</v>
      </c>
      <c r="E2502" s="48" t="s">
        <v>89</v>
      </c>
      <c r="F2502" s="48" t="s">
        <v>90</v>
      </c>
      <c r="G2502" s="48" t="s">
        <v>91</v>
      </c>
      <c r="J2502" s="44">
        <f>YEAR(A2502)</f>
        <v>2023</v>
      </c>
    </row>
    <row r="2503" spans="1:10" ht="12" customHeight="1" x14ac:dyDescent="0.25">
      <c r="A2503" s="43">
        <v>45258</v>
      </c>
      <c r="B2503" s="47">
        <v>16065</v>
      </c>
      <c r="C2503" s="44" t="s">
        <v>568</v>
      </c>
      <c r="D2503" s="45">
        <v>28.86</v>
      </c>
      <c r="E2503" s="48" t="s">
        <v>89</v>
      </c>
      <c r="F2503" s="48" t="s">
        <v>90</v>
      </c>
      <c r="G2503" s="48" t="s">
        <v>91</v>
      </c>
      <c r="J2503" s="44">
        <f>YEAR(A2503)</f>
        <v>2023</v>
      </c>
    </row>
    <row r="2504" spans="1:10" ht="12" customHeight="1" x14ac:dyDescent="0.25">
      <c r="A2504" s="43">
        <v>45258</v>
      </c>
      <c r="B2504" s="47">
        <v>16065</v>
      </c>
      <c r="C2504" s="44" t="s">
        <v>568</v>
      </c>
      <c r="D2504" s="45">
        <v>-28.86</v>
      </c>
      <c r="E2504" s="48" t="s">
        <v>299</v>
      </c>
      <c r="F2504" s="48" t="s">
        <v>90</v>
      </c>
      <c r="G2504" s="48" t="s">
        <v>305</v>
      </c>
      <c r="I2504" s="44" t="s">
        <v>1018</v>
      </c>
      <c r="J2504" s="44">
        <f>YEAR(A2504)</f>
        <v>2023</v>
      </c>
    </row>
    <row r="2505" spans="1:10" ht="12" customHeight="1" x14ac:dyDescent="0.25">
      <c r="A2505" s="43">
        <v>45258</v>
      </c>
      <c r="B2505" s="47">
        <v>16066</v>
      </c>
      <c r="C2505" s="44" t="s">
        <v>453</v>
      </c>
      <c r="D2505" s="45">
        <v>26.1</v>
      </c>
      <c r="E2505" s="48" t="s">
        <v>89</v>
      </c>
      <c r="F2505" s="48" t="s">
        <v>90</v>
      </c>
      <c r="G2505" s="48" t="s">
        <v>91</v>
      </c>
      <c r="J2505" s="44">
        <f>YEAR(A2505)</f>
        <v>2023</v>
      </c>
    </row>
    <row r="2506" spans="1:10" ht="12" customHeight="1" x14ac:dyDescent="0.25">
      <c r="A2506" s="43">
        <v>45258</v>
      </c>
      <c r="B2506" s="47">
        <v>16066</v>
      </c>
      <c r="C2506" s="44" t="s">
        <v>453</v>
      </c>
      <c r="D2506" s="45">
        <v>-26.1</v>
      </c>
      <c r="E2506" s="48" t="s">
        <v>299</v>
      </c>
      <c r="F2506" s="48" t="s">
        <v>90</v>
      </c>
      <c r="G2506" s="48" t="s">
        <v>305</v>
      </c>
      <c r="I2506" s="44" t="s">
        <v>1018</v>
      </c>
      <c r="J2506" s="44">
        <f>YEAR(A2506)</f>
        <v>2023</v>
      </c>
    </row>
    <row r="2507" spans="1:10" ht="12" customHeight="1" x14ac:dyDescent="0.25">
      <c r="A2507" s="43">
        <v>45258</v>
      </c>
      <c r="B2507" s="47">
        <v>16067</v>
      </c>
      <c r="C2507" s="44" t="s">
        <v>475</v>
      </c>
      <c r="D2507" s="45">
        <v>10.11</v>
      </c>
      <c r="E2507" s="48" t="s">
        <v>89</v>
      </c>
      <c r="F2507" s="48" t="s">
        <v>90</v>
      </c>
      <c r="G2507" s="48" t="s">
        <v>91</v>
      </c>
      <c r="J2507" s="44">
        <f>YEAR(A2507)</f>
        <v>2023</v>
      </c>
    </row>
    <row r="2508" spans="1:10" ht="12" customHeight="1" x14ac:dyDescent="0.25">
      <c r="A2508" s="43">
        <v>45258</v>
      </c>
      <c r="B2508" s="47">
        <v>16067</v>
      </c>
      <c r="C2508" s="44" t="s">
        <v>475</v>
      </c>
      <c r="D2508" s="45">
        <v>-10.11</v>
      </c>
      <c r="E2508" s="48" t="s">
        <v>299</v>
      </c>
      <c r="F2508" s="48" t="s">
        <v>90</v>
      </c>
      <c r="G2508" s="48" t="s">
        <v>305</v>
      </c>
      <c r="I2508" s="44" t="s">
        <v>1018</v>
      </c>
      <c r="J2508" s="44">
        <f>YEAR(A2508)</f>
        <v>2023</v>
      </c>
    </row>
    <row r="2509" spans="1:10" ht="12" customHeight="1" x14ac:dyDescent="0.25">
      <c r="A2509" s="43">
        <v>45258</v>
      </c>
      <c r="B2509" s="47">
        <v>16068</v>
      </c>
      <c r="C2509" s="44" t="s">
        <v>475</v>
      </c>
      <c r="D2509" s="45">
        <v>18.98</v>
      </c>
      <c r="E2509" s="48" t="s">
        <v>89</v>
      </c>
      <c r="F2509" s="48" t="s">
        <v>90</v>
      </c>
      <c r="G2509" s="48" t="s">
        <v>91</v>
      </c>
      <c r="J2509" s="44">
        <f>YEAR(A2509)</f>
        <v>2023</v>
      </c>
    </row>
    <row r="2510" spans="1:10" ht="12" customHeight="1" x14ac:dyDescent="0.25">
      <c r="A2510" s="43">
        <v>45258</v>
      </c>
      <c r="B2510" s="47">
        <v>16068</v>
      </c>
      <c r="C2510" s="44" t="s">
        <v>475</v>
      </c>
      <c r="D2510" s="45">
        <v>-18.98</v>
      </c>
      <c r="E2510" s="48" t="s">
        <v>299</v>
      </c>
      <c r="F2510" s="48" t="s">
        <v>90</v>
      </c>
      <c r="G2510" s="48" t="s">
        <v>305</v>
      </c>
      <c r="I2510" s="44" t="s">
        <v>1018</v>
      </c>
      <c r="J2510" s="44">
        <f>YEAR(A2510)</f>
        <v>2023</v>
      </c>
    </row>
    <row r="2511" spans="1:10" ht="12" customHeight="1" x14ac:dyDescent="0.25">
      <c r="A2511" s="43">
        <v>45258</v>
      </c>
      <c r="B2511" s="47">
        <v>16069</v>
      </c>
      <c r="C2511" s="44" t="s">
        <v>458</v>
      </c>
      <c r="D2511" s="45">
        <v>25.96</v>
      </c>
      <c r="E2511" s="48" t="s">
        <v>89</v>
      </c>
      <c r="F2511" s="48" t="s">
        <v>90</v>
      </c>
      <c r="G2511" s="48" t="s">
        <v>91</v>
      </c>
      <c r="J2511" s="44">
        <f>YEAR(A2511)</f>
        <v>2023</v>
      </c>
    </row>
    <row r="2512" spans="1:10" ht="12" customHeight="1" x14ac:dyDescent="0.25">
      <c r="A2512" s="43">
        <v>45258</v>
      </c>
      <c r="B2512" s="47">
        <v>16069</v>
      </c>
      <c r="C2512" s="44" t="s">
        <v>458</v>
      </c>
      <c r="D2512" s="45">
        <v>-25.96</v>
      </c>
      <c r="E2512" s="48" t="s">
        <v>299</v>
      </c>
      <c r="F2512" s="48" t="s">
        <v>90</v>
      </c>
      <c r="G2512" s="48" t="s">
        <v>305</v>
      </c>
      <c r="I2512" s="44" t="s">
        <v>1018</v>
      </c>
      <c r="J2512" s="44">
        <f>YEAR(A2512)</f>
        <v>2023</v>
      </c>
    </row>
    <row r="2513" spans="1:10" ht="12" customHeight="1" x14ac:dyDescent="0.25">
      <c r="A2513" s="43">
        <v>45258</v>
      </c>
      <c r="B2513" s="47">
        <v>16070</v>
      </c>
      <c r="C2513" s="44" t="s">
        <v>446</v>
      </c>
      <c r="D2513" s="45">
        <v>53.54</v>
      </c>
      <c r="E2513" s="48" t="s">
        <v>89</v>
      </c>
      <c r="F2513" s="48" t="s">
        <v>90</v>
      </c>
      <c r="G2513" s="48" t="s">
        <v>91</v>
      </c>
      <c r="J2513" s="44">
        <f>YEAR(A2513)</f>
        <v>2023</v>
      </c>
    </row>
    <row r="2514" spans="1:10" ht="12" customHeight="1" x14ac:dyDescent="0.25">
      <c r="A2514" s="43">
        <v>45258</v>
      </c>
      <c r="B2514" s="47">
        <v>16070</v>
      </c>
      <c r="C2514" s="44" t="s">
        <v>446</v>
      </c>
      <c r="D2514" s="45">
        <v>-53.54</v>
      </c>
      <c r="E2514" s="48" t="s">
        <v>299</v>
      </c>
      <c r="F2514" s="48" t="s">
        <v>90</v>
      </c>
      <c r="G2514" s="48" t="s">
        <v>305</v>
      </c>
      <c r="I2514" s="44" t="s">
        <v>1018</v>
      </c>
      <c r="J2514" s="44">
        <f>YEAR(A2514)</f>
        <v>2023</v>
      </c>
    </row>
    <row r="2515" spans="1:10" ht="12" customHeight="1" x14ac:dyDescent="0.25">
      <c r="A2515" s="43">
        <v>45259</v>
      </c>
      <c r="B2515" s="47">
        <v>16071</v>
      </c>
      <c r="C2515" s="44" t="s">
        <v>585</v>
      </c>
      <c r="D2515" s="45">
        <v>-34</v>
      </c>
      <c r="E2515" s="48" t="s">
        <v>197</v>
      </c>
      <c r="F2515" s="48" t="s">
        <v>90</v>
      </c>
      <c r="G2515" s="48" t="s">
        <v>99</v>
      </c>
      <c r="J2515" s="44">
        <f>YEAR(A2515)</f>
        <v>2023</v>
      </c>
    </row>
    <row r="2516" spans="1:10" ht="12" customHeight="1" x14ac:dyDescent="0.25">
      <c r="A2516" s="43">
        <v>45259</v>
      </c>
      <c r="B2516" s="47">
        <v>16071</v>
      </c>
      <c r="C2516" s="44" t="s">
        <v>585</v>
      </c>
      <c r="D2516" s="45">
        <v>34</v>
      </c>
      <c r="E2516" s="48" t="s">
        <v>299</v>
      </c>
      <c r="F2516" s="48" t="s">
        <v>90</v>
      </c>
      <c r="G2516" s="48" t="s">
        <v>91</v>
      </c>
      <c r="H2516" s="44" t="s">
        <v>398</v>
      </c>
      <c r="I2516" s="44" t="s">
        <v>1022</v>
      </c>
      <c r="J2516" s="44">
        <f>YEAR(A2516)</f>
        <v>2023</v>
      </c>
    </row>
    <row r="2517" spans="1:10" ht="12" customHeight="1" x14ac:dyDescent="0.25">
      <c r="A2517" s="43">
        <v>45259</v>
      </c>
      <c r="B2517" s="47">
        <v>16072</v>
      </c>
      <c r="C2517" s="44" t="s">
        <v>585</v>
      </c>
      <c r="D2517" s="45">
        <v>-75</v>
      </c>
      <c r="E2517" s="48" t="s">
        <v>197</v>
      </c>
      <c r="F2517" s="48" t="s">
        <v>90</v>
      </c>
      <c r="G2517" s="48" t="s">
        <v>99</v>
      </c>
      <c r="J2517" s="44">
        <f>YEAR(A2517)</f>
        <v>2023</v>
      </c>
    </row>
    <row r="2518" spans="1:10" ht="12" customHeight="1" x14ac:dyDescent="0.25">
      <c r="A2518" s="43">
        <v>45259</v>
      </c>
      <c r="B2518" s="47">
        <v>16072</v>
      </c>
      <c r="C2518" s="44" t="s">
        <v>585</v>
      </c>
      <c r="D2518" s="45">
        <v>75</v>
      </c>
      <c r="E2518" s="48" t="s">
        <v>299</v>
      </c>
      <c r="F2518" s="48" t="s">
        <v>90</v>
      </c>
      <c r="G2518" s="48" t="s">
        <v>91</v>
      </c>
      <c r="H2518" s="44" t="s">
        <v>398</v>
      </c>
      <c r="I2518" s="44" t="s">
        <v>1022</v>
      </c>
      <c r="J2518" s="44">
        <f>YEAR(A2518)</f>
        <v>2023</v>
      </c>
    </row>
    <row r="2519" spans="1:10" ht="12" customHeight="1" x14ac:dyDescent="0.25">
      <c r="A2519" s="43">
        <v>45259</v>
      </c>
      <c r="B2519" s="47">
        <v>16073</v>
      </c>
      <c r="C2519" s="44" t="s">
        <v>585</v>
      </c>
      <c r="D2519" s="45">
        <v>-68</v>
      </c>
      <c r="E2519" s="48" t="s">
        <v>197</v>
      </c>
      <c r="F2519" s="48" t="s">
        <v>90</v>
      </c>
      <c r="G2519" s="48" t="s">
        <v>99</v>
      </c>
      <c r="J2519" s="44">
        <f>YEAR(A2519)</f>
        <v>2023</v>
      </c>
    </row>
    <row r="2520" spans="1:10" ht="12" customHeight="1" x14ac:dyDescent="0.25">
      <c r="A2520" s="43">
        <v>45259</v>
      </c>
      <c r="B2520" s="47">
        <v>16073</v>
      </c>
      <c r="C2520" s="44" t="s">
        <v>585</v>
      </c>
      <c r="D2520" s="45">
        <v>68</v>
      </c>
      <c r="E2520" s="48" t="s">
        <v>299</v>
      </c>
      <c r="F2520" s="48" t="s">
        <v>90</v>
      </c>
      <c r="G2520" s="48" t="s">
        <v>91</v>
      </c>
      <c r="H2520" s="44" t="s">
        <v>398</v>
      </c>
      <c r="I2520" s="44" t="s">
        <v>1022</v>
      </c>
      <c r="J2520" s="44">
        <f>YEAR(A2520)</f>
        <v>2023</v>
      </c>
    </row>
    <row r="2521" spans="1:10" ht="12" customHeight="1" x14ac:dyDescent="0.25">
      <c r="A2521" s="43">
        <v>45273</v>
      </c>
      <c r="B2521" s="47">
        <v>16074</v>
      </c>
      <c r="C2521" s="44" t="s">
        <v>1003</v>
      </c>
      <c r="D2521" s="45">
        <v>-469.99</v>
      </c>
      <c r="E2521" s="48" t="s">
        <v>299</v>
      </c>
      <c r="F2521" s="48" t="s">
        <v>90</v>
      </c>
      <c r="G2521" s="48" t="s">
        <v>91</v>
      </c>
      <c r="H2521" s="44" t="s">
        <v>391</v>
      </c>
      <c r="I2521" s="44" t="s">
        <v>1067</v>
      </c>
      <c r="J2521" s="44">
        <f>YEAR(A2521)</f>
        <v>2023</v>
      </c>
    </row>
    <row r="2522" spans="1:10" ht="12" customHeight="1" x14ac:dyDescent="0.25">
      <c r="A2522" s="43">
        <v>45273</v>
      </c>
      <c r="B2522" s="47">
        <v>16074</v>
      </c>
      <c r="C2522" s="44" t="s">
        <v>1003</v>
      </c>
      <c r="D2522" s="45">
        <v>469.99</v>
      </c>
      <c r="E2522" s="48" t="s">
        <v>157</v>
      </c>
      <c r="F2522" s="48" t="s">
        <v>135</v>
      </c>
      <c r="G2522" s="48" t="s">
        <v>115</v>
      </c>
      <c r="J2522" s="44">
        <f>YEAR(A2522)</f>
        <v>2023</v>
      </c>
    </row>
    <row r="2523" spans="1:10" ht="12" customHeight="1" x14ac:dyDescent="0.25">
      <c r="A2523" s="43">
        <v>45273</v>
      </c>
      <c r="B2523" s="47">
        <v>16075</v>
      </c>
      <c r="C2523" s="44" t="s">
        <v>1004</v>
      </c>
      <c r="D2523" s="45">
        <v>71.540000000000006</v>
      </c>
      <c r="E2523" s="48" t="s">
        <v>157</v>
      </c>
      <c r="F2523" s="48" t="s">
        <v>135</v>
      </c>
      <c r="G2523" s="48" t="s">
        <v>115</v>
      </c>
      <c r="J2523" s="44">
        <f>YEAR(A2523)</f>
        <v>2023</v>
      </c>
    </row>
    <row r="2524" spans="1:10" ht="12" customHeight="1" x14ac:dyDescent="0.25">
      <c r="A2524" s="43">
        <v>45273</v>
      </c>
      <c r="B2524" s="47">
        <v>16075</v>
      </c>
      <c r="C2524" s="44" t="s">
        <v>1004</v>
      </c>
      <c r="D2524" s="45">
        <v>-71.540000000000006</v>
      </c>
      <c r="E2524" s="48" t="s">
        <v>299</v>
      </c>
      <c r="F2524" s="48" t="s">
        <v>90</v>
      </c>
      <c r="G2524" s="48" t="s">
        <v>91</v>
      </c>
      <c r="H2524" s="44" t="s">
        <v>391</v>
      </c>
      <c r="I2524" s="44" t="s">
        <v>1067</v>
      </c>
      <c r="J2524" s="44">
        <f>YEAR(A2524)</f>
        <v>2023</v>
      </c>
    </row>
    <row r="2525" spans="1:10" ht="12" customHeight="1" x14ac:dyDescent="0.25">
      <c r="A2525" s="43">
        <v>45261</v>
      </c>
      <c r="B2525" s="47">
        <v>16076</v>
      </c>
      <c r="C2525" s="44" t="s">
        <v>1006</v>
      </c>
      <c r="D2525" s="45">
        <v>-8079.5</v>
      </c>
      <c r="E2525" s="48" t="s">
        <v>299</v>
      </c>
      <c r="F2525" s="48" t="s">
        <v>90</v>
      </c>
      <c r="G2525" s="48" t="s">
        <v>91</v>
      </c>
      <c r="H2525" s="44" t="s">
        <v>391</v>
      </c>
      <c r="I2525" s="44" t="s">
        <v>1021</v>
      </c>
      <c r="J2525" s="44">
        <f>YEAR(A2525)</f>
        <v>2023</v>
      </c>
    </row>
    <row r="2526" spans="1:10" ht="12" customHeight="1" x14ac:dyDescent="0.25">
      <c r="A2526" s="43">
        <v>45261</v>
      </c>
      <c r="B2526" s="47">
        <v>16076</v>
      </c>
      <c r="C2526" s="44" t="s">
        <v>1006</v>
      </c>
      <c r="D2526" s="45">
        <v>8079.5</v>
      </c>
      <c r="E2526" s="48" t="s">
        <v>299</v>
      </c>
      <c r="F2526" s="48" t="s">
        <v>349</v>
      </c>
      <c r="G2526" s="48" t="s">
        <v>588</v>
      </c>
      <c r="J2526" s="44">
        <f>YEAR(A2526)</f>
        <v>2023</v>
      </c>
    </row>
    <row r="2527" spans="1:10" ht="12" customHeight="1" x14ac:dyDescent="0.25">
      <c r="A2527" s="43">
        <v>45261</v>
      </c>
      <c r="B2527" s="47">
        <v>16077</v>
      </c>
      <c r="C2527" s="44" t="s">
        <v>1006</v>
      </c>
      <c r="D2527" s="45">
        <v>-8079.5</v>
      </c>
      <c r="E2527" s="48" t="s">
        <v>299</v>
      </c>
      <c r="F2527" s="48" t="s">
        <v>90</v>
      </c>
      <c r="G2527" s="48" t="s">
        <v>91</v>
      </c>
      <c r="H2527" s="44" t="s">
        <v>391</v>
      </c>
      <c r="I2527" s="44" t="s">
        <v>1021</v>
      </c>
      <c r="J2527" s="44">
        <f>YEAR(A2527)</f>
        <v>2023</v>
      </c>
    </row>
    <row r="2528" spans="1:10" ht="12" customHeight="1" x14ac:dyDescent="0.25">
      <c r="A2528" s="43">
        <v>45261</v>
      </c>
      <c r="B2528" s="47">
        <v>16077</v>
      </c>
      <c r="C2528" s="44" t="s">
        <v>1006</v>
      </c>
      <c r="D2528" s="45">
        <v>8079.5</v>
      </c>
      <c r="E2528" s="48" t="s">
        <v>299</v>
      </c>
      <c r="F2528" s="48" t="s">
        <v>349</v>
      </c>
      <c r="G2528" s="48" t="s">
        <v>1005</v>
      </c>
      <c r="J2528" s="44">
        <f>YEAR(A2528)</f>
        <v>2023</v>
      </c>
    </row>
    <row r="2529" spans="1:10" ht="12" customHeight="1" x14ac:dyDescent="0.25">
      <c r="A2529" s="43">
        <v>45260</v>
      </c>
      <c r="B2529" s="47">
        <v>16078</v>
      </c>
      <c r="C2529" s="44" t="s">
        <v>806</v>
      </c>
      <c r="D2529" s="45">
        <v>16.96</v>
      </c>
      <c r="E2529" s="48" t="s">
        <v>145</v>
      </c>
      <c r="F2529" s="48" t="s">
        <v>116</v>
      </c>
      <c r="G2529" s="48" t="s">
        <v>93</v>
      </c>
      <c r="J2529" s="44">
        <f>YEAR(A2529)</f>
        <v>2023</v>
      </c>
    </row>
    <row r="2530" spans="1:10" ht="12" customHeight="1" x14ac:dyDescent="0.25">
      <c r="A2530" s="43">
        <v>45260</v>
      </c>
      <c r="B2530" s="47">
        <v>16078</v>
      </c>
      <c r="C2530" s="44" t="s">
        <v>806</v>
      </c>
      <c r="D2530" s="45">
        <v>-16.96</v>
      </c>
      <c r="E2530" s="48" t="s">
        <v>299</v>
      </c>
      <c r="F2530" s="48" t="s">
        <v>90</v>
      </c>
      <c r="G2530" s="48" t="s">
        <v>305</v>
      </c>
      <c r="I2530" s="44" t="s">
        <v>1065</v>
      </c>
      <c r="J2530" s="44">
        <f>YEAR(A2530)</f>
        <v>2023</v>
      </c>
    </row>
    <row r="2531" spans="1:10" ht="12" customHeight="1" x14ac:dyDescent="0.25">
      <c r="A2531" s="43">
        <v>45260</v>
      </c>
      <c r="B2531" s="47">
        <v>16079</v>
      </c>
      <c r="C2531" s="44" t="s">
        <v>626</v>
      </c>
      <c r="D2531" s="45">
        <v>14.78</v>
      </c>
      <c r="E2531" s="48" t="s">
        <v>105</v>
      </c>
      <c r="F2531" s="48" t="s">
        <v>90</v>
      </c>
      <c r="G2531" s="48" t="s">
        <v>91</v>
      </c>
      <c r="J2531" s="44">
        <f>YEAR(A2531)</f>
        <v>2023</v>
      </c>
    </row>
    <row r="2532" spans="1:10" ht="12" customHeight="1" x14ac:dyDescent="0.25">
      <c r="A2532" s="43">
        <v>45260</v>
      </c>
      <c r="B2532" s="47">
        <v>16079</v>
      </c>
      <c r="C2532" s="44" t="s">
        <v>626</v>
      </c>
      <c r="D2532" s="45">
        <v>-14.78</v>
      </c>
      <c r="E2532" s="48" t="s">
        <v>299</v>
      </c>
      <c r="F2532" s="48" t="s">
        <v>90</v>
      </c>
      <c r="G2532" s="48" t="s">
        <v>305</v>
      </c>
      <c r="I2532" s="44" t="s">
        <v>1065</v>
      </c>
      <c r="J2532" s="44">
        <f>YEAR(A2532)</f>
        <v>2023</v>
      </c>
    </row>
    <row r="2533" spans="1:10" ht="12" customHeight="1" x14ac:dyDescent="0.25">
      <c r="A2533" s="43">
        <v>45260</v>
      </c>
      <c r="B2533" s="47">
        <v>16080</v>
      </c>
      <c r="C2533" s="44" t="s">
        <v>496</v>
      </c>
      <c r="D2533" s="45">
        <v>48.5</v>
      </c>
      <c r="E2533" s="48" t="s">
        <v>89</v>
      </c>
      <c r="F2533" s="48" t="s">
        <v>90</v>
      </c>
      <c r="G2533" s="48" t="s">
        <v>91</v>
      </c>
      <c r="J2533" s="44">
        <f>YEAR(A2533)</f>
        <v>2023</v>
      </c>
    </row>
    <row r="2534" spans="1:10" ht="12" customHeight="1" x14ac:dyDescent="0.25">
      <c r="A2534" s="43">
        <v>45260</v>
      </c>
      <c r="B2534" s="47">
        <v>16080</v>
      </c>
      <c r="C2534" s="44" t="s">
        <v>496</v>
      </c>
      <c r="D2534" s="45">
        <v>-48.5</v>
      </c>
      <c r="E2534" s="48" t="s">
        <v>299</v>
      </c>
      <c r="F2534" s="48" t="s">
        <v>90</v>
      </c>
      <c r="G2534" s="48" t="s">
        <v>305</v>
      </c>
      <c r="I2534" s="44" t="s">
        <v>1065</v>
      </c>
      <c r="J2534" s="44">
        <f>YEAR(A2534)</f>
        <v>2023</v>
      </c>
    </row>
    <row r="2535" spans="1:10" ht="12" customHeight="1" x14ac:dyDescent="0.25">
      <c r="A2535" s="43">
        <v>45260</v>
      </c>
      <c r="B2535" s="47">
        <v>16081</v>
      </c>
      <c r="C2535" s="44" t="s">
        <v>1007</v>
      </c>
      <c r="D2535" s="45">
        <v>6</v>
      </c>
      <c r="E2535" s="48" t="s">
        <v>105</v>
      </c>
      <c r="F2535" s="48" t="s">
        <v>90</v>
      </c>
      <c r="G2535" s="48" t="s">
        <v>91</v>
      </c>
      <c r="J2535" s="44">
        <f>YEAR(A2535)</f>
        <v>2023</v>
      </c>
    </row>
    <row r="2536" spans="1:10" ht="12" customHeight="1" x14ac:dyDescent="0.25">
      <c r="A2536" s="43">
        <v>45260</v>
      </c>
      <c r="B2536" s="47">
        <v>16081</v>
      </c>
      <c r="C2536" s="44" t="s">
        <v>1007</v>
      </c>
      <c r="D2536" s="45">
        <v>-6</v>
      </c>
      <c r="E2536" s="48" t="s">
        <v>299</v>
      </c>
      <c r="F2536" s="48" t="s">
        <v>90</v>
      </c>
      <c r="G2536" s="48" t="s">
        <v>305</v>
      </c>
      <c r="I2536" s="44" t="s">
        <v>1065</v>
      </c>
      <c r="J2536" s="44">
        <f>YEAR(A2536)</f>
        <v>2023</v>
      </c>
    </row>
    <row r="2537" spans="1:10" ht="12" customHeight="1" x14ac:dyDescent="0.25">
      <c r="A2537" s="43">
        <v>45260</v>
      </c>
      <c r="B2537" s="47">
        <v>16082</v>
      </c>
      <c r="C2537" s="44" t="s">
        <v>561</v>
      </c>
      <c r="D2537" s="45">
        <v>99.95</v>
      </c>
      <c r="E2537" s="48" t="s">
        <v>105</v>
      </c>
      <c r="F2537" s="48" t="s">
        <v>90</v>
      </c>
      <c r="G2537" s="48" t="s">
        <v>91</v>
      </c>
      <c r="J2537" s="44">
        <f>YEAR(A2537)</f>
        <v>2023</v>
      </c>
    </row>
    <row r="2538" spans="1:10" ht="12" customHeight="1" x14ac:dyDescent="0.25">
      <c r="A2538" s="43">
        <v>45260</v>
      </c>
      <c r="B2538" s="47">
        <v>16082</v>
      </c>
      <c r="C2538" s="44" t="s">
        <v>561</v>
      </c>
      <c r="D2538" s="45">
        <v>-101.44</v>
      </c>
      <c r="E2538" s="48" t="s">
        <v>299</v>
      </c>
      <c r="F2538" s="48" t="s">
        <v>90</v>
      </c>
      <c r="G2538" s="48" t="s">
        <v>305</v>
      </c>
      <c r="I2538" s="44" t="s">
        <v>1065</v>
      </c>
      <c r="J2538" s="44">
        <f>YEAR(A2538)</f>
        <v>2023</v>
      </c>
    </row>
    <row r="2539" spans="1:10" ht="12" customHeight="1" x14ac:dyDescent="0.25">
      <c r="A2539" s="43">
        <v>45260</v>
      </c>
      <c r="B2539" s="47">
        <v>16082</v>
      </c>
      <c r="C2539" s="44" t="s">
        <v>561</v>
      </c>
      <c r="D2539" s="45">
        <v>1.49</v>
      </c>
      <c r="E2539" s="48" t="s">
        <v>157</v>
      </c>
      <c r="F2539" s="48" t="s">
        <v>96</v>
      </c>
      <c r="G2539" s="48" t="s">
        <v>91</v>
      </c>
      <c r="J2539" s="44">
        <f>YEAR(A2539)</f>
        <v>2023</v>
      </c>
    </row>
    <row r="2540" spans="1:10" ht="12" customHeight="1" x14ac:dyDescent="0.25">
      <c r="A2540" s="43">
        <v>45261</v>
      </c>
      <c r="B2540" s="47">
        <v>16083</v>
      </c>
      <c r="C2540" s="44" t="s">
        <v>467</v>
      </c>
      <c r="D2540" s="45">
        <v>23.8</v>
      </c>
      <c r="E2540" s="48" t="s">
        <v>145</v>
      </c>
      <c r="F2540" s="48" t="s">
        <v>116</v>
      </c>
      <c r="G2540" s="48" t="s">
        <v>93</v>
      </c>
      <c r="J2540" s="44">
        <f>YEAR(A2540)</f>
        <v>2023</v>
      </c>
    </row>
    <row r="2541" spans="1:10" ht="12" customHeight="1" x14ac:dyDescent="0.25">
      <c r="A2541" s="43">
        <v>45261</v>
      </c>
      <c r="B2541" s="47">
        <v>16083</v>
      </c>
      <c r="C2541" s="44" t="s">
        <v>467</v>
      </c>
      <c r="D2541" s="45">
        <v>-23.8</v>
      </c>
      <c r="E2541" s="48" t="s">
        <v>299</v>
      </c>
      <c r="F2541" s="48" t="s">
        <v>90</v>
      </c>
      <c r="G2541" s="48" t="s">
        <v>305</v>
      </c>
      <c r="I2541" s="44" t="s">
        <v>1065</v>
      </c>
      <c r="J2541" s="44">
        <f>YEAR(A2541)</f>
        <v>2023</v>
      </c>
    </row>
    <row r="2542" spans="1:10" ht="12" customHeight="1" x14ac:dyDescent="0.25">
      <c r="A2542" s="43">
        <v>45261</v>
      </c>
      <c r="B2542" s="47">
        <v>16084</v>
      </c>
      <c r="C2542" s="44" t="s">
        <v>444</v>
      </c>
      <c r="D2542" s="45">
        <v>44.05</v>
      </c>
      <c r="E2542" s="48" t="s">
        <v>89</v>
      </c>
      <c r="F2542" s="48" t="s">
        <v>90</v>
      </c>
      <c r="G2542" s="48" t="s">
        <v>91</v>
      </c>
      <c r="J2542" s="44">
        <f>YEAR(A2542)</f>
        <v>2023</v>
      </c>
    </row>
    <row r="2543" spans="1:10" ht="12" customHeight="1" x14ac:dyDescent="0.25">
      <c r="A2543" s="43">
        <v>45261</v>
      </c>
      <c r="B2543" s="47">
        <v>16084</v>
      </c>
      <c r="C2543" s="44" t="s">
        <v>444</v>
      </c>
      <c r="D2543" s="45">
        <v>-44.05</v>
      </c>
      <c r="E2543" s="48" t="s">
        <v>299</v>
      </c>
      <c r="F2543" s="48" t="s">
        <v>90</v>
      </c>
      <c r="G2543" s="48" t="s">
        <v>91</v>
      </c>
      <c r="H2543" s="44" t="s">
        <v>459</v>
      </c>
      <c r="I2543" s="44" t="s">
        <v>1021</v>
      </c>
      <c r="J2543" s="44">
        <f>YEAR(A2543)</f>
        <v>2023</v>
      </c>
    </row>
    <row r="2544" spans="1:10" ht="12" customHeight="1" x14ac:dyDescent="0.25">
      <c r="A2544" s="43">
        <v>45261</v>
      </c>
      <c r="B2544" s="47">
        <v>16085</v>
      </c>
      <c r="C2544" s="44" t="s">
        <v>647</v>
      </c>
      <c r="D2544" s="45">
        <v>-75</v>
      </c>
      <c r="E2544" s="48" t="s">
        <v>299</v>
      </c>
      <c r="F2544" s="48" t="s">
        <v>90</v>
      </c>
      <c r="G2544" s="48" t="s">
        <v>91</v>
      </c>
      <c r="H2544" s="44">
        <v>4088</v>
      </c>
      <c r="I2544" s="44" t="s">
        <v>1021</v>
      </c>
      <c r="J2544" s="44">
        <f>YEAR(A2544)</f>
        <v>2023</v>
      </c>
    </row>
    <row r="2545" spans="1:10" ht="12" customHeight="1" x14ac:dyDescent="0.25">
      <c r="A2545" s="43">
        <v>45261</v>
      </c>
      <c r="B2545" s="47">
        <v>16085</v>
      </c>
      <c r="C2545" s="44" t="s">
        <v>647</v>
      </c>
      <c r="D2545" s="45">
        <v>75</v>
      </c>
      <c r="E2545" s="48" t="s">
        <v>197</v>
      </c>
      <c r="F2545" s="48" t="s">
        <v>90</v>
      </c>
      <c r="G2545" s="48" t="s">
        <v>107</v>
      </c>
      <c r="J2545" s="44">
        <f>YEAR(A2545)</f>
        <v>2023</v>
      </c>
    </row>
    <row r="2546" spans="1:10" ht="12" customHeight="1" x14ac:dyDescent="0.25">
      <c r="A2546" s="43">
        <v>45241</v>
      </c>
      <c r="B2546" s="47">
        <v>16086</v>
      </c>
      <c r="C2546" s="44" t="s">
        <v>591</v>
      </c>
      <c r="D2546" s="45">
        <v>22.65</v>
      </c>
      <c r="E2546" s="48" t="s">
        <v>89</v>
      </c>
      <c r="F2546" s="48" t="s">
        <v>90</v>
      </c>
      <c r="G2546" s="48" t="s">
        <v>91</v>
      </c>
      <c r="J2546" s="44">
        <f>YEAR(A2546)</f>
        <v>2023</v>
      </c>
    </row>
    <row r="2547" spans="1:10" ht="12" customHeight="1" x14ac:dyDescent="0.25">
      <c r="A2547" s="43">
        <v>45241</v>
      </c>
      <c r="B2547" s="47">
        <v>16086</v>
      </c>
      <c r="C2547" s="44" t="s">
        <v>1008</v>
      </c>
      <c r="D2547" s="45">
        <v>25.98</v>
      </c>
      <c r="E2547" s="48" t="s">
        <v>89</v>
      </c>
      <c r="F2547" s="48" t="s">
        <v>90</v>
      </c>
      <c r="G2547" s="48" t="s">
        <v>91</v>
      </c>
      <c r="J2547" s="44">
        <f>YEAR(A2547)</f>
        <v>2023</v>
      </c>
    </row>
    <row r="2548" spans="1:10" ht="12" customHeight="1" x14ac:dyDescent="0.25">
      <c r="A2548" s="43">
        <v>45245</v>
      </c>
      <c r="B2548" s="47">
        <v>16086</v>
      </c>
      <c r="C2548" s="44" t="s">
        <v>1009</v>
      </c>
      <c r="D2548" s="45">
        <v>10</v>
      </c>
      <c r="E2548" s="48" t="s">
        <v>145</v>
      </c>
      <c r="F2548" s="48" t="s">
        <v>116</v>
      </c>
      <c r="G2548" s="48" t="s">
        <v>91</v>
      </c>
      <c r="J2548" s="44">
        <f>YEAR(A2548)</f>
        <v>2023</v>
      </c>
    </row>
    <row r="2549" spans="1:10" ht="12" customHeight="1" x14ac:dyDescent="0.25">
      <c r="A2549" s="43">
        <v>45243</v>
      </c>
      <c r="B2549" s="47">
        <v>16086</v>
      </c>
      <c r="C2549" s="44" t="s">
        <v>572</v>
      </c>
      <c r="D2549" s="45">
        <v>74.459999999999994</v>
      </c>
      <c r="E2549" s="48" t="s">
        <v>180</v>
      </c>
      <c r="F2549" s="48" t="s">
        <v>96</v>
      </c>
      <c r="G2549" s="48" t="s">
        <v>555</v>
      </c>
      <c r="J2549" s="44">
        <f>YEAR(A2549)</f>
        <v>2023</v>
      </c>
    </row>
    <row r="2550" spans="1:10" ht="12" customHeight="1" x14ac:dyDescent="0.25">
      <c r="A2550" s="43">
        <v>45243</v>
      </c>
      <c r="B2550" s="47">
        <v>16086</v>
      </c>
      <c r="C2550" s="44" t="s">
        <v>1010</v>
      </c>
      <c r="D2550" s="45">
        <v>4.34</v>
      </c>
      <c r="E2550" s="48" t="s">
        <v>89</v>
      </c>
      <c r="F2550" s="48" t="s">
        <v>90</v>
      </c>
      <c r="G2550" s="48" t="s">
        <v>91</v>
      </c>
      <c r="J2550" s="44">
        <f>YEAR(A2550)</f>
        <v>2023</v>
      </c>
    </row>
    <row r="2551" spans="1:10" ht="12" customHeight="1" x14ac:dyDescent="0.25">
      <c r="A2551" s="43">
        <v>45247</v>
      </c>
      <c r="B2551" s="47">
        <v>16086</v>
      </c>
      <c r="C2551" s="44" t="s">
        <v>1011</v>
      </c>
      <c r="D2551" s="45">
        <v>30</v>
      </c>
      <c r="E2551" s="48" t="s">
        <v>157</v>
      </c>
      <c r="F2551" s="48" t="s">
        <v>96</v>
      </c>
      <c r="G2551" s="48" t="s">
        <v>91</v>
      </c>
      <c r="J2551" s="44">
        <f>YEAR(A2551)</f>
        <v>2023</v>
      </c>
    </row>
    <row r="2552" spans="1:10" ht="12" customHeight="1" x14ac:dyDescent="0.25">
      <c r="A2552" s="43">
        <v>45248</v>
      </c>
      <c r="B2552" s="47">
        <v>16086</v>
      </c>
      <c r="C2552" s="44" t="s">
        <v>451</v>
      </c>
      <c r="D2552" s="45">
        <v>8.3000000000000007</v>
      </c>
      <c r="E2552" s="48" t="s">
        <v>89</v>
      </c>
      <c r="F2552" s="48" t="s">
        <v>90</v>
      </c>
      <c r="G2552" s="48" t="s">
        <v>91</v>
      </c>
      <c r="J2552" s="44">
        <f>YEAR(A2552)</f>
        <v>2023</v>
      </c>
    </row>
    <row r="2553" spans="1:10" ht="12" customHeight="1" x14ac:dyDescent="0.25">
      <c r="A2553" s="43">
        <v>45262</v>
      </c>
      <c r="B2553" s="47">
        <v>16086</v>
      </c>
      <c r="C2553" s="44" t="s">
        <v>583</v>
      </c>
      <c r="D2553" s="45">
        <v>65.540000000000006</v>
      </c>
      <c r="E2553" s="48" t="s">
        <v>89</v>
      </c>
      <c r="F2553" s="48" t="s">
        <v>90</v>
      </c>
      <c r="G2553" s="48" t="s">
        <v>91</v>
      </c>
      <c r="J2553" s="44">
        <f>YEAR(A2553)</f>
        <v>2023</v>
      </c>
    </row>
    <row r="2554" spans="1:10" ht="12" customHeight="1" x14ac:dyDescent="0.25">
      <c r="A2554" s="43">
        <v>45263</v>
      </c>
      <c r="B2554" s="47">
        <v>16086</v>
      </c>
      <c r="C2554" s="44" t="s">
        <v>1012</v>
      </c>
      <c r="D2554" s="45">
        <v>45</v>
      </c>
      <c r="E2554" s="48" t="s">
        <v>89</v>
      </c>
      <c r="F2554" s="48" t="s">
        <v>96</v>
      </c>
      <c r="G2554" s="48" t="s">
        <v>91</v>
      </c>
      <c r="J2554" s="44">
        <f>YEAR(A2554)</f>
        <v>2023</v>
      </c>
    </row>
    <row r="2555" spans="1:10" ht="12" customHeight="1" x14ac:dyDescent="0.25">
      <c r="A2555" s="43">
        <v>45263</v>
      </c>
      <c r="B2555" s="47">
        <v>16086</v>
      </c>
      <c r="C2555" s="44" t="s">
        <v>583</v>
      </c>
      <c r="D2555" s="45">
        <v>4.8600000000000003</v>
      </c>
      <c r="E2555" s="48" t="s">
        <v>89</v>
      </c>
      <c r="F2555" s="48" t="s">
        <v>90</v>
      </c>
      <c r="G2555" s="48" t="s">
        <v>91</v>
      </c>
      <c r="J2555" s="44">
        <f>YEAR(A2555)</f>
        <v>2023</v>
      </c>
    </row>
    <row r="2556" spans="1:10" ht="12" customHeight="1" x14ac:dyDescent="0.25">
      <c r="A2556" s="43">
        <v>45263</v>
      </c>
      <c r="B2556" s="47">
        <v>16086</v>
      </c>
      <c r="C2556" s="44" t="s">
        <v>452</v>
      </c>
      <c r="D2556" s="45">
        <v>-291.13</v>
      </c>
      <c r="E2556" s="48" t="s">
        <v>299</v>
      </c>
      <c r="F2556" s="48" t="s">
        <v>90</v>
      </c>
      <c r="G2556" s="48" t="s">
        <v>91</v>
      </c>
      <c r="H2556" s="44" t="s">
        <v>402</v>
      </c>
      <c r="I2556" s="44" t="s">
        <v>1021</v>
      </c>
      <c r="J2556" s="44">
        <f>YEAR(A2556)</f>
        <v>2023</v>
      </c>
    </row>
    <row r="2557" spans="1:10" ht="12" customHeight="1" x14ac:dyDescent="0.25">
      <c r="A2557" s="43">
        <v>45267</v>
      </c>
      <c r="B2557" s="47">
        <v>16087</v>
      </c>
      <c r="C2557" s="44" t="s">
        <v>998</v>
      </c>
      <c r="D2557" s="45">
        <v>20.97</v>
      </c>
      <c r="E2557" s="48" t="s">
        <v>105</v>
      </c>
      <c r="F2557" s="48" t="s">
        <v>90</v>
      </c>
      <c r="G2557" s="48" t="s">
        <v>91</v>
      </c>
      <c r="J2557" s="44">
        <f>YEAR(A2557)</f>
        <v>2023</v>
      </c>
    </row>
    <row r="2558" spans="1:10" ht="12" customHeight="1" x14ac:dyDescent="0.25">
      <c r="A2558" s="43">
        <v>45267</v>
      </c>
      <c r="B2558" s="47">
        <v>16087</v>
      </c>
      <c r="C2558" s="44" t="s">
        <v>998</v>
      </c>
      <c r="D2558" s="45">
        <v>-20.97</v>
      </c>
      <c r="E2558" s="48" t="s">
        <v>299</v>
      </c>
      <c r="F2558" s="48" t="s">
        <v>90</v>
      </c>
      <c r="G2558" s="48" t="s">
        <v>305</v>
      </c>
      <c r="I2558" s="44" t="s">
        <v>1065</v>
      </c>
      <c r="J2558" s="44">
        <f>YEAR(A2558)</f>
        <v>2023</v>
      </c>
    </row>
    <row r="2559" spans="1:10" ht="12" customHeight="1" x14ac:dyDescent="0.25">
      <c r="A2559" s="43">
        <v>45262</v>
      </c>
      <c r="B2559" s="47">
        <v>16088</v>
      </c>
      <c r="C2559" s="44" t="s">
        <v>491</v>
      </c>
      <c r="D2559" s="45">
        <v>-62.91</v>
      </c>
      <c r="E2559" s="48" t="s">
        <v>299</v>
      </c>
      <c r="F2559" s="48" t="s">
        <v>90</v>
      </c>
      <c r="G2559" s="48" t="s">
        <v>305</v>
      </c>
      <c r="I2559" s="44" t="s">
        <v>1065</v>
      </c>
      <c r="J2559" s="44">
        <f>YEAR(A2559)</f>
        <v>2023</v>
      </c>
    </row>
    <row r="2560" spans="1:10" ht="12" customHeight="1" x14ac:dyDescent="0.25">
      <c r="A2560" s="43">
        <v>45262</v>
      </c>
      <c r="B2560" s="47">
        <v>16088</v>
      </c>
      <c r="C2560" s="44" t="s">
        <v>491</v>
      </c>
      <c r="D2560" s="45">
        <v>62.91</v>
      </c>
      <c r="E2560" s="48" t="s">
        <v>89</v>
      </c>
      <c r="F2560" s="48" t="s">
        <v>90</v>
      </c>
      <c r="G2560" s="48" t="s">
        <v>91</v>
      </c>
      <c r="J2560" s="44">
        <f>YEAR(A2560)</f>
        <v>2023</v>
      </c>
    </row>
    <row r="2561" spans="1:10" ht="12" customHeight="1" x14ac:dyDescent="0.25">
      <c r="A2561" s="43">
        <v>45264</v>
      </c>
      <c r="B2561" s="47">
        <v>16089</v>
      </c>
      <c r="C2561" s="44" t="s">
        <v>501</v>
      </c>
      <c r="D2561" s="45">
        <v>-12.6</v>
      </c>
      <c r="E2561" s="48" t="s">
        <v>299</v>
      </c>
      <c r="F2561" s="48" t="s">
        <v>90</v>
      </c>
      <c r="G2561" s="48" t="s">
        <v>305</v>
      </c>
      <c r="I2561" s="44" t="s">
        <v>1065</v>
      </c>
      <c r="J2561" s="44">
        <f>YEAR(A2561)</f>
        <v>2023</v>
      </c>
    </row>
    <row r="2562" spans="1:10" ht="12" customHeight="1" x14ac:dyDescent="0.25">
      <c r="A2562" s="43">
        <v>45264</v>
      </c>
      <c r="B2562" s="47">
        <v>16089</v>
      </c>
      <c r="C2562" s="44" t="s">
        <v>501</v>
      </c>
      <c r="D2562" s="45">
        <v>12.6</v>
      </c>
      <c r="E2562" s="48" t="s">
        <v>89</v>
      </c>
      <c r="F2562" s="48" t="s">
        <v>90</v>
      </c>
      <c r="G2562" s="48" t="s">
        <v>91</v>
      </c>
      <c r="J2562" s="44">
        <f>YEAR(A2562)</f>
        <v>2023</v>
      </c>
    </row>
    <row r="2563" spans="1:10" ht="12" customHeight="1" x14ac:dyDescent="0.25">
      <c r="A2563" s="43">
        <v>45266</v>
      </c>
      <c r="B2563" s="47">
        <v>16090</v>
      </c>
      <c r="C2563" s="44" t="s">
        <v>468</v>
      </c>
      <c r="D2563" s="45">
        <v>-19.260000000000002</v>
      </c>
      <c r="E2563" s="48" t="s">
        <v>299</v>
      </c>
      <c r="F2563" s="48" t="s">
        <v>90</v>
      </c>
      <c r="G2563" s="48" t="s">
        <v>305</v>
      </c>
      <c r="I2563" s="44" t="s">
        <v>1065</v>
      </c>
      <c r="J2563" s="44">
        <f>YEAR(A2563)</f>
        <v>2023</v>
      </c>
    </row>
    <row r="2564" spans="1:10" ht="12" customHeight="1" x14ac:dyDescent="0.25">
      <c r="A2564" s="43">
        <v>45266</v>
      </c>
      <c r="B2564" s="47">
        <v>16090</v>
      </c>
      <c r="C2564" s="44" t="s">
        <v>468</v>
      </c>
      <c r="D2564" s="45">
        <v>19.260000000000002</v>
      </c>
      <c r="E2564" s="48" t="s">
        <v>197</v>
      </c>
      <c r="F2564" s="48" t="s">
        <v>90</v>
      </c>
      <c r="G2564" s="48" t="s">
        <v>91</v>
      </c>
      <c r="J2564" s="44">
        <f>YEAR(A2564)</f>
        <v>2023</v>
      </c>
    </row>
    <row r="2565" spans="1:10" ht="12" customHeight="1" x14ac:dyDescent="0.25">
      <c r="A2565" s="43">
        <v>45266</v>
      </c>
      <c r="B2565" s="47">
        <v>16091</v>
      </c>
      <c r="C2565" s="44" t="s">
        <v>501</v>
      </c>
      <c r="D2565" s="45">
        <v>-6.3</v>
      </c>
      <c r="E2565" s="48" t="s">
        <v>299</v>
      </c>
      <c r="F2565" s="48" t="s">
        <v>90</v>
      </c>
      <c r="G2565" s="48" t="s">
        <v>305</v>
      </c>
      <c r="I2565" s="44" t="s">
        <v>1065</v>
      </c>
      <c r="J2565" s="44">
        <f>YEAR(A2565)</f>
        <v>2023</v>
      </c>
    </row>
    <row r="2566" spans="1:10" ht="12" customHeight="1" x14ac:dyDescent="0.25">
      <c r="A2566" s="43">
        <v>45266</v>
      </c>
      <c r="B2566" s="47">
        <v>16091</v>
      </c>
      <c r="C2566" s="44" t="s">
        <v>501</v>
      </c>
      <c r="D2566" s="45">
        <v>6.3</v>
      </c>
      <c r="E2566" s="48" t="s">
        <v>89</v>
      </c>
      <c r="F2566" s="48" t="s">
        <v>90</v>
      </c>
      <c r="G2566" s="48" t="s">
        <v>91</v>
      </c>
      <c r="J2566" s="44">
        <f>YEAR(A2566)</f>
        <v>2023</v>
      </c>
    </row>
    <row r="2567" spans="1:10" ht="12" customHeight="1" x14ac:dyDescent="0.25">
      <c r="A2567" s="43">
        <v>45266</v>
      </c>
      <c r="B2567" s="47">
        <v>16092</v>
      </c>
      <c r="C2567" s="44" t="s">
        <v>462</v>
      </c>
      <c r="D2567" s="45">
        <v>-52.84</v>
      </c>
      <c r="E2567" s="48" t="s">
        <v>299</v>
      </c>
      <c r="F2567" s="48" t="s">
        <v>90</v>
      </c>
      <c r="G2567" s="48" t="s">
        <v>305</v>
      </c>
      <c r="I2567" s="44" t="s">
        <v>1065</v>
      </c>
      <c r="J2567" s="44">
        <f>YEAR(A2567)</f>
        <v>2023</v>
      </c>
    </row>
    <row r="2568" spans="1:10" ht="12" customHeight="1" x14ac:dyDescent="0.25">
      <c r="A2568" s="43">
        <v>45266</v>
      </c>
      <c r="B2568" s="47">
        <v>16092</v>
      </c>
      <c r="C2568" s="44" t="s">
        <v>462</v>
      </c>
      <c r="D2568" s="45">
        <v>28.99</v>
      </c>
      <c r="E2568" s="48" t="s">
        <v>105</v>
      </c>
      <c r="F2568" s="48" t="s">
        <v>90</v>
      </c>
      <c r="G2568" s="48" t="s">
        <v>91</v>
      </c>
      <c r="J2568" s="44">
        <f>YEAR(A2568)</f>
        <v>2023</v>
      </c>
    </row>
    <row r="2569" spans="1:10" ht="12" customHeight="1" x14ac:dyDescent="0.25">
      <c r="A2569" s="43">
        <v>45266</v>
      </c>
      <c r="B2569" s="47">
        <v>16092</v>
      </c>
      <c r="C2569" s="44" t="s">
        <v>462</v>
      </c>
      <c r="D2569" s="45">
        <v>23.85</v>
      </c>
      <c r="E2569" s="48" t="s">
        <v>89</v>
      </c>
      <c r="F2569" s="48" t="s">
        <v>90</v>
      </c>
      <c r="G2569" s="48" t="s">
        <v>91</v>
      </c>
      <c r="J2569" s="44">
        <f>YEAR(A2569)</f>
        <v>2023</v>
      </c>
    </row>
    <row r="2570" spans="1:10" ht="12" customHeight="1" x14ac:dyDescent="0.25">
      <c r="A2570" s="43">
        <v>45268</v>
      </c>
      <c r="B2570" s="47">
        <v>16093</v>
      </c>
      <c r="C2570" s="44" t="s">
        <v>1013</v>
      </c>
      <c r="D2570" s="45">
        <v>26.5</v>
      </c>
      <c r="E2570" s="48" t="s">
        <v>197</v>
      </c>
      <c r="F2570" s="48" t="s">
        <v>90</v>
      </c>
      <c r="G2570" s="48" t="s">
        <v>99</v>
      </c>
      <c r="J2570" s="44">
        <f>YEAR(A2570)</f>
        <v>2023</v>
      </c>
    </row>
    <row r="2571" spans="1:10" ht="12" customHeight="1" x14ac:dyDescent="0.25">
      <c r="A2571" s="43">
        <v>45268</v>
      </c>
      <c r="B2571" s="47">
        <v>16093</v>
      </c>
      <c r="C2571" s="44" t="s">
        <v>1013</v>
      </c>
      <c r="D2571" s="45">
        <v>-26.5</v>
      </c>
      <c r="E2571" s="48" t="s">
        <v>299</v>
      </c>
      <c r="F2571" s="48" t="s">
        <v>90</v>
      </c>
      <c r="G2571" s="48" t="s">
        <v>305</v>
      </c>
      <c r="I2571" s="44" t="s">
        <v>1065</v>
      </c>
      <c r="J2571" s="44">
        <f>YEAR(A2571)</f>
        <v>2023</v>
      </c>
    </row>
    <row r="2572" spans="1:10" ht="12" customHeight="1" x14ac:dyDescent="0.25">
      <c r="A2572" s="43">
        <v>45268</v>
      </c>
      <c r="B2572" s="47">
        <v>16094</v>
      </c>
      <c r="C2572" s="44" t="s">
        <v>462</v>
      </c>
      <c r="D2572" s="45">
        <v>17.09</v>
      </c>
      <c r="E2572" s="48" t="s">
        <v>105</v>
      </c>
      <c r="F2572" s="48" t="s">
        <v>90</v>
      </c>
      <c r="G2572" s="48" t="s">
        <v>91</v>
      </c>
      <c r="J2572" s="44">
        <f>YEAR(A2572)</f>
        <v>2023</v>
      </c>
    </row>
    <row r="2573" spans="1:10" ht="12" customHeight="1" x14ac:dyDescent="0.25">
      <c r="A2573" s="43">
        <v>45268</v>
      </c>
      <c r="B2573" s="47">
        <v>16094</v>
      </c>
      <c r="C2573" s="44" t="s">
        <v>462</v>
      </c>
      <c r="D2573" s="45">
        <v>12.75</v>
      </c>
      <c r="E2573" s="48" t="s">
        <v>89</v>
      </c>
      <c r="F2573" s="48" t="s">
        <v>90</v>
      </c>
      <c r="G2573" s="48" t="s">
        <v>91</v>
      </c>
      <c r="J2573" s="44">
        <f>YEAR(A2573)</f>
        <v>2023</v>
      </c>
    </row>
    <row r="2574" spans="1:10" ht="12" customHeight="1" x14ac:dyDescent="0.25">
      <c r="A2574" s="43">
        <v>45268</v>
      </c>
      <c r="B2574" s="47">
        <v>16094</v>
      </c>
      <c r="C2574" s="44" t="s">
        <v>462</v>
      </c>
      <c r="D2574" s="45">
        <v>-29.84</v>
      </c>
      <c r="E2574" s="48" t="s">
        <v>299</v>
      </c>
      <c r="F2574" s="48" t="s">
        <v>90</v>
      </c>
      <c r="G2574" s="48" t="s">
        <v>305</v>
      </c>
      <c r="I2574" s="44" t="s">
        <v>1065</v>
      </c>
      <c r="J2574" s="44">
        <f>YEAR(A2574)</f>
        <v>2023</v>
      </c>
    </row>
    <row r="2575" spans="1:10" ht="12" customHeight="1" x14ac:dyDescent="0.25">
      <c r="A2575" s="43">
        <v>45268</v>
      </c>
      <c r="B2575" s="47">
        <v>16095</v>
      </c>
      <c r="C2575" s="44" t="s">
        <v>444</v>
      </c>
      <c r="D2575" s="45">
        <v>66.78</v>
      </c>
      <c r="E2575" s="48" t="s">
        <v>180</v>
      </c>
      <c r="F2575" s="48" t="s">
        <v>96</v>
      </c>
      <c r="G2575" s="48" t="s">
        <v>186</v>
      </c>
      <c r="J2575" s="44">
        <f>YEAR(A2575)</f>
        <v>2023</v>
      </c>
    </row>
    <row r="2576" spans="1:10" ht="12" customHeight="1" x14ac:dyDescent="0.25">
      <c r="A2576" s="43">
        <v>45268</v>
      </c>
      <c r="B2576" s="47">
        <v>16095</v>
      </c>
      <c r="C2576" s="44" t="s">
        <v>444</v>
      </c>
      <c r="D2576" s="45">
        <v>-66.78</v>
      </c>
      <c r="E2576" s="48" t="s">
        <v>299</v>
      </c>
      <c r="F2576" s="48" t="s">
        <v>90</v>
      </c>
      <c r="G2576" s="48" t="s">
        <v>91</v>
      </c>
      <c r="H2576" s="44" t="s">
        <v>459</v>
      </c>
      <c r="I2576" s="44" t="s">
        <v>1021</v>
      </c>
      <c r="J2576" s="44">
        <f>YEAR(A2576)</f>
        <v>2023</v>
      </c>
    </row>
    <row r="2577" spans="1:11" ht="12" customHeight="1" x14ac:dyDescent="0.25">
      <c r="A2577" s="43">
        <v>45270</v>
      </c>
      <c r="B2577" s="47">
        <v>16096</v>
      </c>
      <c r="C2577" s="44" t="s">
        <v>1014</v>
      </c>
      <c r="D2577" s="45">
        <v>268</v>
      </c>
      <c r="E2577" s="48" t="s">
        <v>110</v>
      </c>
      <c r="F2577" s="48" t="s">
        <v>96</v>
      </c>
      <c r="G2577" s="48" t="s">
        <v>115</v>
      </c>
      <c r="H2577" s="44" t="s">
        <v>402</v>
      </c>
      <c r="J2577" s="44">
        <f>YEAR(A2577)</f>
        <v>2023</v>
      </c>
    </row>
    <row r="2578" spans="1:11" ht="12" customHeight="1" x14ac:dyDescent="0.25">
      <c r="A2578" s="43">
        <v>45270</v>
      </c>
      <c r="B2578" s="47">
        <v>16096</v>
      </c>
      <c r="C2578" s="44" t="s">
        <v>1014</v>
      </c>
      <c r="D2578" s="45">
        <v>-268</v>
      </c>
      <c r="E2578" s="48" t="s">
        <v>299</v>
      </c>
      <c r="F2578" s="48" t="s">
        <v>90</v>
      </c>
      <c r="G2578" s="48" t="s">
        <v>91</v>
      </c>
      <c r="I2578" s="44" t="s">
        <v>1067</v>
      </c>
      <c r="J2578" s="44">
        <f>YEAR(A2578)</f>
        <v>2023</v>
      </c>
    </row>
    <row r="2579" spans="1:11" ht="12" customHeight="1" x14ac:dyDescent="0.25">
      <c r="A2579" s="43">
        <v>45270</v>
      </c>
      <c r="B2579" s="47">
        <v>16097</v>
      </c>
      <c r="C2579" s="44" t="s">
        <v>1014</v>
      </c>
      <c r="D2579" s="45">
        <v>61</v>
      </c>
      <c r="E2579" s="48" t="s">
        <v>110</v>
      </c>
      <c r="F2579" s="48" t="s">
        <v>96</v>
      </c>
      <c r="G2579" s="48" t="s">
        <v>115</v>
      </c>
      <c r="H2579" s="44" t="s">
        <v>402</v>
      </c>
      <c r="J2579" s="44">
        <f>YEAR(A2579)</f>
        <v>2023</v>
      </c>
    </row>
    <row r="2580" spans="1:11" ht="12" customHeight="1" x14ac:dyDescent="0.25">
      <c r="A2580" s="43">
        <v>45270</v>
      </c>
      <c r="B2580" s="47">
        <v>16097</v>
      </c>
      <c r="C2580" s="44" t="s">
        <v>1014</v>
      </c>
      <c r="D2580" s="45">
        <v>-61</v>
      </c>
      <c r="E2580" s="48" t="s">
        <v>299</v>
      </c>
      <c r="F2580" s="48" t="s">
        <v>90</v>
      </c>
      <c r="G2580" s="48" t="s">
        <v>91</v>
      </c>
      <c r="I2580" s="44" t="s">
        <v>1067</v>
      </c>
      <c r="J2580" s="44">
        <f>YEAR(A2580)</f>
        <v>2023</v>
      </c>
    </row>
    <row r="2581" spans="1:11" ht="12" customHeight="1" x14ac:dyDescent="0.25">
      <c r="A2581" s="43">
        <v>45272</v>
      </c>
      <c r="B2581" s="47">
        <v>16098</v>
      </c>
      <c r="C2581" s="44" t="s">
        <v>446</v>
      </c>
      <c r="D2581" s="45">
        <v>120.61</v>
      </c>
      <c r="E2581" s="48" t="s">
        <v>89</v>
      </c>
      <c r="F2581" s="48" t="s">
        <v>90</v>
      </c>
      <c r="G2581" s="48" t="s">
        <v>91</v>
      </c>
      <c r="J2581" s="44">
        <f>YEAR(A2581)</f>
        <v>2023</v>
      </c>
    </row>
    <row r="2582" spans="1:11" ht="12" customHeight="1" x14ac:dyDescent="0.25">
      <c r="A2582" s="43">
        <v>45272</v>
      </c>
      <c r="B2582" s="47">
        <v>16098</v>
      </c>
      <c r="C2582" s="44" t="s">
        <v>446</v>
      </c>
      <c r="D2582" s="45">
        <v>-120.61</v>
      </c>
      <c r="E2582" s="48" t="s">
        <v>299</v>
      </c>
      <c r="F2582" s="48" t="s">
        <v>90</v>
      </c>
      <c r="G2582" s="48" t="s">
        <v>91</v>
      </c>
      <c r="H2582" s="44">
        <v>4089</v>
      </c>
      <c r="I2582" s="44" t="s">
        <v>1067</v>
      </c>
      <c r="J2582" s="44">
        <f>YEAR(A2582)</f>
        <v>2023</v>
      </c>
    </row>
    <row r="2583" spans="1:11" ht="12" customHeight="1" x14ac:dyDescent="0.25">
      <c r="A2583" s="43">
        <v>45268</v>
      </c>
      <c r="B2583" s="47">
        <v>16099</v>
      </c>
      <c r="C2583" s="44" t="s">
        <v>579</v>
      </c>
      <c r="D2583" s="45">
        <v>11.53</v>
      </c>
      <c r="E2583" s="48" t="s">
        <v>89</v>
      </c>
      <c r="F2583" s="48" t="s">
        <v>90</v>
      </c>
      <c r="G2583" s="48" t="s">
        <v>91</v>
      </c>
      <c r="J2583" s="44">
        <f>YEAR(A2583)</f>
        <v>2023</v>
      </c>
    </row>
    <row r="2584" spans="1:11" ht="12" customHeight="1" x14ac:dyDescent="0.25">
      <c r="A2584" s="43">
        <v>45268</v>
      </c>
      <c r="B2584" s="47">
        <v>16099</v>
      </c>
      <c r="C2584" s="44" t="s">
        <v>579</v>
      </c>
      <c r="D2584" s="45">
        <v>-11.53</v>
      </c>
      <c r="E2584" s="48" t="s">
        <v>299</v>
      </c>
      <c r="F2584" s="48" t="s">
        <v>90</v>
      </c>
      <c r="G2584" s="48" t="s">
        <v>305</v>
      </c>
      <c r="I2584" s="44" t="s">
        <v>1065</v>
      </c>
      <c r="J2584" s="44">
        <f>YEAR(A2584)</f>
        <v>2023</v>
      </c>
    </row>
    <row r="2585" spans="1:11" ht="12" customHeight="1" x14ac:dyDescent="0.25">
      <c r="A2585" s="43">
        <v>45268</v>
      </c>
      <c r="B2585" s="47">
        <v>16100</v>
      </c>
      <c r="C2585" s="44" t="s">
        <v>443</v>
      </c>
      <c r="D2585" s="45">
        <v>15</v>
      </c>
      <c r="E2585" s="48" t="s">
        <v>89</v>
      </c>
      <c r="F2585" s="48" t="s">
        <v>96</v>
      </c>
      <c r="G2585" s="48" t="s">
        <v>91</v>
      </c>
      <c r="J2585" s="44">
        <f>YEAR(A2585)</f>
        <v>2023</v>
      </c>
    </row>
    <row r="2586" spans="1:11" ht="12" customHeight="1" x14ac:dyDescent="0.25">
      <c r="A2586" s="43">
        <v>45268</v>
      </c>
      <c r="B2586" s="47">
        <v>16100</v>
      </c>
      <c r="C2586" s="44" t="s">
        <v>443</v>
      </c>
      <c r="D2586" s="45">
        <v>-15</v>
      </c>
      <c r="E2586" s="48" t="s">
        <v>299</v>
      </c>
      <c r="F2586" s="48" t="s">
        <v>90</v>
      </c>
      <c r="G2586" s="48" t="s">
        <v>305</v>
      </c>
      <c r="I2586" s="44" t="s">
        <v>1065</v>
      </c>
      <c r="J2586" s="44">
        <f>YEAR(A2586)</f>
        <v>2023</v>
      </c>
    </row>
    <row r="2587" spans="1:11" ht="12" customHeight="1" x14ac:dyDescent="0.25">
      <c r="A2587" s="43">
        <v>45268</v>
      </c>
      <c r="B2587" s="47">
        <v>16101</v>
      </c>
      <c r="C2587" s="44" t="s">
        <v>443</v>
      </c>
      <c r="D2587" s="45">
        <v>2.8</v>
      </c>
      <c r="E2587" s="48" t="s">
        <v>89</v>
      </c>
      <c r="F2587" s="48" t="s">
        <v>96</v>
      </c>
      <c r="G2587" s="48" t="s">
        <v>91</v>
      </c>
      <c r="J2587" s="44">
        <f>YEAR(A2587)</f>
        <v>2023</v>
      </c>
    </row>
    <row r="2588" spans="1:11" ht="12" customHeight="1" x14ac:dyDescent="0.25">
      <c r="A2588" s="43">
        <v>45268</v>
      </c>
      <c r="B2588" s="47">
        <v>16101</v>
      </c>
      <c r="C2588" s="44" t="s">
        <v>443</v>
      </c>
      <c r="D2588" s="45">
        <v>-2.8</v>
      </c>
      <c r="E2588" s="48" t="s">
        <v>299</v>
      </c>
      <c r="F2588" s="48" t="s">
        <v>90</v>
      </c>
      <c r="G2588" s="48" t="s">
        <v>305</v>
      </c>
      <c r="I2588" s="44" t="s">
        <v>1065</v>
      </c>
      <c r="J2588" s="44">
        <f>YEAR(A2588)</f>
        <v>2023</v>
      </c>
    </row>
    <row r="2589" spans="1:11" ht="12" customHeight="1" x14ac:dyDescent="0.25">
      <c r="A2589" s="43">
        <v>45269</v>
      </c>
      <c r="B2589" s="47">
        <v>16102</v>
      </c>
      <c r="C2589" s="44" t="s">
        <v>1015</v>
      </c>
      <c r="D2589" s="45">
        <v>33.26</v>
      </c>
      <c r="E2589" s="48" t="s">
        <v>145</v>
      </c>
      <c r="F2589" s="48" t="s">
        <v>135</v>
      </c>
      <c r="G2589" s="48" t="s">
        <v>91</v>
      </c>
      <c r="J2589" s="44">
        <f>YEAR(A2589)</f>
        <v>2023</v>
      </c>
      <c r="K2589" s="49" t="s">
        <v>1016</v>
      </c>
    </row>
    <row r="2590" spans="1:11" ht="12" customHeight="1" x14ac:dyDescent="0.25">
      <c r="A2590" s="43">
        <v>45269</v>
      </c>
      <c r="B2590" s="47">
        <v>16102</v>
      </c>
      <c r="C2590" s="44" t="s">
        <v>1015</v>
      </c>
      <c r="D2590" s="45">
        <v>-33.26</v>
      </c>
      <c r="E2590" s="48" t="s">
        <v>299</v>
      </c>
      <c r="F2590" s="48" t="s">
        <v>90</v>
      </c>
      <c r="G2590" s="48" t="s">
        <v>305</v>
      </c>
      <c r="I2590" s="44" t="s">
        <v>1065</v>
      </c>
      <c r="J2590" s="44">
        <f>YEAR(A2590)</f>
        <v>2023</v>
      </c>
    </row>
    <row r="2591" spans="1:11" ht="12" customHeight="1" x14ac:dyDescent="0.25">
      <c r="A2591" s="43">
        <v>45269</v>
      </c>
      <c r="B2591" s="47">
        <v>16103</v>
      </c>
      <c r="C2591" s="44" t="s">
        <v>480</v>
      </c>
      <c r="D2591" s="45">
        <v>3.99</v>
      </c>
      <c r="E2591" s="48" t="s">
        <v>89</v>
      </c>
      <c r="F2591" s="48" t="s">
        <v>90</v>
      </c>
      <c r="G2591" s="48" t="s">
        <v>91</v>
      </c>
      <c r="J2591" s="44">
        <f>YEAR(A2591)</f>
        <v>2023</v>
      </c>
    </row>
    <row r="2592" spans="1:11" ht="12" customHeight="1" x14ac:dyDescent="0.25">
      <c r="A2592" s="43">
        <v>45269</v>
      </c>
      <c r="B2592" s="47">
        <v>16103</v>
      </c>
      <c r="C2592" s="44" t="s">
        <v>480</v>
      </c>
      <c r="D2592" s="45">
        <v>21.9</v>
      </c>
      <c r="E2592" s="48" t="s">
        <v>145</v>
      </c>
      <c r="F2592" s="48" t="s">
        <v>128</v>
      </c>
      <c r="G2592" s="48" t="s">
        <v>115</v>
      </c>
      <c r="J2592" s="44">
        <f>YEAR(A2592)</f>
        <v>2023</v>
      </c>
    </row>
    <row r="2593" spans="1:10" ht="12" customHeight="1" x14ac:dyDescent="0.25">
      <c r="A2593" s="43">
        <v>45269</v>
      </c>
      <c r="B2593" s="47">
        <v>16103</v>
      </c>
      <c r="C2593" s="44" t="s">
        <v>480</v>
      </c>
      <c r="D2593" s="45">
        <v>-25.89</v>
      </c>
      <c r="E2593" s="48" t="s">
        <v>299</v>
      </c>
      <c r="F2593" s="48" t="s">
        <v>90</v>
      </c>
      <c r="G2593" s="48" t="s">
        <v>305</v>
      </c>
      <c r="I2593" s="44" t="s">
        <v>1065</v>
      </c>
      <c r="J2593" s="44">
        <f>YEAR(A2593)</f>
        <v>2023</v>
      </c>
    </row>
    <row r="2594" spans="1:10" ht="12" customHeight="1" x14ac:dyDescent="0.25">
      <c r="A2594" s="43">
        <v>45270</v>
      </c>
      <c r="B2594" s="47">
        <v>16104</v>
      </c>
      <c r="C2594" s="44" t="s">
        <v>464</v>
      </c>
      <c r="D2594" s="45">
        <v>36.96</v>
      </c>
      <c r="E2594" s="48" t="s">
        <v>89</v>
      </c>
      <c r="F2594" s="48" t="s">
        <v>90</v>
      </c>
      <c r="G2594" s="48" t="s">
        <v>91</v>
      </c>
      <c r="J2594" s="44">
        <f>YEAR(A2594)</f>
        <v>2023</v>
      </c>
    </row>
    <row r="2595" spans="1:10" ht="12" customHeight="1" x14ac:dyDescent="0.25">
      <c r="A2595" s="43">
        <v>45270</v>
      </c>
      <c r="B2595" s="47">
        <v>16104</v>
      </c>
      <c r="C2595" s="44" t="s">
        <v>464</v>
      </c>
      <c r="D2595" s="45">
        <v>-36.96</v>
      </c>
      <c r="E2595" s="48" t="s">
        <v>299</v>
      </c>
      <c r="F2595" s="48" t="s">
        <v>90</v>
      </c>
      <c r="G2595" s="48" t="s">
        <v>305</v>
      </c>
      <c r="I2595" s="44" t="s">
        <v>1065</v>
      </c>
      <c r="J2595" s="44">
        <f>YEAR(A2595)</f>
        <v>2023</v>
      </c>
    </row>
    <row r="2596" spans="1:10" ht="12" customHeight="1" x14ac:dyDescent="0.25">
      <c r="A2596" s="43">
        <v>45270</v>
      </c>
      <c r="B2596" s="47">
        <v>16105</v>
      </c>
      <c r="C2596" s="44" t="s">
        <v>481</v>
      </c>
      <c r="D2596" s="45">
        <v>20.96</v>
      </c>
      <c r="E2596" s="48" t="s">
        <v>89</v>
      </c>
      <c r="F2596" s="48" t="s">
        <v>90</v>
      </c>
      <c r="G2596" s="48" t="s">
        <v>91</v>
      </c>
      <c r="J2596" s="44">
        <f>YEAR(A2596)</f>
        <v>2023</v>
      </c>
    </row>
    <row r="2597" spans="1:10" ht="12" customHeight="1" x14ac:dyDescent="0.25">
      <c r="A2597" s="43">
        <v>45270</v>
      </c>
      <c r="B2597" s="47">
        <v>16105</v>
      </c>
      <c r="C2597" s="44" t="s">
        <v>481</v>
      </c>
      <c r="D2597" s="45">
        <v>-20.96</v>
      </c>
      <c r="E2597" s="48" t="s">
        <v>299</v>
      </c>
      <c r="F2597" s="48" t="s">
        <v>90</v>
      </c>
      <c r="G2597" s="48" t="s">
        <v>305</v>
      </c>
      <c r="I2597" s="44" t="s">
        <v>1065</v>
      </c>
      <c r="J2597" s="44">
        <f>YEAR(A2597)</f>
        <v>2023</v>
      </c>
    </row>
    <row r="2598" spans="1:10" ht="12" customHeight="1" x14ac:dyDescent="0.25">
      <c r="A2598" s="43">
        <v>45272</v>
      </c>
      <c r="B2598" s="47">
        <v>16106</v>
      </c>
      <c r="C2598" s="44" t="s">
        <v>568</v>
      </c>
      <c r="D2598" s="45">
        <v>62.83</v>
      </c>
      <c r="E2598" s="48" t="s">
        <v>89</v>
      </c>
      <c r="F2598" s="48" t="s">
        <v>90</v>
      </c>
      <c r="G2598" s="48" t="s">
        <v>91</v>
      </c>
      <c r="J2598" s="44">
        <f>YEAR(A2598)</f>
        <v>2023</v>
      </c>
    </row>
    <row r="2599" spans="1:10" ht="12" customHeight="1" x14ac:dyDescent="0.25">
      <c r="A2599" s="43">
        <v>45272</v>
      </c>
      <c r="B2599" s="47">
        <v>16106</v>
      </c>
      <c r="C2599" s="44" t="s">
        <v>568</v>
      </c>
      <c r="D2599" s="45">
        <v>-62.83</v>
      </c>
      <c r="E2599" s="48" t="s">
        <v>299</v>
      </c>
      <c r="F2599" s="48" t="s">
        <v>90</v>
      </c>
      <c r="G2599" s="48" t="s">
        <v>305</v>
      </c>
      <c r="I2599" s="44" t="s">
        <v>1065</v>
      </c>
      <c r="J2599" s="44">
        <f>YEAR(A2599)</f>
        <v>2023</v>
      </c>
    </row>
    <row r="2600" spans="1:10" ht="12" customHeight="1" x14ac:dyDescent="0.25">
      <c r="A2600" s="43">
        <v>45272</v>
      </c>
      <c r="B2600" s="47">
        <v>16107</v>
      </c>
      <c r="C2600" s="44" t="s">
        <v>453</v>
      </c>
      <c r="D2600" s="45">
        <v>12.9</v>
      </c>
      <c r="E2600" s="48" t="s">
        <v>89</v>
      </c>
      <c r="F2600" s="48" t="s">
        <v>90</v>
      </c>
      <c r="G2600" s="48" t="s">
        <v>91</v>
      </c>
      <c r="J2600" s="44">
        <f>YEAR(A2600)</f>
        <v>2023</v>
      </c>
    </row>
    <row r="2601" spans="1:10" ht="12" customHeight="1" x14ac:dyDescent="0.25">
      <c r="A2601" s="43">
        <v>45272</v>
      </c>
      <c r="B2601" s="47">
        <v>16107</v>
      </c>
      <c r="C2601" s="44" t="s">
        <v>453</v>
      </c>
      <c r="D2601" s="45">
        <v>-12.9</v>
      </c>
      <c r="E2601" s="48" t="s">
        <v>299</v>
      </c>
      <c r="F2601" s="48" t="s">
        <v>90</v>
      </c>
      <c r="G2601" s="48" t="s">
        <v>305</v>
      </c>
      <c r="I2601" s="44" t="s">
        <v>1065</v>
      </c>
      <c r="J2601" s="44">
        <f>YEAR(A2601)</f>
        <v>2023</v>
      </c>
    </row>
    <row r="2602" spans="1:10" ht="12" customHeight="1" x14ac:dyDescent="0.25">
      <c r="A2602" s="43">
        <v>45272</v>
      </c>
      <c r="B2602" s="47">
        <v>16108</v>
      </c>
      <c r="C2602" s="44" t="s">
        <v>475</v>
      </c>
      <c r="D2602" s="45">
        <v>8</v>
      </c>
      <c r="E2602" s="48" t="s">
        <v>89</v>
      </c>
      <c r="F2602" s="48" t="s">
        <v>90</v>
      </c>
      <c r="G2602" s="48" t="s">
        <v>91</v>
      </c>
      <c r="J2602" s="44">
        <f>YEAR(A2602)</f>
        <v>2023</v>
      </c>
    </row>
    <row r="2603" spans="1:10" ht="12" customHeight="1" x14ac:dyDescent="0.25">
      <c r="A2603" s="43">
        <v>45272</v>
      </c>
      <c r="B2603" s="47">
        <v>16108</v>
      </c>
      <c r="C2603" s="44" t="s">
        <v>475</v>
      </c>
      <c r="D2603" s="45">
        <v>-8</v>
      </c>
      <c r="E2603" s="48" t="s">
        <v>299</v>
      </c>
      <c r="F2603" s="48" t="s">
        <v>90</v>
      </c>
      <c r="G2603" s="48" t="s">
        <v>305</v>
      </c>
      <c r="I2603" s="44" t="s">
        <v>1065</v>
      </c>
      <c r="J2603" s="44">
        <f>YEAR(A2603)</f>
        <v>2023</v>
      </c>
    </row>
    <row r="2604" spans="1:10" ht="12" customHeight="1" x14ac:dyDescent="0.25">
      <c r="A2604" s="43">
        <v>45272</v>
      </c>
      <c r="B2604" s="47">
        <v>16109</v>
      </c>
      <c r="C2604" s="44" t="s">
        <v>1017</v>
      </c>
      <c r="D2604" s="45">
        <v>2</v>
      </c>
      <c r="E2604" s="48" t="s">
        <v>89</v>
      </c>
      <c r="F2604" s="48" t="s">
        <v>90</v>
      </c>
      <c r="G2604" s="48" t="s">
        <v>91</v>
      </c>
      <c r="J2604" s="44">
        <f>YEAR(A2604)</f>
        <v>2023</v>
      </c>
    </row>
    <row r="2605" spans="1:10" ht="12" customHeight="1" x14ac:dyDescent="0.25">
      <c r="A2605" s="43">
        <v>45272</v>
      </c>
      <c r="B2605" s="47">
        <v>16109</v>
      </c>
      <c r="C2605" s="44" t="s">
        <v>1017</v>
      </c>
      <c r="D2605" s="45">
        <v>2.2999999999999998</v>
      </c>
      <c r="E2605" s="48" t="s">
        <v>197</v>
      </c>
      <c r="F2605" s="48" t="s">
        <v>96</v>
      </c>
      <c r="G2605" s="48" t="s">
        <v>91</v>
      </c>
      <c r="J2605" s="44">
        <f>YEAR(A2605)</f>
        <v>2023</v>
      </c>
    </row>
    <row r="2606" spans="1:10" ht="12" customHeight="1" x14ac:dyDescent="0.25">
      <c r="A2606" s="43">
        <v>45272</v>
      </c>
      <c r="B2606" s="47">
        <v>16109</v>
      </c>
      <c r="C2606" s="44" t="s">
        <v>1017</v>
      </c>
      <c r="D2606" s="45">
        <v>-4.3</v>
      </c>
      <c r="E2606" s="48" t="s">
        <v>299</v>
      </c>
      <c r="F2606" s="48" t="s">
        <v>90</v>
      </c>
      <c r="G2606" s="48" t="s">
        <v>305</v>
      </c>
      <c r="I2606" s="44" t="s">
        <v>1065</v>
      </c>
      <c r="J2606" s="44">
        <f>YEAR(A2606)</f>
        <v>2023</v>
      </c>
    </row>
    <row r="2607" spans="1:10" ht="12" customHeight="1" x14ac:dyDescent="0.25">
      <c r="A2607" s="43">
        <v>45272</v>
      </c>
      <c r="B2607" s="47">
        <v>16110</v>
      </c>
      <c r="C2607" s="44" t="s">
        <v>989</v>
      </c>
      <c r="D2607" s="45">
        <v>144.11000000000001</v>
      </c>
      <c r="E2607" s="48" t="s">
        <v>89</v>
      </c>
      <c r="F2607" s="48" t="s">
        <v>90</v>
      </c>
      <c r="G2607" s="48" t="s">
        <v>91</v>
      </c>
      <c r="J2607" s="44">
        <f>YEAR(A2607)</f>
        <v>2023</v>
      </c>
    </row>
    <row r="2608" spans="1:10" ht="12" customHeight="1" x14ac:dyDescent="0.25">
      <c r="A2608" s="43">
        <v>45272</v>
      </c>
      <c r="B2608" s="47">
        <v>16110</v>
      </c>
      <c r="C2608" s="44" t="s">
        <v>989</v>
      </c>
      <c r="D2608" s="45">
        <v>-144.11000000000001</v>
      </c>
      <c r="E2608" s="48" t="s">
        <v>299</v>
      </c>
      <c r="F2608" s="48" t="s">
        <v>90</v>
      </c>
      <c r="G2608" s="48" t="s">
        <v>305</v>
      </c>
      <c r="I2608" s="44" t="s">
        <v>1065</v>
      </c>
      <c r="J2608" s="44">
        <f>YEAR(A2608)</f>
        <v>2023</v>
      </c>
    </row>
    <row r="2609" spans="1:10" ht="12" customHeight="1" x14ac:dyDescent="0.25">
      <c r="A2609" s="43">
        <v>45272</v>
      </c>
      <c r="B2609" s="47">
        <v>16111</v>
      </c>
      <c r="C2609" s="44" t="s">
        <v>464</v>
      </c>
      <c r="D2609" s="45">
        <v>18.68</v>
      </c>
      <c r="E2609" s="48" t="s">
        <v>89</v>
      </c>
      <c r="F2609" s="48" t="s">
        <v>90</v>
      </c>
      <c r="G2609" s="48" t="s">
        <v>91</v>
      </c>
      <c r="J2609" s="44">
        <f>YEAR(A2609)</f>
        <v>2023</v>
      </c>
    </row>
    <row r="2610" spans="1:10" ht="12" customHeight="1" x14ac:dyDescent="0.25">
      <c r="A2610" s="43">
        <v>45272</v>
      </c>
      <c r="B2610" s="47">
        <v>16111</v>
      </c>
      <c r="C2610" s="44" t="s">
        <v>464</v>
      </c>
      <c r="D2610" s="45">
        <v>-18.68</v>
      </c>
      <c r="E2610" s="48" t="s">
        <v>299</v>
      </c>
      <c r="F2610" s="48" t="s">
        <v>90</v>
      </c>
      <c r="G2610" s="48" t="s">
        <v>305</v>
      </c>
      <c r="I2610" s="44" t="s">
        <v>1065</v>
      </c>
      <c r="J2610" s="44">
        <f>YEAR(A2610)</f>
        <v>2023</v>
      </c>
    </row>
    <row r="2611" spans="1:10" ht="12" customHeight="1" x14ac:dyDescent="0.25">
      <c r="A2611" s="43">
        <v>45272</v>
      </c>
      <c r="B2611" s="47">
        <v>16112</v>
      </c>
      <c r="C2611" s="44" t="s">
        <v>580</v>
      </c>
      <c r="D2611" s="45">
        <v>20.2</v>
      </c>
      <c r="E2611" s="48" t="s">
        <v>89</v>
      </c>
      <c r="F2611" s="48" t="s">
        <v>90</v>
      </c>
      <c r="G2611" s="48" t="s">
        <v>91</v>
      </c>
      <c r="J2611" s="44">
        <f>YEAR(A2611)</f>
        <v>2023</v>
      </c>
    </row>
    <row r="2612" spans="1:10" ht="12" customHeight="1" x14ac:dyDescent="0.25">
      <c r="A2612" s="43">
        <v>45272</v>
      </c>
      <c r="B2612" s="47">
        <v>16112</v>
      </c>
      <c r="C2612" s="44" t="s">
        <v>580</v>
      </c>
      <c r="D2612" s="45">
        <v>-20.2</v>
      </c>
      <c r="E2612" s="48" t="s">
        <v>299</v>
      </c>
      <c r="F2612" s="48" t="s">
        <v>101</v>
      </c>
      <c r="G2612" s="48" t="s">
        <v>91</v>
      </c>
      <c r="J2612" s="44">
        <f>YEAR(A2612)</f>
        <v>2023</v>
      </c>
    </row>
    <row r="2613" spans="1:10" ht="12" customHeight="1" x14ac:dyDescent="0.25">
      <c r="A2613" s="43">
        <v>45254</v>
      </c>
      <c r="B2613" s="47">
        <v>16113</v>
      </c>
      <c r="C2613" s="44" t="s">
        <v>318</v>
      </c>
      <c r="D2613" s="45">
        <v>50.5</v>
      </c>
      <c r="E2613" s="48" t="s">
        <v>105</v>
      </c>
      <c r="F2613" s="48" t="s">
        <v>90</v>
      </c>
      <c r="G2613" s="48" t="s">
        <v>93</v>
      </c>
      <c r="J2613" s="44">
        <f>YEAR(A2613)</f>
        <v>2023</v>
      </c>
    </row>
    <row r="2614" spans="1:10" ht="12" customHeight="1" x14ac:dyDescent="0.25">
      <c r="A2614" s="43">
        <v>45254</v>
      </c>
      <c r="B2614" s="47">
        <v>16113</v>
      </c>
      <c r="C2614" s="44" t="s">
        <v>318</v>
      </c>
      <c r="D2614" s="45">
        <v>-50.5</v>
      </c>
      <c r="E2614" s="48" t="s">
        <v>299</v>
      </c>
      <c r="F2614" s="48" t="s">
        <v>90</v>
      </c>
      <c r="G2614" s="48" t="s">
        <v>305</v>
      </c>
      <c r="I2614" s="44" t="s">
        <v>1018</v>
      </c>
      <c r="J2614" s="44">
        <f>YEAR(A2614)</f>
        <v>2023</v>
      </c>
    </row>
    <row r="2615" spans="1:10" ht="12" customHeight="1" x14ac:dyDescent="0.25">
      <c r="A2615" s="43">
        <v>45265</v>
      </c>
      <c r="B2615" s="47">
        <v>16114</v>
      </c>
      <c r="C2615" s="44" t="s">
        <v>417</v>
      </c>
      <c r="D2615" s="45">
        <v>-3677.17</v>
      </c>
      <c r="E2615" s="48" t="s">
        <v>299</v>
      </c>
      <c r="F2615" s="48" t="s">
        <v>90</v>
      </c>
      <c r="G2615" s="48" t="s">
        <v>91</v>
      </c>
      <c r="I2615" s="44" t="s">
        <v>1021</v>
      </c>
      <c r="J2615" s="44">
        <f>YEAR(A2615)</f>
        <v>2023</v>
      </c>
    </row>
    <row r="2616" spans="1:10" ht="12" customHeight="1" x14ac:dyDescent="0.25">
      <c r="A2616" s="43">
        <v>45265</v>
      </c>
      <c r="B2616" s="47">
        <v>16114</v>
      </c>
      <c r="C2616" s="44" t="s">
        <v>417</v>
      </c>
      <c r="D2616" s="45">
        <v>3677.17</v>
      </c>
      <c r="E2616" s="48" t="s">
        <v>299</v>
      </c>
      <c r="F2616" s="48" t="s">
        <v>90</v>
      </c>
      <c r="G2616" s="48" t="s">
        <v>305</v>
      </c>
      <c r="I2616" s="44" t="s">
        <v>1020</v>
      </c>
      <c r="J2616" s="44">
        <f>YEAR(A2616)</f>
        <v>2023</v>
      </c>
    </row>
    <row r="2617" spans="1:10" ht="12" customHeight="1" x14ac:dyDescent="0.25">
      <c r="A2617" s="43">
        <v>45264</v>
      </c>
      <c r="B2617" s="47">
        <v>16115</v>
      </c>
      <c r="C2617" s="44" t="s">
        <v>409</v>
      </c>
      <c r="D2617" s="45">
        <v>-3300</v>
      </c>
      <c r="E2617" s="48" t="s">
        <v>214</v>
      </c>
      <c r="F2617" s="48" t="s">
        <v>90</v>
      </c>
      <c r="G2617" s="48" t="s">
        <v>107</v>
      </c>
      <c r="J2617" s="44">
        <f>YEAR(A2617)</f>
        <v>2023</v>
      </c>
    </row>
    <row r="2618" spans="1:10" ht="12" customHeight="1" x14ac:dyDescent="0.25">
      <c r="A2618" s="43">
        <v>45264</v>
      </c>
      <c r="B2618" s="47">
        <v>16115</v>
      </c>
      <c r="C2618" s="44" t="s">
        <v>409</v>
      </c>
      <c r="D2618" s="45">
        <v>3300</v>
      </c>
      <c r="E2618" s="48" t="s">
        <v>299</v>
      </c>
      <c r="F2618" s="48" t="s">
        <v>90</v>
      </c>
      <c r="G2618" s="48" t="s">
        <v>91</v>
      </c>
      <c r="H2618" s="44" t="s">
        <v>398</v>
      </c>
      <c r="I2618" s="44" t="s">
        <v>1022</v>
      </c>
      <c r="J2618" s="44">
        <f>YEAR(A2618)</f>
        <v>2023</v>
      </c>
    </row>
    <row r="2619" spans="1:10" ht="12" customHeight="1" x14ac:dyDescent="0.25">
      <c r="A2619" s="43">
        <v>45247</v>
      </c>
      <c r="B2619" s="47">
        <v>16116</v>
      </c>
      <c r="C2619" s="44" t="s">
        <v>390</v>
      </c>
      <c r="D2619" s="45">
        <v>6.3</v>
      </c>
      <c r="E2619" s="48" t="s">
        <v>124</v>
      </c>
      <c r="F2619" s="48" t="s">
        <v>128</v>
      </c>
      <c r="G2619" s="48" t="s">
        <v>91</v>
      </c>
      <c r="J2619" s="44">
        <f>YEAR(A2619)</f>
        <v>2023</v>
      </c>
    </row>
    <row r="2620" spans="1:10" ht="12" customHeight="1" x14ac:dyDescent="0.25">
      <c r="A2620" s="43">
        <v>45247</v>
      </c>
      <c r="B2620" s="47">
        <v>16116</v>
      </c>
      <c r="C2620" s="44" t="s">
        <v>390</v>
      </c>
      <c r="D2620" s="45">
        <v>-6.3</v>
      </c>
      <c r="E2620" s="48" t="s">
        <v>299</v>
      </c>
      <c r="F2620" s="48" t="s">
        <v>90</v>
      </c>
      <c r="G2620" s="48" t="s">
        <v>91</v>
      </c>
      <c r="H2620" s="44" t="s">
        <v>391</v>
      </c>
      <c r="I2620" s="44" t="s">
        <v>1021</v>
      </c>
      <c r="J2620" s="44">
        <f>YEAR(A2620)</f>
        <v>2023</v>
      </c>
    </row>
    <row r="2621" spans="1:10" ht="12" customHeight="1" x14ac:dyDescent="0.25">
      <c r="A2621" s="43">
        <v>45247</v>
      </c>
      <c r="B2621" s="47">
        <v>16116</v>
      </c>
      <c r="C2621" s="44" t="s">
        <v>393</v>
      </c>
      <c r="D2621" s="45">
        <v>16.100000000000001</v>
      </c>
      <c r="E2621" s="48" t="s">
        <v>124</v>
      </c>
      <c r="F2621" s="48" t="s">
        <v>128</v>
      </c>
      <c r="G2621" s="48" t="s">
        <v>91</v>
      </c>
      <c r="J2621" s="44">
        <f>YEAR(A2621)</f>
        <v>2023</v>
      </c>
    </row>
    <row r="2622" spans="1:10" ht="12" customHeight="1" x14ac:dyDescent="0.25">
      <c r="A2622" s="43">
        <v>45247</v>
      </c>
      <c r="B2622" s="47">
        <v>16116</v>
      </c>
      <c r="C2622" s="44" t="s">
        <v>393</v>
      </c>
      <c r="D2622" s="45">
        <v>-16.100000000000001</v>
      </c>
      <c r="E2622" s="48" t="s">
        <v>299</v>
      </c>
      <c r="F2622" s="48" t="s">
        <v>90</v>
      </c>
      <c r="G2622" s="48" t="s">
        <v>91</v>
      </c>
      <c r="H2622" s="44" t="s">
        <v>391</v>
      </c>
      <c r="I2622" s="44" t="s">
        <v>1021</v>
      </c>
      <c r="J2622" s="44">
        <f>YEAR(A2622)</f>
        <v>2023</v>
      </c>
    </row>
    <row r="2623" spans="1:10" ht="12" customHeight="1" x14ac:dyDescent="0.25">
      <c r="A2623" s="43">
        <v>45247</v>
      </c>
      <c r="B2623" s="47">
        <v>16116</v>
      </c>
      <c r="C2623" s="44" t="s">
        <v>394</v>
      </c>
      <c r="D2623" s="45">
        <v>0.49</v>
      </c>
      <c r="E2623" s="48" t="s">
        <v>124</v>
      </c>
      <c r="F2623" s="48" t="s">
        <v>128</v>
      </c>
      <c r="G2623" s="48" t="s">
        <v>91</v>
      </c>
      <c r="J2623" s="44">
        <f>YEAR(A2623)</f>
        <v>2023</v>
      </c>
    </row>
    <row r="2624" spans="1:10" ht="12" customHeight="1" x14ac:dyDescent="0.25">
      <c r="A2624" s="43">
        <v>45247</v>
      </c>
      <c r="B2624" s="47">
        <v>16116</v>
      </c>
      <c r="C2624" s="44" t="s">
        <v>394</v>
      </c>
      <c r="D2624" s="45">
        <v>-0.49</v>
      </c>
      <c r="E2624" s="48" t="s">
        <v>299</v>
      </c>
      <c r="F2624" s="48" t="s">
        <v>90</v>
      </c>
      <c r="G2624" s="48" t="s">
        <v>91</v>
      </c>
      <c r="H2624" s="44" t="s">
        <v>391</v>
      </c>
      <c r="I2624" s="44" t="s">
        <v>1021</v>
      </c>
      <c r="J2624" s="44">
        <f>YEAR(A2624)</f>
        <v>2023</v>
      </c>
    </row>
    <row r="2625" spans="1:10" ht="12" customHeight="1" x14ac:dyDescent="0.25">
      <c r="A2625" s="43">
        <v>45247</v>
      </c>
      <c r="B2625" s="47">
        <v>16116</v>
      </c>
      <c r="C2625" s="44" t="s">
        <v>395</v>
      </c>
      <c r="D2625" s="45">
        <v>0.7</v>
      </c>
      <c r="E2625" s="48" t="s">
        <v>124</v>
      </c>
      <c r="F2625" s="48" t="s">
        <v>128</v>
      </c>
      <c r="G2625" s="48" t="s">
        <v>91</v>
      </c>
      <c r="J2625" s="44">
        <f>YEAR(A2625)</f>
        <v>2023</v>
      </c>
    </row>
    <row r="2626" spans="1:10" ht="12" customHeight="1" x14ac:dyDescent="0.25">
      <c r="A2626" s="43">
        <v>45247</v>
      </c>
      <c r="B2626" s="47">
        <v>16116</v>
      </c>
      <c r="C2626" s="44" t="s">
        <v>395</v>
      </c>
      <c r="D2626" s="45">
        <v>-0.7</v>
      </c>
      <c r="E2626" s="48" t="s">
        <v>299</v>
      </c>
      <c r="F2626" s="48" t="s">
        <v>90</v>
      </c>
      <c r="G2626" s="48" t="s">
        <v>91</v>
      </c>
      <c r="H2626" s="44" t="s">
        <v>391</v>
      </c>
      <c r="I2626" s="44" t="s">
        <v>1021</v>
      </c>
      <c r="J2626" s="44">
        <f>YEAR(A2626)</f>
        <v>2023</v>
      </c>
    </row>
    <row r="2627" spans="1:10" ht="12" customHeight="1" x14ac:dyDescent="0.25">
      <c r="A2627" s="43">
        <v>45257</v>
      </c>
      <c r="B2627" s="47">
        <v>16117</v>
      </c>
      <c r="C2627" s="44" t="s">
        <v>396</v>
      </c>
      <c r="D2627" s="45">
        <v>30.2</v>
      </c>
      <c r="E2627" s="48" t="s">
        <v>157</v>
      </c>
      <c r="F2627" s="48" t="s">
        <v>155</v>
      </c>
      <c r="G2627" s="48" t="s">
        <v>94</v>
      </c>
      <c r="J2627" s="44">
        <f>YEAR(A2627)</f>
        <v>2023</v>
      </c>
    </row>
    <row r="2628" spans="1:10" ht="12" customHeight="1" x14ac:dyDescent="0.25">
      <c r="A2628" s="43">
        <v>45257</v>
      </c>
      <c r="B2628" s="47">
        <v>16117</v>
      </c>
      <c r="C2628" s="44" t="s">
        <v>396</v>
      </c>
      <c r="D2628" s="45">
        <v>-30.2</v>
      </c>
      <c r="E2628" s="48" t="s">
        <v>299</v>
      </c>
      <c r="F2628" s="48" t="s">
        <v>90</v>
      </c>
      <c r="G2628" s="48" t="s">
        <v>91</v>
      </c>
      <c r="H2628" s="44" t="s">
        <v>391</v>
      </c>
      <c r="I2628" s="44" t="s">
        <v>1021</v>
      </c>
      <c r="J2628" s="44">
        <f>YEAR(A2628)</f>
        <v>2023</v>
      </c>
    </row>
    <row r="2629" spans="1:10" ht="12" customHeight="1" x14ac:dyDescent="0.25">
      <c r="A2629" s="43">
        <v>45245</v>
      </c>
      <c r="B2629" s="47">
        <v>16118</v>
      </c>
      <c r="C2629" s="44" t="s">
        <v>397</v>
      </c>
      <c r="D2629" s="45">
        <v>-800</v>
      </c>
      <c r="E2629" s="48" t="s">
        <v>244</v>
      </c>
      <c r="F2629" s="48" t="s">
        <v>90</v>
      </c>
      <c r="G2629" s="48" t="s">
        <v>114</v>
      </c>
      <c r="J2629" s="44">
        <f>YEAR(A2629)</f>
        <v>2023</v>
      </c>
    </row>
    <row r="2630" spans="1:10" ht="12" customHeight="1" x14ac:dyDescent="0.25">
      <c r="A2630" s="43">
        <v>45245</v>
      </c>
      <c r="B2630" s="47">
        <v>16118</v>
      </c>
      <c r="C2630" s="44" t="s">
        <v>397</v>
      </c>
      <c r="D2630" s="45">
        <v>800</v>
      </c>
      <c r="E2630" s="48" t="s">
        <v>299</v>
      </c>
      <c r="F2630" s="48" t="s">
        <v>90</v>
      </c>
      <c r="G2630" s="48" t="s">
        <v>91</v>
      </c>
      <c r="H2630" s="44" t="s">
        <v>398</v>
      </c>
      <c r="I2630" s="44" t="s">
        <v>1022</v>
      </c>
      <c r="J2630" s="44">
        <f>YEAR(A2630)</f>
        <v>2023</v>
      </c>
    </row>
    <row r="2631" spans="1:10" ht="12" customHeight="1" x14ac:dyDescent="0.25">
      <c r="A2631" s="43">
        <v>45261</v>
      </c>
      <c r="B2631" s="47">
        <v>16119</v>
      </c>
      <c r="C2631" s="44" t="s">
        <v>399</v>
      </c>
      <c r="D2631" s="45">
        <v>19.989999999999998</v>
      </c>
      <c r="E2631" s="48" t="s">
        <v>157</v>
      </c>
      <c r="F2631" s="48" t="s">
        <v>155</v>
      </c>
      <c r="G2631" s="48" t="s">
        <v>98</v>
      </c>
      <c r="J2631" s="44">
        <f>YEAR(A2631)</f>
        <v>2023</v>
      </c>
    </row>
    <row r="2632" spans="1:10" ht="12" customHeight="1" x14ac:dyDescent="0.25">
      <c r="A2632" s="43">
        <v>45261</v>
      </c>
      <c r="B2632" s="47">
        <v>16119</v>
      </c>
      <c r="C2632" s="44" t="s">
        <v>399</v>
      </c>
      <c r="D2632" s="45">
        <v>-19.989999999999998</v>
      </c>
      <c r="E2632" s="48" t="s">
        <v>299</v>
      </c>
      <c r="F2632" s="48" t="s">
        <v>90</v>
      </c>
      <c r="G2632" s="48" t="s">
        <v>91</v>
      </c>
      <c r="H2632" s="44" t="s">
        <v>391</v>
      </c>
      <c r="I2632" s="44" t="s">
        <v>1021</v>
      </c>
      <c r="J2632" s="44">
        <f>YEAR(A2632)</f>
        <v>2023</v>
      </c>
    </row>
    <row r="2633" spans="1:10" ht="12" customHeight="1" x14ac:dyDescent="0.25">
      <c r="A2633" s="43">
        <v>45261</v>
      </c>
      <c r="B2633" s="47">
        <v>16119</v>
      </c>
      <c r="C2633" s="44" t="s">
        <v>400</v>
      </c>
      <c r="D2633" s="45">
        <v>19.989999999999998</v>
      </c>
      <c r="E2633" s="48" t="s">
        <v>157</v>
      </c>
      <c r="F2633" s="48" t="s">
        <v>155</v>
      </c>
      <c r="G2633" s="48" t="s">
        <v>95</v>
      </c>
      <c r="J2633" s="44">
        <f>YEAR(A2633)</f>
        <v>2023</v>
      </c>
    </row>
    <row r="2634" spans="1:10" ht="12" customHeight="1" x14ac:dyDescent="0.25">
      <c r="A2634" s="43">
        <v>45261</v>
      </c>
      <c r="B2634" s="47">
        <v>16119</v>
      </c>
      <c r="C2634" s="44" t="s">
        <v>400</v>
      </c>
      <c r="D2634" s="45">
        <v>-19.989999999999998</v>
      </c>
      <c r="E2634" s="48" t="s">
        <v>299</v>
      </c>
      <c r="F2634" s="48" t="s">
        <v>90</v>
      </c>
      <c r="G2634" s="48" t="s">
        <v>91</v>
      </c>
      <c r="H2634" s="44" t="s">
        <v>391</v>
      </c>
      <c r="I2634" s="44" t="s">
        <v>1021</v>
      </c>
      <c r="J2634" s="44">
        <f>YEAR(A2634)</f>
        <v>2023</v>
      </c>
    </row>
    <row r="2635" spans="1:10" ht="12" customHeight="1" x14ac:dyDescent="0.25">
      <c r="A2635" s="43">
        <v>45254</v>
      </c>
      <c r="B2635" s="47">
        <v>16120</v>
      </c>
      <c r="C2635" s="44" t="s">
        <v>951</v>
      </c>
      <c r="D2635" s="45">
        <v>19.989999999999998</v>
      </c>
      <c r="E2635" s="48" t="s">
        <v>157</v>
      </c>
      <c r="F2635" s="48" t="s">
        <v>155</v>
      </c>
      <c r="G2635" s="48" t="s">
        <v>99</v>
      </c>
      <c r="J2635" s="44">
        <f>YEAR(A2635)</f>
        <v>2023</v>
      </c>
    </row>
    <row r="2636" spans="1:10" ht="12" customHeight="1" x14ac:dyDescent="0.25">
      <c r="A2636" s="43">
        <v>45254</v>
      </c>
      <c r="B2636" s="47">
        <v>16120</v>
      </c>
      <c r="C2636" s="44" t="s">
        <v>951</v>
      </c>
      <c r="D2636" s="45">
        <v>-19.989999999999998</v>
      </c>
      <c r="E2636" s="48" t="s">
        <v>299</v>
      </c>
      <c r="F2636" s="48" t="s">
        <v>90</v>
      </c>
      <c r="G2636" s="48" t="s">
        <v>91</v>
      </c>
      <c r="H2636" s="44" t="s">
        <v>391</v>
      </c>
      <c r="I2636" s="44" t="s">
        <v>1021</v>
      </c>
      <c r="J2636" s="44">
        <f>YEAR(A2636)</f>
        <v>2023</v>
      </c>
    </row>
    <row r="2637" spans="1:10" ht="12" customHeight="1" x14ac:dyDescent="0.25">
      <c r="A2637" s="43">
        <v>45245</v>
      </c>
      <c r="B2637" s="47">
        <v>16121</v>
      </c>
      <c r="C2637" s="44" t="s">
        <v>401</v>
      </c>
      <c r="D2637" s="45">
        <v>234</v>
      </c>
      <c r="E2637" s="48" t="s">
        <v>110</v>
      </c>
      <c r="F2637" s="48" t="s">
        <v>90</v>
      </c>
      <c r="G2637" s="48" t="s">
        <v>91</v>
      </c>
      <c r="J2637" s="44">
        <f>YEAR(A2637)</f>
        <v>2023</v>
      </c>
    </row>
    <row r="2638" spans="1:10" ht="12" customHeight="1" x14ac:dyDescent="0.25">
      <c r="A2638" s="43">
        <v>45245</v>
      </c>
      <c r="B2638" s="47">
        <v>16121</v>
      </c>
      <c r="C2638" s="44" t="s">
        <v>401</v>
      </c>
      <c r="D2638" s="45">
        <v>-234</v>
      </c>
      <c r="E2638" s="48" t="s">
        <v>299</v>
      </c>
      <c r="F2638" s="48" t="s">
        <v>90</v>
      </c>
      <c r="G2638" s="48" t="s">
        <v>91</v>
      </c>
      <c r="H2638" s="44" t="s">
        <v>402</v>
      </c>
      <c r="I2638" s="44" t="s">
        <v>1021</v>
      </c>
      <c r="J2638" s="44">
        <f>YEAR(A2638)</f>
        <v>2023</v>
      </c>
    </row>
    <row r="2639" spans="1:10" ht="12" customHeight="1" x14ac:dyDescent="0.25">
      <c r="A2639" s="43">
        <v>45247</v>
      </c>
      <c r="B2639" s="47">
        <v>16122</v>
      </c>
      <c r="C2639" s="44" t="s">
        <v>225</v>
      </c>
      <c r="D2639" s="45">
        <v>-86.9</v>
      </c>
      <c r="E2639" s="48" t="s">
        <v>222</v>
      </c>
      <c r="F2639" s="48" t="s">
        <v>90</v>
      </c>
      <c r="G2639" s="48" t="s">
        <v>225</v>
      </c>
      <c r="J2639" s="44">
        <f>YEAR(A2639)</f>
        <v>2023</v>
      </c>
    </row>
    <row r="2640" spans="1:10" ht="12" customHeight="1" x14ac:dyDescent="0.25">
      <c r="A2640" s="43">
        <v>45247</v>
      </c>
      <c r="B2640" s="47">
        <v>16122</v>
      </c>
      <c r="C2640" s="44" t="s">
        <v>225</v>
      </c>
      <c r="D2640" s="45">
        <v>86.9</v>
      </c>
      <c r="E2640" s="48" t="s">
        <v>299</v>
      </c>
      <c r="F2640" s="48" t="s">
        <v>90</v>
      </c>
      <c r="G2640" s="48" t="s">
        <v>91</v>
      </c>
      <c r="H2640" s="44" t="s">
        <v>398</v>
      </c>
      <c r="I2640" s="44" t="s">
        <v>1022</v>
      </c>
      <c r="J2640" s="44">
        <f>YEAR(A2640)</f>
        <v>2023</v>
      </c>
    </row>
    <row r="2641" spans="1:10" ht="12" customHeight="1" x14ac:dyDescent="0.25">
      <c r="A2641" s="43">
        <v>45250</v>
      </c>
      <c r="B2641" s="47">
        <v>16123</v>
      </c>
      <c r="C2641" s="44" t="s">
        <v>405</v>
      </c>
      <c r="D2641" s="45">
        <v>-38.97</v>
      </c>
      <c r="E2641" s="48" t="s">
        <v>299</v>
      </c>
      <c r="F2641" s="48" t="s">
        <v>90</v>
      </c>
      <c r="G2641" s="48" t="s">
        <v>91</v>
      </c>
      <c r="H2641" s="44" t="s">
        <v>391</v>
      </c>
      <c r="I2641" s="44" t="s">
        <v>1021</v>
      </c>
      <c r="J2641" s="44">
        <f>YEAR(A2641)</f>
        <v>2023</v>
      </c>
    </row>
    <row r="2642" spans="1:10" ht="12" customHeight="1" x14ac:dyDescent="0.25">
      <c r="A2642" s="43">
        <v>45250</v>
      </c>
      <c r="B2642" s="47">
        <v>16123</v>
      </c>
      <c r="C2642" s="44" t="s">
        <v>405</v>
      </c>
      <c r="D2642" s="45">
        <v>38.97</v>
      </c>
      <c r="E2642" s="48" t="s">
        <v>157</v>
      </c>
      <c r="F2642" s="48" t="s">
        <v>137</v>
      </c>
      <c r="G2642" s="48" t="s">
        <v>115</v>
      </c>
      <c r="J2642" s="44">
        <f>YEAR(A2642)</f>
        <v>2023</v>
      </c>
    </row>
    <row r="2643" spans="1:10" ht="12" customHeight="1" x14ac:dyDescent="0.25">
      <c r="A2643" s="43">
        <v>45250</v>
      </c>
      <c r="B2643" s="47">
        <v>16124</v>
      </c>
      <c r="C2643" s="44" t="s">
        <v>406</v>
      </c>
      <c r="D2643" s="45">
        <v>-96.83</v>
      </c>
      <c r="E2643" s="48" t="s">
        <v>299</v>
      </c>
      <c r="F2643" s="48" t="s">
        <v>90</v>
      </c>
      <c r="G2643" s="48" t="s">
        <v>91</v>
      </c>
      <c r="H2643" s="44" t="s">
        <v>391</v>
      </c>
      <c r="I2643" s="44" t="s">
        <v>1021</v>
      </c>
      <c r="J2643" s="44">
        <f>YEAR(A2643)</f>
        <v>2023</v>
      </c>
    </row>
    <row r="2644" spans="1:10" ht="12" customHeight="1" x14ac:dyDescent="0.25">
      <c r="A2644" s="43">
        <v>45250</v>
      </c>
      <c r="B2644" s="47">
        <v>16124</v>
      </c>
      <c r="C2644" s="44" t="s">
        <v>406</v>
      </c>
      <c r="D2644" s="45">
        <v>96.83</v>
      </c>
      <c r="E2644" s="48" t="s">
        <v>157</v>
      </c>
      <c r="F2644" s="48" t="s">
        <v>137</v>
      </c>
      <c r="G2644" s="48" t="s">
        <v>115</v>
      </c>
      <c r="J2644" s="44">
        <f>YEAR(A2644)</f>
        <v>2023</v>
      </c>
    </row>
    <row r="2645" spans="1:10" ht="12" customHeight="1" x14ac:dyDescent="0.25">
      <c r="A2645" s="43">
        <v>45252</v>
      </c>
      <c r="B2645" s="47">
        <v>16125</v>
      </c>
      <c r="C2645" s="44" t="s">
        <v>407</v>
      </c>
      <c r="D2645" s="45">
        <v>14.99</v>
      </c>
      <c r="E2645" s="48" t="s">
        <v>157</v>
      </c>
      <c r="F2645" s="48" t="s">
        <v>116</v>
      </c>
      <c r="G2645" s="48" t="s">
        <v>91</v>
      </c>
      <c r="J2645" s="44">
        <f>YEAR(A2645)</f>
        <v>2023</v>
      </c>
    </row>
    <row r="2646" spans="1:10" ht="12" customHeight="1" x14ac:dyDescent="0.25">
      <c r="A2646" s="43">
        <v>45252</v>
      </c>
      <c r="B2646" s="47">
        <v>16125</v>
      </c>
      <c r="C2646" s="44" t="s">
        <v>407</v>
      </c>
      <c r="D2646" s="45">
        <v>-14.99</v>
      </c>
      <c r="E2646" s="48" t="s">
        <v>299</v>
      </c>
      <c r="F2646" s="48" t="s">
        <v>90</v>
      </c>
      <c r="G2646" s="48" t="s">
        <v>91</v>
      </c>
      <c r="H2646" s="44" t="s">
        <v>391</v>
      </c>
      <c r="I2646" s="44" t="s">
        <v>1021</v>
      </c>
      <c r="J2646" s="44">
        <f>YEAR(A2646)</f>
        <v>2023</v>
      </c>
    </row>
    <row r="2647" spans="1:10" ht="12" customHeight="1" x14ac:dyDescent="0.25">
      <c r="A2647" s="43">
        <v>45252</v>
      </c>
      <c r="B2647" s="47">
        <v>16126</v>
      </c>
      <c r="C2647" s="44" t="s">
        <v>570</v>
      </c>
      <c r="D2647" s="45">
        <v>-263</v>
      </c>
      <c r="E2647" s="48" t="s">
        <v>299</v>
      </c>
      <c r="F2647" s="48" t="s">
        <v>307</v>
      </c>
      <c r="G2647" s="48" t="s">
        <v>91</v>
      </c>
      <c r="J2647" s="44">
        <f>YEAR(A2647)</f>
        <v>2023</v>
      </c>
    </row>
    <row r="2648" spans="1:10" ht="12" customHeight="1" x14ac:dyDescent="0.25">
      <c r="A2648" s="43">
        <v>45252</v>
      </c>
      <c r="B2648" s="47">
        <v>16126</v>
      </c>
      <c r="C2648" s="44" t="s">
        <v>570</v>
      </c>
      <c r="D2648" s="45">
        <v>263</v>
      </c>
      <c r="E2648" s="48" t="s">
        <v>299</v>
      </c>
      <c r="F2648" s="48" t="s">
        <v>90</v>
      </c>
      <c r="G2648" s="48" t="s">
        <v>91</v>
      </c>
      <c r="H2648" s="44" t="s">
        <v>465</v>
      </c>
      <c r="I2648" s="44" t="s">
        <v>1022</v>
      </c>
      <c r="J2648" s="44">
        <f>YEAR(A2648)</f>
        <v>2023</v>
      </c>
    </row>
    <row r="2649" spans="1:10" ht="12" customHeight="1" x14ac:dyDescent="0.25">
      <c r="A2649" s="43">
        <v>45252</v>
      </c>
      <c r="B2649" s="47">
        <v>16126</v>
      </c>
      <c r="C2649" s="44" t="s">
        <v>570</v>
      </c>
      <c r="D2649" s="45">
        <v>-556</v>
      </c>
      <c r="E2649" s="48" t="s">
        <v>299</v>
      </c>
      <c r="F2649" s="48" t="s">
        <v>307</v>
      </c>
      <c r="G2649" s="48" t="s">
        <v>91</v>
      </c>
      <c r="J2649" s="44">
        <f>YEAR(A2649)</f>
        <v>2023</v>
      </c>
    </row>
    <row r="2650" spans="1:10" ht="12" customHeight="1" x14ac:dyDescent="0.25">
      <c r="A2650" s="43">
        <v>45252</v>
      </c>
      <c r="B2650" s="47">
        <v>16126</v>
      </c>
      <c r="C2650" s="44" t="s">
        <v>570</v>
      </c>
      <c r="D2650" s="45">
        <v>556</v>
      </c>
      <c r="E2650" s="48" t="s">
        <v>299</v>
      </c>
      <c r="F2650" s="48" t="s">
        <v>90</v>
      </c>
      <c r="G2650" s="48" t="s">
        <v>91</v>
      </c>
      <c r="H2650" s="44" t="s">
        <v>465</v>
      </c>
      <c r="I2650" s="44" t="s">
        <v>1022</v>
      </c>
      <c r="J2650" s="44">
        <f>YEAR(A2650)</f>
        <v>2023</v>
      </c>
    </row>
    <row r="2651" spans="1:10" ht="12" customHeight="1" x14ac:dyDescent="0.25">
      <c r="A2651" s="43">
        <v>45240</v>
      </c>
      <c r="B2651" s="47">
        <v>16127</v>
      </c>
      <c r="C2651" s="44" t="s">
        <v>606</v>
      </c>
      <c r="D2651" s="45">
        <v>247</v>
      </c>
      <c r="E2651" s="48" t="s">
        <v>124</v>
      </c>
      <c r="F2651" s="48" t="s">
        <v>90</v>
      </c>
      <c r="G2651" s="48" t="s">
        <v>91</v>
      </c>
      <c r="J2651" s="44">
        <f>YEAR(A2651)</f>
        <v>2023</v>
      </c>
    </row>
    <row r="2652" spans="1:10" ht="12" customHeight="1" x14ac:dyDescent="0.25">
      <c r="A2652" s="43">
        <v>45240</v>
      </c>
      <c r="B2652" s="47">
        <v>16127</v>
      </c>
      <c r="C2652" s="44" t="s">
        <v>606</v>
      </c>
      <c r="D2652" s="45">
        <v>-247</v>
      </c>
      <c r="E2652" s="48" t="s">
        <v>299</v>
      </c>
      <c r="F2652" s="48" t="s">
        <v>90</v>
      </c>
      <c r="G2652" s="48" t="s">
        <v>91</v>
      </c>
      <c r="H2652" s="44" t="s">
        <v>391</v>
      </c>
      <c r="I2652" s="44" t="s">
        <v>1021</v>
      </c>
      <c r="J2652" s="44">
        <f>YEAR(A2652)</f>
        <v>2023</v>
      </c>
    </row>
    <row r="2653" spans="1:10" ht="12" customHeight="1" x14ac:dyDescent="0.25">
      <c r="A2653" s="43">
        <v>45270</v>
      </c>
      <c r="B2653" s="47">
        <v>16127</v>
      </c>
      <c r="C2653" s="44" t="s">
        <v>606</v>
      </c>
      <c r="D2653" s="45">
        <v>247</v>
      </c>
      <c r="E2653" s="48" t="s">
        <v>124</v>
      </c>
      <c r="F2653" s="48" t="s">
        <v>90</v>
      </c>
      <c r="G2653" s="48" t="s">
        <v>91</v>
      </c>
      <c r="J2653" s="44">
        <f>YEAR(A2653)</f>
        <v>2023</v>
      </c>
    </row>
    <row r="2654" spans="1:10" ht="12" customHeight="1" x14ac:dyDescent="0.25">
      <c r="A2654" s="43">
        <v>45270</v>
      </c>
      <c r="B2654" s="47">
        <v>16127</v>
      </c>
      <c r="C2654" s="44" t="s">
        <v>606</v>
      </c>
      <c r="D2654" s="45">
        <v>-247</v>
      </c>
      <c r="E2654" s="48" t="s">
        <v>299</v>
      </c>
      <c r="F2654" s="48" t="s">
        <v>90</v>
      </c>
      <c r="G2654" s="48" t="s">
        <v>91</v>
      </c>
      <c r="H2654" s="44" t="s">
        <v>391</v>
      </c>
      <c r="I2654" s="44" t="s">
        <v>1021</v>
      </c>
      <c r="J2654" s="44">
        <f>YEAR(A2654)</f>
        <v>2023</v>
      </c>
    </row>
    <row r="2655" spans="1:10" ht="12" customHeight="1" x14ac:dyDescent="0.25">
      <c r="A2655" s="43">
        <v>45244</v>
      </c>
      <c r="B2655" s="47">
        <v>16128</v>
      </c>
      <c r="C2655" s="44" t="s">
        <v>802</v>
      </c>
      <c r="D2655" s="45">
        <v>48.57</v>
      </c>
      <c r="E2655" s="48" t="s">
        <v>157</v>
      </c>
      <c r="F2655" s="48" t="s">
        <v>137</v>
      </c>
      <c r="G2655" s="48" t="s">
        <v>91</v>
      </c>
      <c r="J2655" s="44">
        <f>YEAR(A2655)</f>
        <v>2023</v>
      </c>
    </row>
    <row r="2656" spans="1:10" ht="12" customHeight="1" x14ac:dyDescent="0.25">
      <c r="A2656" s="43">
        <v>45244</v>
      </c>
      <c r="B2656" s="47">
        <v>16128</v>
      </c>
      <c r="C2656" s="44" t="s">
        <v>802</v>
      </c>
      <c r="D2656" s="45">
        <v>-48.57</v>
      </c>
      <c r="E2656" s="48" t="s">
        <v>299</v>
      </c>
      <c r="F2656" s="48" t="s">
        <v>90</v>
      </c>
      <c r="G2656" s="48" t="s">
        <v>91</v>
      </c>
      <c r="H2656" s="44" t="s">
        <v>391</v>
      </c>
      <c r="I2656" s="44" t="s">
        <v>1021</v>
      </c>
      <c r="J2656" s="44">
        <f>YEAR(A2656)</f>
        <v>2023</v>
      </c>
    </row>
    <row r="2657" spans="1:10" ht="12" customHeight="1" x14ac:dyDescent="0.25">
      <c r="A2657" s="43">
        <v>45245</v>
      </c>
      <c r="B2657" s="47">
        <v>16129</v>
      </c>
      <c r="C2657" s="44" t="s">
        <v>448</v>
      </c>
      <c r="D2657" s="45">
        <v>108.8</v>
      </c>
      <c r="E2657" s="48" t="s">
        <v>180</v>
      </c>
      <c r="F2657" s="48" t="s">
        <v>90</v>
      </c>
      <c r="G2657" s="48" t="s">
        <v>91</v>
      </c>
      <c r="J2657" s="44">
        <f>YEAR(A2657)</f>
        <v>2023</v>
      </c>
    </row>
    <row r="2658" spans="1:10" ht="12" customHeight="1" x14ac:dyDescent="0.25">
      <c r="A2658" s="43">
        <v>45245</v>
      </c>
      <c r="B2658" s="47">
        <v>16129</v>
      </c>
      <c r="C2658" s="44" t="s">
        <v>448</v>
      </c>
      <c r="D2658" s="45">
        <v>-108.8</v>
      </c>
      <c r="E2658" s="48" t="s">
        <v>299</v>
      </c>
      <c r="F2658" s="48" t="s">
        <v>90</v>
      </c>
      <c r="G2658" s="48" t="s">
        <v>91</v>
      </c>
      <c r="H2658" s="44" t="s">
        <v>391</v>
      </c>
      <c r="I2658" s="44" t="s">
        <v>1021</v>
      </c>
      <c r="J2658" s="44">
        <f>YEAR(A2658)</f>
        <v>2023</v>
      </c>
    </row>
    <row r="2659" spans="1:10" ht="12" customHeight="1" x14ac:dyDescent="0.25">
      <c r="A2659" s="43">
        <v>45261</v>
      </c>
      <c r="B2659" s="47">
        <v>16131</v>
      </c>
      <c r="C2659" s="44" t="s">
        <v>563</v>
      </c>
      <c r="D2659" s="45">
        <v>-1133.4000000000001</v>
      </c>
      <c r="E2659" s="48" t="s">
        <v>214</v>
      </c>
      <c r="F2659" s="48" t="s">
        <v>90</v>
      </c>
      <c r="G2659" s="48" t="s">
        <v>99</v>
      </c>
      <c r="J2659" s="44">
        <f>YEAR(A2659)</f>
        <v>2023</v>
      </c>
    </row>
    <row r="2660" spans="1:10" ht="12" customHeight="1" x14ac:dyDescent="0.25">
      <c r="A2660" s="43">
        <v>45261</v>
      </c>
      <c r="B2660" s="47">
        <v>16131</v>
      </c>
      <c r="C2660" s="44" t="s">
        <v>564</v>
      </c>
      <c r="D2660" s="45">
        <v>0</v>
      </c>
      <c r="E2660" s="48" t="s">
        <v>110</v>
      </c>
      <c r="F2660" s="48" t="s">
        <v>90</v>
      </c>
      <c r="G2660" s="48" t="s">
        <v>91</v>
      </c>
      <c r="J2660" s="44">
        <f>YEAR(A2660)</f>
        <v>2023</v>
      </c>
    </row>
    <row r="2661" spans="1:10" ht="12" customHeight="1" x14ac:dyDescent="0.25">
      <c r="A2661" s="43">
        <v>45261</v>
      </c>
      <c r="B2661" s="47">
        <v>16131</v>
      </c>
      <c r="C2661" s="44" t="s">
        <v>563</v>
      </c>
      <c r="D2661" s="45">
        <v>1133.4000000000001</v>
      </c>
      <c r="E2661" s="48" t="s">
        <v>299</v>
      </c>
      <c r="F2661" s="48" t="s">
        <v>90</v>
      </c>
      <c r="G2661" s="48" t="s">
        <v>91</v>
      </c>
      <c r="H2661" s="44" t="s">
        <v>398</v>
      </c>
      <c r="I2661" s="44" t="s">
        <v>1022</v>
      </c>
      <c r="J2661" s="44">
        <f>YEAR(A2661)</f>
        <v>2023</v>
      </c>
    </row>
    <row r="2662" spans="1:10" ht="12" customHeight="1" x14ac:dyDescent="0.25">
      <c r="A2662" s="43">
        <v>45264</v>
      </c>
      <c r="B2662" s="47">
        <v>16132</v>
      </c>
      <c r="C2662" s="44" t="s">
        <v>560</v>
      </c>
      <c r="D2662" s="45">
        <v>-447.19</v>
      </c>
      <c r="E2662" s="48" t="s">
        <v>214</v>
      </c>
      <c r="F2662" s="48" t="s">
        <v>128</v>
      </c>
      <c r="G2662" s="48" t="s">
        <v>99</v>
      </c>
      <c r="J2662" s="44">
        <f>YEAR(A2662)</f>
        <v>2023</v>
      </c>
    </row>
    <row r="2663" spans="1:10" ht="12" customHeight="1" x14ac:dyDescent="0.25">
      <c r="A2663" s="43">
        <v>45264</v>
      </c>
      <c r="B2663" s="47">
        <v>16132</v>
      </c>
      <c r="C2663" s="44" t="s">
        <v>560</v>
      </c>
      <c r="D2663" s="45">
        <v>0</v>
      </c>
      <c r="E2663" s="48" t="s">
        <v>110</v>
      </c>
      <c r="F2663" s="48" t="s">
        <v>90</v>
      </c>
      <c r="G2663" s="48" t="s">
        <v>91</v>
      </c>
      <c r="J2663" s="44">
        <f>YEAR(A2663)</f>
        <v>2023</v>
      </c>
    </row>
    <row r="2664" spans="1:10" ht="12" customHeight="1" x14ac:dyDescent="0.25">
      <c r="A2664" s="43">
        <v>45264</v>
      </c>
      <c r="B2664" s="47">
        <v>16132</v>
      </c>
      <c r="C2664" s="44" t="s">
        <v>560</v>
      </c>
      <c r="D2664" s="45">
        <v>447.19</v>
      </c>
      <c r="E2664" s="48" t="s">
        <v>299</v>
      </c>
      <c r="F2664" s="48" t="s">
        <v>90</v>
      </c>
      <c r="G2664" s="48" t="s">
        <v>91</v>
      </c>
      <c r="H2664" s="44" t="s">
        <v>398</v>
      </c>
      <c r="I2664" s="44" t="s">
        <v>1022</v>
      </c>
      <c r="J2664" s="44">
        <f>YEAR(A2664)</f>
        <v>2023</v>
      </c>
    </row>
    <row r="2665" spans="1:10" ht="12" customHeight="1" x14ac:dyDescent="0.25">
      <c r="A2665" s="43">
        <v>45265</v>
      </c>
      <c r="B2665" s="47">
        <v>16133</v>
      </c>
      <c r="C2665" s="44" t="s">
        <v>410</v>
      </c>
      <c r="D2665" s="45">
        <v>-715.89</v>
      </c>
      <c r="E2665" s="48" t="s">
        <v>214</v>
      </c>
      <c r="F2665" s="48" t="s">
        <v>128</v>
      </c>
      <c r="G2665" s="48" t="s">
        <v>99</v>
      </c>
      <c r="J2665" s="44">
        <f>YEAR(A2665)</f>
        <v>2023</v>
      </c>
    </row>
    <row r="2666" spans="1:10" ht="12" customHeight="1" x14ac:dyDescent="0.25">
      <c r="A2666" s="43">
        <v>45265</v>
      </c>
      <c r="B2666" s="47">
        <v>16133</v>
      </c>
      <c r="C2666" s="44" t="s">
        <v>411</v>
      </c>
      <c r="D2666" s="45">
        <v>0</v>
      </c>
      <c r="E2666" s="48" t="s">
        <v>110</v>
      </c>
      <c r="F2666" s="48" t="s">
        <v>90</v>
      </c>
      <c r="G2666" s="48" t="s">
        <v>91</v>
      </c>
      <c r="J2666" s="44">
        <f>YEAR(A2666)</f>
        <v>2023</v>
      </c>
    </row>
    <row r="2667" spans="1:10" ht="12" customHeight="1" x14ac:dyDescent="0.25">
      <c r="A2667" s="43">
        <v>45265</v>
      </c>
      <c r="B2667" s="47">
        <v>16133</v>
      </c>
      <c r="C2667" s="44" t="s">
        <v>410</v>
      </c>
      <c r="D2667" s="45">
        <v>715.89</v>
      </c>
      <c r="E2667" s="48" t="s">
        <v>299</v>
      </c>
      <c r="F2667" s="48" t="s">
        <v>90</v>
      </c>
      <c r="G2667" s="48" t="s">
        <v>91</v>
      </c>
      <c r="H2667" s="44" t="s">
        <v>398</v>
      </c>
      <c r="I2667" s="44" t="s">
        <v>1022</v>
      </c>
      <c r="J2667" s="44">
        <f>YEAR(A2667)</f>
        <v>2023</v>
      </c>
    </row>
    <row r="2668" spans="1:10" ht="12" customHeight="1" x14ac:dyDescent="0.25">
      <c r="A2668" s="43">
        <v>45273</v>
      </c>
      <c r="B2668" s="47">
        <v>16134</v>
      </c>
      <c r="C2668" s="44" t="s">
        <v>1023</v>
      </c>
      <c r="D2668" s="45">
        <v>-20</v>
      </c>
      <c r="E2668" s="48" t="s">
        <v>299</v>
      </c>
      <c r="F2668" s="48" t="s">
        <v>90</v>
      </c>
      <c r="G2668" s="48" t="s">
        <v>91</v>
      </c>
      <c r="H2668" s="44">
        <v>4090</v>
      </c>
      <c r="I2668" s="44" t="s">
        <v>1067</v>
      </c>
      <c r="J2668" s="44">
        <f>YEAR(A2668)</f>
        <v>2023</v>
      </c>
    </row>
    <row r="2669" spans="1:10" ht="12" customHeight="1" x14ac:dyDescent="0.25">
      <c r="A2669" s="43">
        <v>45273</v>
      </c>
      <c r="B2669" s="47">
        <v>16134</v>
      </c>
      <c r="C2669" s="44" t="s">
        <v>1023</v>
      </c>
      <c r="D2669" s="45">
        <v>20</v>
      </c>
      <c r="E2669" s="48" t="s">
        <v>145</v>
      </c>
      <c r="F2669" s="48" t="s">
        <v>135</v>
      </c>
      <c r="G2669" s="48" t="s">
        <v>91</v>
      </c>
      <c r="J2669" s="44">
        <f>YEAR(A2669)</f>
        <v>2023</v>
      </c>
    </row>
    <row r="2670" spans="1:10" ht="12" customHeight="1" x14ac:dyDescent="0.25">
      <c r="A2670" s="43">
        <v>45274</v>
      </c>
      <c r="B2670" s="47">
        <v>16135</v>
      </c>
      <c r="C2670" s="44" t="s">
        <v>472</v>
      </c>
      <c r="D2670" s="45">
        <v>72</v>
      </c>
      <c r="E2670" s="48" t="s">
        <v>197</v>
      </c>
      <c r="F2670" s="48" t="s">
        <v>96</v>
      </c>
      <c r="G2670" s="48" t="s">
        <v>99</v>
      </c>
      <c r="J2670" s="44">
        <f>YEAR(A2670)</f>
        <v>2023</v>
      </c>
    </row>
    <row r="2671" spans="1:10" ht="12" customHeight="1" x14ac:dyDescent="0.25">
      <c r="A2671" s="43">
        <v>45274</v>
      </c>
      <c r="B2671" s="47">
        <v>16135</v>
      </c>
      <c r="C2671" s="44" t="s">
        <v>472</v>
      </c>
      <c r="D2671" s="45">
        <v>-72</v>
      </c>
      <c r="E2671" s="48" t="s">
        <v>299</v>
      </c>
      <c r="F2671" s="48" t="s">
        <v>90</v>
      </c>
      <c r="G2671" s="48" t="s">
        <v>305</v>
      </c>
      <c r="I2671" s="44" t="s">
        <v>1065</v>
      </c>
      <c r="J2671" s="44">
        <f>YEAR(A2671)</f>
        <v>2023</v>
      </c>
    </row>
    <row r="2672" spans="1:10" ht="12" customHeight="1" x14ac:dyDescent="0.25">
      <c r="A2672" s="43">
        <v>45274</v>
      </c>
      <c r="B2672" s="47">
        <v>16135</v>
      </c>
      <c r="C2672" s="44" t="s">
        <v>472</v>
      </c>
      <c r="D2672" s="45">
        <v>23</v>
      </c>
      <c r="E2672" s="48" t="s">
        <v>197</v>
      </c>
      <c r="F2672" s="48" t="s">
        <v>96</v>
      </c>
      <c r="G2672" s="48" t="s">
        <v>99</v>
      </c>
      <c r="J2672" s="44">
        <f>YEAR(A2672)</f>
        <v>2023</v>
      </c>
    </row>
    <row r="2673" spans="1:10" ht="12" customHeight="1" x14ac:dyDescent="0.25">
      <c r="A2673" s="43">
        <v>45274</v>
      </c>
      <c r="B2673" s="47">
        <v>16135</v>
      </c>
      <c r="C2673" s="44" t="s">
        <v>472</v>
      </c>
      <c r="D2673" s="45">
        <v>-23</v>
      </c>
      <c r="E2673" s="48" t="s">
        <v>299</v>
      </c>
      <c r="F2673" s="48" t="s">
        <v>90</v>
      </c>
      <c r="G2673" s="48" t="s">
        <v>305</v>
      </c>
      <c r="I2673" s="44" t="s">
        <v>1065</v>
      </c>
      <c r="J2673" s="44">
        <f>YEAR(A2673)</f>
        <v>2023</v>
      </c>
    </row>
    <row r="2674" spans="1:10" ht="12" customHeight="1" x14ac:dyDescent="0.25">
      <c r="A2674" s="43">
        <v>45274</v>
      </c>
      <c r="B2674" s="47">
        <v>16136</v>
      </c>
      <c r="C2674" s="44" t="s">
        <v>626</v>
      </c>
      <c r="D2674" s="45">
        <v>20</v>
      </c>
      <c r="E2674" s="48" t="s">
        <v>105</v>
      </c>
      <c r="F2674" s="48" t="s">
        <v>90</v>
      </c>
      <c r="G2674" s="48" t="s">
        <v>91</v>
      </c>
      <c r="J2674" s="44">
        <f>YEAR(A2674)</f>
        <v>2023</v>
      </c>
    </row>
    <row r="2675" spans="1:10" ht="12" customHeight="1" x14ac:dyDescent="0.25">
      <c r="A2675" s="43">
        <v>45274</v>
      </c>
      <c r="B2675" s="47">
        <v>16136</v>
      </c>
      <c r="C2675" s="44" t="s">
        <v>626</v>
      </c>
      <c r="D2675" s="45">
        <v>-20</v>
      </c>
      <c r="E2675" s="48" t="s">
        <v>299</v>
      </c>
      <c r="F2675" s="48" t="s">
        <v>90</v>
      </c>
      <c r="G2675" s="48" t="s">
        <v>305</v>
      </c>
      <c r="I2675" s="44" t="s">
        <v>1065</v>
      </c>
      <c r="J2675" s="44">
        <f>YEAR(A2675)</f>
        <v>2023</v>
      </c>
    </row>
    <row r="2676" spans="1:10" ht="12" customHeight="1" x14ac:dyDescent="0.25">
      <c r="A2676" s="43">
        <v>45274</v>
      </c>
      <c r="B2676" s="47">
        <v>16137</v>
      </c>
      <c r="C2676" s="44" t="s">
        <v>1024</v>
      </c>
      <c r="D2676" s="45">
        <v>13.52</v>
      </c>
      <c r="E2676" s="48" t="s">
        <v>145</v>
      </c>
      <c r="F2676" s="48" t="s">
        <v>116</v>
      </c>
      <c r="G2676" s="48" t="s">
        <v>91</v>
      </c>
      <c r="J2676" s="44">
        <f>YEAR(A2676)</f>
        <v>2023</v>
      </c>
    </row>
    <row r="2677" spans="1:10" ht="12" customHeight="1" x14ac:dyDescent="0.25">
      <c r="A2677" s="43">
        <v>45274</v>
      </c>
      <c r="B2677" s="47">
        <v>16137</v>
      </c>
      <c r="C2677" s="44" t="s">
        <v>1024</v>
      </c>
      <c r="D2677" s="45">
        <v>-13.52</v>
      </c>
      <c r="E2677" s="48" t="s">
        <v>299</v>
      </c>
      <c r="F2677" s="48" t="s">
        <v>90</v>
      </c>
      <c r="G2677" s="48" t="s">
        <v>305</v>
      </c>
      <c r="I2677" s="44" t="s">
        <v>1065</v>
      </c>
      <c r="J2677" s="44">
        <f>YEAR(A2677)</f>
        <v>2023</v>
      </c>
    </row>
    <row r="2678" spans="1:10" ht="12" customHeight="1" x14ac:dyDescent="0.25">
      <c r="A2678" s="43">
        <v>45274</v>
      </c>
      <c r="B2678" s="47">
        <v>16138</v>
      </c>
      <c r="C2678" s="44" t="s">
        <v>1025</v>
      </c>
      <c r="D2678" s="45">
        <v>4.95</v>
      </c>
      <c r="E2678" s="48" t="s">
        <v>157</v>
      </c>
      <c r="F2678" s="48" t="s">
        <v>96</v>
      </c>
      <c r="G2678" s="48" t="s">
        <v>91</v>
      </c>
      <c r="J2678" s="44">
        <f>YEAR(A2678)</f>
        <v>2023</v>
      </c>
    </row>
    <row r="2679" spans="1:10" ht="12" customHeight="1" x14ac:dyDescent="0.25">
      <c r="A2679" s="43">
        <v>45274</v>
      </c>
      <c r="B2679" s="47">
        <v>16138</v>
      </c>
      <c r="C2679" s="44" t="s">
        <v>1025</v>
      </c>
      <c r="D2679" s="45">
        <v>-4.95</v>
      </c>
      <c r="E2679" s="48" t="s">
        <v>299</v>
      </c>
      <c r="F2679" s="48" t="s">
        <v>90</v>
      </c>
      <c r="G2679" s="48" t="s">
        <v>305</v>
      </c>
      <c r="I2679" s="44" t="s">
        <v>1065</v>
      </c>
      <c r="J2679" s="44">
        <f>YEAR(A2679)</f>
        <v>2023</v>
      </c>
    </row>
    <row r="2680" spans="1:10" ht="12" customHeight="1" x14ac:dyDescent="0.25">
      <c r="A2680" s="43">
        <v>45274</v>
      </c>
      <c r="B2680" s="47">
        <v>16139</v>
      </c>
      <c r="C2680" s="44" t="s">
        <v>1026</v>
      </c>
      <c r="D2680" s="45">
        <v>51.73</v>
      </c>
      <c r="E2680" s="48" t="s">
        <v>89</v>
      </c>
      <c r="F2680" s="48" t="s">
        <v>90</v>
      </c>
      <c r="G2680" s="48" t="s">
        <v>91</v>
      </c>
      <c r="J2680" s="44">
        <f>YEAR(A2680)</f>
        <v>2023</v>
      </c>
    </row>
    <row r="2681" spans="1:10" ht="12" customHeight="1" x14ac:dyDescent="0.25">
      <c r="A2681" s="43">
        <v>45274</v>
      </c>
      <c r="B2681" s="47">
        <v>16139</v>
      </c>
      <c r="C2681" s="44" t="s">
        <v>1026</v>
      </c>
      <c r="D2681" s="45">
        <v>-51.73</v>
      </c>
      <c r="E2681" s="48" t="s">
        <v>299</v>
      </c>
      <c r="F2681" s="48" t="s">
        <v>90</v>
      </c>
      <c r="G2681" s="48" t="s">
        <v>305</v>
      </c>
      <c r="I2681" s="44" t="s">
        <v>1065</v>
      </c>
      <c r="J2681" s="44">
        <f>YEAR(A2681)</f>
        <v>2023</v>
      </c>
    </row>
    <row r="2682" spans="1:10" ht="12" customHeight="1" x14ac:dyDescent="0.25">
      <c r="A2682" s="43">
        <v>45274</v>
      </c>
      <c r="B2682" s="47">
        <v>16140</v>
      </c>
      <c r="C2682" s="44" t="s">
        <v>496</v>
      </c>
      <c r="D2682" s="45">
        <v>31.2</v>
      </c>
      <c r="E2682" s="48" t="s">
        <v>89</v>
      </c>
      <c r="F2682" s="48" t="s">
        <v>90</v>
      </c>
      <c r="G2682" s="48" t="s">
        <v>91</v>
      </c>
      <c r="J2682" s="44">
        <f>YEAR(A2682)</f>
        <v>2023</v>
      </c>
    </row>
    <row r="2683" spans="1:10" ht="12" customHeight="1" x14ac:dyDescent="0.25">
      <c r="A2683" s="43">
        <v>45274</v>
      </c>
      <c r="B2683" s="47">
        <v>16140</v>
      </c>
      <c r="C2683" s="44" t="s">
        <v>496</v>
      </c>
      <c r="D2683" s="45">
        <v>-31.2</v>
      </c>
      <c r="E2683" s="48" t="s">
        <v>299</v>
      </c>
      <c r="F2683" s="48" t="s">
        <v>90</v>
      </c>
      <c r="G2683" s="48" t="s">
        <v>305</v>
      </c>
      <c r="I2683" s="44" t="s">
        <v>1065</v>
      </c>
      <c r="J2683" s="44">
        <f>YEAR(A2683)</f>
        <v>2023</v>
      </c>
    </row>
    <row r="2684" spans="1:10" ht="12" customHeight="1" x14ac:dyDescent="0.25">
      <c r="A2684" s="43">
        <v>45274</v>
      </c>
      <c r="B2684" s="47">
        <v>16141</v>
      </c>
      <c r="C2684" s="44" t="s">
        <v>1024</v>
      </c>
      <c r="D2684" s="45">
        <v>35.950000000000003</v>
      </c>
      <c r="E2684" s="48" t="s">
        <v>145</v>
      </c>
      <c r="F2684" s="48" t="s">
        <v>116</v>
      </c>
      <c r="G2684" s="48" t="s">
        <v>91</v>
      </c>
      <c r="J2684" s="44">
        <f>YEAR(A2684)</f>
        <v>2023</v>
      </c>
    </row>
    <row r="2685" spans="1:10" ht="12" customHeight="1" x14ac:dyDescent="0.25">
      <c r="A2685" s="43">
        <v>45274</v>
      </c>
      <c r="B2685" s="47">
        <v>16141</v>
      </c>
      <c r="C2685" s="44" t="s">
        <v>1024</v>
      </c>
      <c r="D2685" s="45">
        <v>-35.950000000000003</v>
      </c>
      <c r="E2685" s="48" t="s">
        <v>299</v>
      </c>
      <c r="F2685" s="48" t="s">
        <v>90</v>
      </c>
      <c r="G2685" s="48" t="s">
        <v>305</v>
      </c>
      <c r="I2685" s="44" t="s">
        <v>1065</v>
      </c>
      <c r="J2685" s="44">
        <f>YEAR(A2685)</f>
        <v>2023</v>
      </c>
    </row>
    <row r="2686" spans="1:10" ht="12" customHeight="1" x14ac:dyDescent="0.25">
      <c r="A2686" s="43">
        <v>45274</v>
      </c>
      <c r="B2686" s="47">
        <v>16142</v>
      </c>
      <c r="C2686" s="44" t="s">
        <v>444</v>
      </c>
      <c r="D2686" s="45">
        <v>-105.76</v>
      </c>
      <c r="E2686" s="48" t="s">
        <v>299</v>
      </c>
      <c r="F2686" s="48" t="s">
        <v>90</v>
      </c>
      <c r="G2686" s="48" t="s">
        <v>91</v>
      </c>
      <c r="H2686" s="44" t="s">
        <v>459</v>
      </c>
      <c r="I2686" s="44" t="s">
        <v>1067</v>
      </c>
      <c r="J2686" s="44">
        <f>YEAR(A2686)</f>
        <v>2023</v>
      </c>
    </row>
    <row r="2687" spans="1:10" ht="12" customHeight="1" x14ac:dyDescent="0.25">
      <c r="A2687" s="43">
        <v>45274</v>
      </c>
      <c r="B2687" s="47">
        <v>16142</v>
      </c>
      <c r="C2687" s="44" t="s">
        <v>444</v>
      </c>
      <c r="D2687" s="45">
        <v>98.92</v>
      </c>
      <c r="E2687" s="48" t="s">
        <v>89</v>
      </c>
      <c r="F2687" s="48" t="s">
        <v>90</v>
      </c>
      <c r="G2687" s="48" t="s">
        <v>91</v>
      </c>
      <c r="J2687" s="44">
        <f>YEAR(A2687)</f>
        <v>2023</v>
      </c>
    </row>
    <row r="2688" spans="1:10" ht="12" customHeight="1" x14ac:dyDescent="0.25">
      <c r="A2688" s="43">
        <v>45274</v>
      </c>
      <c r="B2688" s="47">
        <v>16142</v>
      </c>
      <c r="C2688" s="44" t="s">
        <v>444</v>
      </c>
      <c r="D2688" s="45">
        <v>6.84</v>
      </c>
      <c r="E2688" s="48" t="s">
        <v>197</v>
      </c>
      <c r="F2688" s="48" t="s">
        <v>96</v>
      </c>
      <c r="G2688" s="48" t="s">
        <v>91</v>
      </c>
      <c r="J2688" s="44">
        <f>YEAR(A2688)</f>
        <v>2023</v>
      </c>
    </row>
    <row r="2689" spans="1:11" ht="12" customHeight="1" x14ac:dyDescent="0.25">
      <c r="A2689" s="43">
        <v>45275</v>
      </c>
      <c r="B2689" s="47">
        <v>16143</v>
      </c>
      <c r="C2689" s="44" t="s">
        <v>1027</v>
      </c>
      <c r="D2689" s="45">
        <v>24.9</v>
      </c>
      <c r="E2689" s="48" t="s">
        <v>145</v>
      </c>
      <c r="F2689" s="48" t="s">
        <v>116</v>
      </c>
      <c r="G2689" s="48" t="s">
        <v>93</v>
      </c>
      <c r="J2689" s="44">
        <f>YEAR(A2689)</f>
        <v>2023</v>
      </c>
      <c r="K2689" s="49" t="s">
        <v>1036</v>
      </c>
    </row>
    <row r="2690" spans="1:11" ht="12" customHeight="1" x14ac:dyDescent="0.25">
      <c r="A2690" s="43">
        <v>45275</v>
      </c>
      <c r="B2690" s="47">
        <v>16143</v>
      </c>
      <c r="C2690" s="44" t="s">
        <v>1027</v>
      </c>
      <c r="D2690" s="45">
        <v>-24.9</v>
      </c>
      <c r="E2690" s="48" t="s">
        <v>299</v>
      </c>
      <c r="F2690" s="48" t="s">
        <v>90</v>
      </c>
      <c r="G2690" s="48" t="s">
        <v>305</v>
      </c>
      <c r="I2690" s="44" t="s">
        <v>1065</v>
      </c>
      <c r="J2690" s="44">
        <f>YEAR(A2690)</f>
        <v>2023</v>
      </c>
    </row>
    <row r="2691" spans="1:11" ht="12" customHeight="1" x14ac:dyDescent="0.25">
      <c r="A2691" s="43">
        <v>45275</v>
      </c>
      <c r="B2691" s="47">
        <v>16144</v>
      </c>
      <c r="C2691" s="44" t="s">
        <v>1028</v>
      </c>
      <c r="D2691" s="45">
        <v>17.98</v>
      </c>
      <c r="E2691" s="48" t="s">
        <v>157</v>
      </c>
      <c r="F2691" s="48" t="s">
        <v>96</v>
      </c>
      <c r="G2691" s="48" t="s">
        <v>91</v>
      </c>
      <c r="J2691" s="44">
        <f>YEAR(A2691)</f>
        <v>2023</v>
      </c>
    </row>
    <row r="2692" spans="1:11" ht="12" customHeight="1" x14ac:dyDescent="0.25">
      <c r="A2692" s="43">
        <v>45275</v>
      </c>
      <c r="B2692" s="47">
        <v>16144</v>
      </c>
      <c r="C2692" s="44" t="s">
        <v>1028</v>
      </c>
      <c r="D2692" s="45">
        <v>-17.98</v>
      </c>
      <c r="E2692" s="48" t="s">
        <v>299</v>
      </c>
      <c r="F2692" s="48" t="s">
        <v>90</v>
      </c>
      <c r="G2692" s="48" t="s">
        <v>305</v>
      </c>
      <c r="I2692" s="44" t="s">
        <v>1065</v>
      </c>
      <c r="J2692" s="44">
        <f>YEAR(A2692)</f>
        <v>2023</v>
      </c>
    </row>
    <row r="2693" spans="1:11" ht="12" customHeight="1" x14ac:dyDescent="0.25">
      <c r="A2693" s="43">
        <v>45275</v>
      </c>
      <c r="B2693" s="47">
        <v>16145</v>
      </c>
      <c r="C2693" s="44" t="s">
        <v>1024</v>
      </c>
      <c r="D2693" s="45">
        <v>16.95</v>
      </c>
      <c r="E2693" s="48" t="s">
        <v>145</v>
      </c>
      <c r="F2693" s="48" t="s">
        <v>116</v>
      </c>
      <c r="G2693" s="48" t="s">
        <v>91</v>
      </c>
      <c r="J2693" s="44">
        <f>YEAR(A2693)</f>
        <v>2023</v>
      </c>
    </row>
    <row r="2694" spans="1:11" ht="12" customHeight="1" x14ac:dyDescent="0.25">
      <c r="A2694" s="43">
        <v>45275</v>
      </c>
      <c r="B2694" s="47">
        <v>16145</v>
      </c>
      <c r="C2694" s="44" t="s">
        <v>1024</v>
      </c>
      <c r="D2694" s="45">
        <v>-16.95</v>
      </c>
      <c r="E2694" s="48" t="s">
        <v>299</v>
      </c>
      <c r="F2694" s="48" t="s">
        <v>90</v>
      </c>
      <c r="G2694" s="48" t="s">
        <v>305</v>
      </c>
      <c r="I2694" s="44" t="s">
        <v>1065</v>
      </c>
      <c r="J2694" s="44">
        <f>YEAR(A2694)</f>
        <v>2023</v>
      </c>
    </row>
    <row r="2695" spans="1:11" ht="12" customHeight="1" x14ac:dyDescent="0.25">
      <c r="A2695" s="43">
        <v>45276</v>
      </c>
      <c r="B2695" s="47">
        <v>16146</v>
      </c>
      <c r="C2695" s="44" t="s">
        <v>1029</v>
      </c>
      <c r="D2695" s="45">
        <v>24.75</v>
      </c>
      <c r="E2695" s="48" t="s">
        <v>89</v>
      </c>
      <c r="F2695" s="48" t="s">
        <v>90</v>
      </c>
      <c r="G2695" s="48" t="s">
        <v>91</v>
      </c>
      <c r="J2695" s="44">
        <f>YEAR(A2695)</f>
        <v>2023</v>
      </c>
    </row>
    <row r="2696" spans="1:11" ht="12" customHeight="1" x14ac:dyDescent="0.25">
      <c r="A2696" s="43">
        <v>45276</v>
      </c>
      <c r="B2696" s="47">
        <v>16146</v>
      </c>
      <c r="C2696" s="44" t="s">
        <v>1029</v>
      </c>
      <c r="D2696" s="45">
        <v>-24.75</v>
      </c>
      <c r="E2696" s="48" t="s">
        <v>299</v>
      </c>
      <c r="F2696" s="48" t="s">
        <v>90</v>
      </c>
      <c r="G2696" s="48" t="s">
        <v>305</v>
      </c>
      <c r="I2696" s="44" t="s">
        <v>1065</v>
      </c>
      <c r="J2696" s="44">
        <f>YEAR(A2696)</f>
        <v>2023</v>
      </c>
    </row>
    <row r="2697" spans="1:11" ht="12" customHeight="1" x14ac:dyDescent="0.25">
      <c r="A2697" s="43">
        <v>45276</v>
      </c>
      <c r="B2697" s="47">
        <v>16147</v>
      </c>
      <c r="C2697" s="44" t="s">
        <v>458</v>
      </c>
      <c r="D2697" s="45">
        <v>58.94</v>
      </c>
      <c r="E2697" s="48" t="s">
        <v>89</v>
      </c>
      <c r="F2697" s="48" t="s">
        <v>90</v>
      </c>
      <c r="G2697" s="48" t="s">
        <v>91</v>
      </c>
      <c r="J2697" s="44">
        <f>YEAR(A2697)</f>
        <v>2023</v>
      </c>
    </row>
    <row r="2698" spans="1:11" ht="12" customHeight="1" x14ac:dyDescent="0.25">
      <c r="A2698" s="43">
        <v>45276</v>
      </c>
      <c r="B2698" s="47">
        <v>16147</v>
      </c>
      <c r="C2698" s="44" t="s">
        <v>458</v>
      </c>
      <c r="D2698" s="45">
        <v>-58.94</v>
      </c>
      <c r="E2698" s="48" t="s">
        <v>299</v>
      </c>
      <c r="F2698" s="48" t="s">
        <v>90</v>
      </c>
      <c r="G2698" s="48" t="s">
        <v>305</v>
      </c>
      <c r="I2698" s="44" t="s">
        <v>1065</v>
      </c>
      <c r="J2698" s="44">
        <f>YEAR(A2698)</f>
        <v>2023</v>
      </c>
    </row>
    <row r="2699" spans="1:11" ht="12" customHeight="1" x14ac:dyDescent="0.25">
      <c r="A2699" s="43">
        <v>45276</v>
      </c>
      <c r="B2699" s="47">
        <v>16148</v>
      </c>
      <c r="C2699" s="44" t="s">
        <v>458</v>
      </c>
      <c r="D2699" s="45">
        <v>8.4</v>
      </c>
      <c r="E2699" s="48" t="s">
        <v>89</v>
      </c>
      <c r="F2699" s="48" t="s">
        <v>90</v>
      </c>
      <c r="G2699" s="48" t="s">
        <v>91</v>
      </c>
      <c r="J2699" s="44">
        <f>YEAR(A2699)</f>
        <v>2023</v>
      </c>
    </row>
    <row r="2700" spans="1:11" ht="12" customHeight="1" x14ac:dyDescent="0.25">
      <c r="A2700" s="43">
        <v>45276</v>
      </c>
      <c r="B2700" s="47">
        <v>16148</v>
      </c>
      <c r="C2700" s="44" t="s">
        <v>458</v>
      </c>
      <c r="D2700" s="45">
        <v>-8.4</v>
      </c>
      <c r="E2700" s="48" t="s">
        <v>299</v>
      </c>
      <c r="F2700" s="48" t="s">
        <v>90</v>
      </c>
      <c r="G2700" s="48" t="s">
        <v>305</v>
      </c>
      <c r="I2700" s="44" t="s">
        <v>1065</v>
      </c>
      <c r="J2700" s="44">
        <f>YEAR(A2700)</f>
        <v>2023</v>
      </c>
    </row>
    <row r="2701" spans="1:11" ht="12" customHeight="1" x14ac:dyDescent="0.25">
      <c r="A2701" s="43">
        <v>45276</v>
      </c>
      <c r="B2701" s="47">
        <v>16149</v>
      </c>
      <c r="C2701" s="44" t="s">
        <v>1030</v>
      </c>
      <c r="D2701" s="45">
        <v>39.880000000000003</v>
      </c>
      <c r="E2701" s="48" t="s">
        <v>180</v>
      </c>
      <c r="F2701" s="48" t="s">
        <v>96</v>
      </c>
      <c r="G2701" s="48" t="s">
        <v>91</v>
      </c>
      <c r="J2701" s="44">
        <f>YEAR(A2701)</f>
        <v>2023</v>
      </c>
      <c r="K2701" s="49" t="s">
        <v>1031</v>
      </c>
    </row>
    <row r="2702" spans="1:11" ht="12" customHeight="1" x14ac:dyDescent="0.25">
      <c r="A2702" s="43">
        <v>45276</v>
      </c>
      <c r="B2702" s="47">
        <v>16149</v>
      </c>
      <c r="C2702" s="44" t="s">
        <v>1030</v>
      </c>
      <c r="D2702" s="45">
        <v>-39.880000000000003</v>
      </c>
      <c r="E2702" s="48" t="s">
        <v>299</v>
      </c>
      <c r="F2702" s="48" t="s">
        <v>90</v>
      </c>
      <c r="G2702" s="48" t="s">
        <v>305</v>
      </c>
      <c r="I2702" s="44" t="s">
        <v>1065</v>
      </c>
      <c r="J2702" s="44">
        <f>YEAR(A2702)</f>
        <v>2023</v>
      </c>
    </row>
    <row r="2703" spans="1:11" ht="12" customHeight="1" x14ac:dyDescent="0.25">
      <c r="A2703" s="43">
        <v>45274</v>
      </c>
      <c r="B2703" s="47">
        <v>16150</v>
      </c>
      <c r="C2703" s="44" t="s">
        <v>472</v>
      </c>
      <c r="D2703" s="45">
        <v>54.3</v>
      </c>
      <c r="E2703" s="48" t="s">
        <v>197</v>
      </c>
      <c r="F2703" s="48" t="s">
        <v>96</v>
      </c>
      <c r="G2703" s="48" t="s">
        <v>91</v>
      </c>
      <c r="J2703" s="44">
        <f>YEAR(A2703)</f>
        <v>2023</v>
      </c>
    </row>
    <row r="2704" spans="1:11" ht="12" customHeight="1" x14ac:dyDescent="0.25">
      <c r="A2704" s="43">
        <v>45274</v>
      </c>
      <c r="B2704" s="47">
        <v>16150</v>
      </c>
      <c r="C2704" s="44" t="s">
        <v>472</v>
      </c>
      <c r="D2704" s="45">
        <v>-54.3</v>
      </c>
      <c r="E2704" s="48" t="s">
        <v>294</v>
      </c>
      <c r="F2704" s="48" t="s">
        <v>90</v>
      </c>
      <c r="G2704" s="48" t="s">
        <v>91</v>
      </c>
      <c r="J2704" s="44">
        <f>YEAR(A2704)</f>
        <v>2023</v>
      </c>
      <c r="K2704" s="49" t="s">
        <v>1082</v>
      </c>
    </row>
    <row r="2705" spans="1:11" ht="12" customHeight="1" x14ac:dyDescent="0.25">
      <c r="A2705" s="43">
        <v>45275</v>
      </c>
      <c r="B2705" s="47">
        <v>16151</v>
      </c>
      <c r="C2705" s="44" t="s">
        <v>1033</v>
      </c>
      <c r="D2705" s="45">
        <v>5</v>
      </c>
      <c r="E2705" s="48" t="s">
        <v>180</v>
      </c>
      <c r="F2705" s="48" t="s">
        <v>116</v>
      </c>
      <c r="G2705" s="48" t="s">
        <v>186</v>
      </c>
      <c r="J2705" s="44">
        <f>YEAR(A2705)</f>
        <v>2023</v>
      </c>
    </row>
    <row r="2706" spans="1:11" ht="12" customHeight="1" x14ac:dyDescent="0.25">
      <c r="A2706" s="43">
        <v>45275</v>
      </c>
      <c r="B2706" s="47">
        <v>16151</v>
      </c>
      <c r="C2706" s="44" t="s">
        <v>441</v>
      </c>
      <c r="D2706" s="45">
        <v>-5</v>
      </c>
      <c r="E2706" s="48" t="s">
        <v>299</v>
      </c>
      <c r="F2706" s="48" t="s">
        <v>101</v>
      </c>
      <c r="G2706" s="48" t="s">
        <v>91</v>
      </c>
      <c r="J2706" s="44">
        <f>YEAR(A2706)</f>
        <v>2023</v>
      </c>
    </row>
    <row r="2707" spans="1:11" ht="12" customHeight="1" x14ac:dyDescent="0.25">
      <c r="A2707" s="43">
        <v>45278</v>
      </c>
      <c r="B2707" s="47">
        <v>16152</v>
      </c>
      <c r="C2707" s="44" t="s">
        <v>476</v>
      </c>
      <c r="D2707" s="45">
        <v>11.1</v>
      </c>
      <c r="E2707" s="48" t="s">
        <v>157</v>
      </c>
      <c r="F2707" s="48" t="s">
        <v>96</v>
      </c>
      <c r="G2707" s="48" t="s">
        <v>91</v>
      </c>
      <c r="J2707" s="44">
        <f>YEAR(A2707)</f>
        <v>2023</v>
      </c>
    </row>
    <row r="2708" spans="1:11" ht="12" customHeight="1" x14ac:dyDescent="0.25">
      <c r="A2708" s="43">
        <v>45278</v>
      </c>
      <c r="B2708" s="47">
        <v>16152</v>
      </c>
      <c r="C2708" s="44" t="s">
        <v>476</v>
      </c>
      <c r="D2708" s="45">
        <v>-11.1</v>
      </c>
      <c r="E2708" s="48" t="s">
        <v>299</v>
      </c>
      <c r="F2708" s="48" t="s">
        <v>90</v>
      </c>
      <c r="G2708" s="48" t="s">
        <v>305</v>
      </c>
      <c r="I2708" s="44" t="s">
        <v>1065</v>
      </c>
      <c r="J2708" s="44">
        <f>YEAR(A2708)</f>
        <v>2023</v>
      </c>
    </row>
    <row r="2709" spans="1:11" ht="12" customHeight="1" x14ac:dyDescent="0.25">
      <c r="A2709" s="43">
        <v>45278</v>
      </c>
      <c r="B2709" s="47">
        <v>16153</v>
      </c>
      <c r="C2709" s="44" t="s">
        <v>455</v>
      </c>
      <c r="D2709" s="45">
        <v>81.760000000000005</v>
      </c>
      <c r="E2709" s="48" t="s">
        <v>89</v>
      </c>
      <c r="F2709" s="48" t="s">
        <v>90</v>
      </c>
      <c r="G2709" s="48" t="s">
        <v>91</v>
      </c>
      <c r="J2709" s="44">
        <f>YEAR(A2709)</f>
        <v>2023</v>
      </c>
    </row>
    <row r="2710" spans="1:11" ht="12" customHeight="1" x14ac:dyDescent="0.25">
      <c r="A2710" s="43">
        <v>45278</v>
      </c>
      <c r="B2710" s="47">
        <v>16153</v>
      </c>
      <c r="C2710" s="44" t="s">
        <v>455</v>
      </c>
      <c r="D2710" s="45">
        <v>-128.02000000000001</v>
      </c>
      <c r="E2710" s="48" t="s">
        <v>299</v>
      </c>
      <c r="F2710" s="48" t="s">
        <v>90</v>
      </c>
      <c r="G2710" s="48" t="s">
        <v>305</v>
      </c>
      <c r="I2710" s="44" t="s">
        <v>1065</v>
      </c>
      <c r="J2710" s="44">
        <f>YEAR(A2710)</f>
        <v>2023</v>
      </c>
    </row>
    <row r="2711" spans="1:11" ht="12" customHeight="1" x14ac:dyDescent="0.25">
      <c r="A2711" s="43">
        <v>45278</v>
      </c>
      <c r="B2711" s="47">
        <v>16153</v>
      </c>
      <c r="C2711" s="44" t="s">
        <v>455</v>
      </c>
      <c r="D2711" s="45">
        <v>20.25</v>
      </c>
      <c r="E2711" s="48" t="s">
        <v>157</v>
      </c>
      <c r="F2711" s="48" t="s">
        <v>96</v>
      </c>
      <c r="G2711" s="48" t="s">
        <v>91</v>
      </c>
      <c r="J2711" s="44">
        <f>YEAR(A2711)</f>
        <v>2023</v>
      </c>
    </row>
    <row r="2712" spans="1:11" ht="12" customHeight="1" x14ac:dyDescent="0.25">
      <c r="A2712" s="43">
        <v>45278</v>
      </c>
      <c r="B2712" s="47">
        <v>16153</v>
      </c>
      <c r="C2712" s="44" t="s">
        <v>455</v>
      </c>
      <c r="D2712" s="45">
        <v>3.02</v>
      </c>
      <c r="E2712" s="48" t="s">
        <v>197</v>
      </c>
      <c r="F2712" s="48" t="s">
        <v>96</v>
      </c>
      <c r="G2712" s="48" t="s">
        <v>91</v>
      </c>
      <c r="J2712" s="44">
        <f>YEAR(A2712)</f>
        <v>2023</v>
      </c>
    </row>
    <row r="2713" spans="1:11" ht="12" customHeight="1" x14ac:dyDescent="0.25">
      <c r="A2713" s="43">
        <v>45278</v>
      </c>
      <c r="B2713" s="47">
        <v>16153</v>
      </c>
      <c r="C2713" s="44" t="s">
        <v>455</v>
      </c>
      <c r="D2713" s="45">
        <v>22.99</v>
      </c>
      <c r="E2713" s="48" t="s">
        <v>105</v>
      </c>
      <c r="F2713" s="48" t="s">
        <v>90</v>
      </c>
      <c r="G2713" s="48" t="s">
        <v>99</v>
      </c>
      <c r="J2713" s="44">
        <f>YEAR(A2713)</f>
        <v>2023</v>
      </c>
      <c r="K2713" s="49" t="s">
        <v>1034</v>
      </c>
    </row>
    <row r="2714" spans="1:11" ht="12" customHeight="1" x14ac:dyDescent="0.25">
      <c r="A2714" s="43">
        <v>45278</v>
      </c>
      <c r="B2714" s="47">
        <v>16154</v>
      </c>
      <c r="C2714" s="44" t="s">
        <v>455</v>
      </c>
      <c r="D2714" s="45">
        <v>51.83</v>
      </c>
      <c r="E2714" s="48" t="s">
        <v>180</v>
      </c>
      <c r="F2714" s="48" t="s">
        <v>96</v>
      </c>
      <c r="G2714" s="48" t="s">
        <v>186</v>
      </c>
      <c r="J2714" s="44">
        <f>YEAR(A2714)</f>
        <v>2023</v>
      </c>
    </row>
    <row r="2715" spans="1:11" ht="12" customHeight="1" x14ac:dyDescent="0.25">
      <c r="A2715" s="43">
        <v>45278</v>
      </c>
      <c r="B2715" s="47">
        <v>16154</v>
      </c>
      <c r="C2715" s="44" t="s">
        <v>455</v>
      </c>
      <c r="D2715" s="45">
        <v>-51.83</v>
      </c>
      <c r="E2715" s="48" t="s">
        <v>299</v>
      </c>
      <c r="F2715" s="48" t="s">
        <v>90</v>
      </c>
      <c r="G2715" s="48" t="s">
        <v>305</v>
      </c>
      <c r="I2715" s="44" t="s">
        <v>1065</v>
      </c>
      <c r="J2715" s="44">
        <f>YEAR(A2715)</f>
        <v>2023</v>
      </c>
    </row>
    <row r="2716" spans="1:11" ht="12" customHeight="1" x14ac:dyDescent="0.25">
      <c r="A2716" s="43">
        <v>45279</v>
      </c>
      <c r="B2716" s="47">
        <v>16155</v>
      </c>
      <c r="C2716" s="44" t="s">
        <v>475</v>
      </c>
      <c r="D2716" s="45">
        <v>67.2</v>
      </c>
      <c r="E2716" s="48" t="s">
        <v>89</v>
      </c>
      <c r="F2716" s="48" t="s">
        <v>90</v>
      </c>
      <c r="G2716" s="48" t="s">
        <v>91</v>
      </c>
      <c r="J2716" s="44">
        <f>YEAR(A2716)</f>
        <v>2023</v>
      </c>
    </row>
    <row r="2717" spans="1:11" ht="12" customHeight="1" x14ac:dyDescent="0.25">
      <c r="A2717" s="43">
        <v>45279</v>
      </c>
      <c r="B2717" s="47">
        <v>16155</v>
      </c>
      <c r="C2717" s="44" t="s">
        <v>475</v>
      </c>
      <c r="D2717" s="45">
        <v>-67.2</v>
      </c>
      <c r="E2717" s="48" t="s">
        <v>299</v>
      </c>
      <c r="F2717" s="48" t="s">
        <v>90</v>
      </c>
      <c r="G2717" s="48" t="s">
        <v>305</v>
      </c>
      <c r="I2717" s="44" t="s">
        <v>1065</v>
      </c>
      <c r="J2717" s="44">
        <f>YEAR(A2717)</f>
        <v>2023</v>
      </c>
    </row>
    <row r="2718" spans="1:11" ht="12" customHeight="1" x14ac:dyDescent="0.25">
      <c r="A2718" s="43">
        <v>45279</v>
      </c>
      <c r="B2718" s="47">
        <v>16156</v>
      </c>
      <c r="C2718" s="44" t="s">
        <v>453</v>
      </c>
      <c r="D2718" s="45">
        <v>12.8</v>
      </c>
      <c r="E2718" s="48" t="s">
        <v>89</v>
      </c>
      <c r="F2718" s="48" t="s">
        <v>90</v>
      </c>
      <c r="G2718" s="48" t="s">
        <v>91</v>
      </c>
      <c r="J2718" s="44">
        <f>YEAR(A2718)</f>
        <v>2023</v>
      </c>
    </row>
    <row r="2719" spans="1:11" ht="12" customHeight="1" x14ac:dyDescent="0.25">
      <c r="A2719" s="43">
        <v>45279</v>
      </c>
      <c r="B2719" s="47">
        <v>16156</v>
      </c>
      <c r="C2719" s="44" t="s">
        <v>453</v>
      </c>
      <c r="D2719" s="45">
        <v>-12.8</v>
      </c>
      <c r="E2719" s="48" t="s">
        <v>299</v>
      </c>
      <c r="F2719" s="48" t="s">
        <v>90</v>
      </c>
      <c r="G2719" s="48" t="s">
        <v>305</v>
      </c>
      <c r="I2719" s="44" t="s">
        <v>1065</v>
      </c>
      <c r="J2719" s="44">
        <f>YEAR(A2719)</f>
        <v>2023</v>
      </c>
    </row>
    <row r="2720" spans="1:11" ht="12" customHeight="1" x14ac:dyDescent="0.25">
      <c r="A2720" s="43">
        <v>45279</v>
      </c>
      <c r="B2720" s="47">
        <v>16157</v>
      </c>
      <c r="C2720" s="44" t="s">
        <v>453</v>
      </c>
      <c r="D2720" s="45">
        <v>12.8</v>
      </c>
      <c r="E2720" s="48" t="s">
        <v>89</v>
      </c>
      <c r="F2720" s="48" t="s">
        <v>90</v>
      </c>
      <c r="G2720" s="48" t="s">
        <v>91</v>
      </c>
      <c r="J2720" s="44">
        <f>YEAR(A2720)</f>
        <v>2023</v>
      </c>
    </row>
    <row r="2721" spans="1:11" ht="12" customHeight="1" x14ac:dyDescent="0.25">
      <c r="A2721" s="43">
        <v>45279</v>
      </c>
      <c r="B2721" s="47">
        <v>16157</v>
      </c>
      <c r="C2721" s="44" t="s">
        <v>453</v>
      </c>
      <c r="D2721" s="45">
        <v>-12.8</v>
      </c>
      <c r="E2721" s="48" t="s">
        <v>294</v>
      </c>
      <c r="F2721" s="48" t="s">
        <v>90</v>
      </c>
      <c r="G2721" s="48" t="s">
        <v>91</v>
      </c>
      <c r="J2721" s="44">
        <f>YEAR(A2721)</f>
        <v>2023</v>
      </c>
      <c r="K2721" s="49" t="s">
        <v>1085</v>
      </c>
    </row>
    <row r="2722" spans="1:11" ht="12" customHeight="1" x14ac:dyDescent="0.25">
      <c r="A2722" s="43">
        <v>45279</v>
      </c>
      <c r="B2722" s="47">
        <v>16158</v>
      </c>
      <c r="C2722" s="44" t="s">
        <v>568</v>
      </c>
      <c r="D2722" s="45">
        <v>64.63</v>
      </c>
      <c r="E2722" s="48" t="s">
        <v>89</v>
      </c>
      <c r="F2722" s="48" t="s">
        <v>90</v>
      </c>
      <c r="G2722" s="48" t="s">
        <v>91</v>
      </c>
      <c r="J2722" s="44">
        <f>YEAR(A2722)</f>
        <v>2023</v>
      </c>
    </row>
    <row r="2723" spans="1:11" ht="12" customHeight="1" x14ac:dyDescent="0.25">
      <c r="A2723" s="43">
        <v>45279</v>
      </c>
      <c r="B2723" s="47">
        <v>16158</v>
      </c>
      <c r="C2723" s="44" t="s">
        <v>568</v>
      </c>
      <c r="D2723" s="45">
        <v>-64.63</v>
      </c>
      <c r="E2723" s="48" t="s">
        <v>299</v>
      </c>
      <c r="F2723" s="48" t="s">
        <v>90</v>
      </c>
      <c r="G2723" s="48" t="s">
        <v>305</v>
      </c>
      <c r="I2723" s="44" t="s">
        <v>1065</v>
      </c>
      <c r="J2723" s="44">
        <f>YEAR(A2723)</f>
        <v>2023</v>
      </c>
    </row>
    <row r="2724" spans="1:11" ht="12" customHeight="1" x14ac:dyDescent="0.25">
      <c r="A2724" s="43">
        <v>45279</v>
      </c>
      <c r="B2724" s="47">
        <v>16159</v>
      </c>
      <c r="C2724" s="44" t="s">
        <v>481</v>
      </c>
      <c r="D2724" s="45">
        <v>10.99</v>
      </c>
      <c r="E2724" s="48" t="s">
        <v>157</v>
      </c>
      <c r="F2724" s="48" t="s">
        <v>96</v>
      </c>
      <c r="G2724" s="48" t="s">
        <v>91</v>
      </c>
      <c r="J2724" s="44">
        <f>YEAR(A2724)</f>
        <v>2023</v>
      </c>
    </row>
    <row r="2725" spans="1:11" ht="12" customHeight="1" x14ac:dyDescent="0.25">
      <c r="A2725" s="43">
        <v>45279</v>
      </c>
      <c r="B2725" s="47">
        <v>16159</v>
      </c>
      <c r="C2725" s="44" t="s">
        <v>481</v>
      </c>
      <c r="D2725" s="45">
        <v>-23.88</v>
      </c>
      <c r="E2725" s="48" t="s">
        <v>299</v>
      </c>
      <c r="F2725" s="48" t="s">
        <v>90</v>
      </c>
      <c r="G2725" s="48" t="s">
        <v>305</v>
      </c>
      <c r="I2725" s="44" t="s">
        <v>1065</v>
      </c>
      <c r="J2725" s="44">
        <f>YEAR(A2725)</f>
        <v>2023</v>
      </c>
    </row>
    <row r="2726" spans="1:11" ht="12" customHeight="1" x14ac:dyDescent="0.25">
      <c r="A2726" s="43">
        <v>45279</v>
      </c>
      <c r="B2726" s="47">
        <v>16159</v>
      </c>
      <c r="C2726" s="44" t="s">
        <v>481</v>
      </c>
      <c r="D2726" s="45">
        <v>6.45</v>
      </c>
      <c r="E2726" s="48" t="s">
        <v>197</v>
      </c>
      <c r="F2726" s="48" t="s">
        <v>96</v>
      </c>
      <c r="G2726" s="48" t="s">
        <v>91</v>
      </c>
      <c r="J2726" s="44">
        <f>YEAR(A2726)</f>
        <v>2023</v>
      </c>
    </row>
    <row r="2727" spans="1:11" ht="12" customHeight="1" x14ac:dyDescent="0.25">
      <c r="A2727" s="43">
        <v>45279</v>
      </c>
      <c r="B2727" s="47">
        <v>16159</v>
      </c>
      <c r="C2727" s="44" t="s">
        <v>481</v>
      </c>
      <c r="D2727" s="45">
        <v>6.44</v>
      </c>
      <c r="E2727" s="48" t="s">
        <v>89</v>
      </c>
      <c r="F2727" s="48" t="s">
        <v>90</v>
      </c>
      <c r="G2727" s="48" t="s">
        <v>91</v>
      </c>
      <c r="J2727" s="44">
        <f>YEAR(A2727)</f>
        <v>2023</v>
      </c>
    </row>
    <row r="2728" spans="1:11" ht="12" customHeight="1" x14ac:dyDescent="0.25">
      <c r="A2728" s="43">
        <v>45279</v>
      </c>
      <c r="B2728" s="47">
        <v>16160</v>
      </c>
      <c r="C2728" s="44" t="s">
        <v>1035</v>
      </c>
      <c r="D2728" s="45">
        <v>56.99</v>
      </c>
      <c r="E2728" s="48" t="s">
        <v>145</v>
      </c>
      <c r="F2728" s="48" t="s">
        <v>116</v>
      </c>
      <c r="G2728" s="48" t="s">
        <v>93</v>
      </c>
      <c r="J2728" s="44">
        <f>YEAR(A2728)</f>
        <v>2023</v>
      </c>
      <c r="K2728" s="49" t="s">
        <v>1036</v>
      </c>
    </row>
    <row r="2729" spans="1:11" ht="12" customHeight="1" x14ac:dyDescent="0.25">
      <c r="A2729" s="43">
        <v>45279</v>
      </c>
      <c r="B2729" s="47">
        <v>16160</v>
      </c>
      <c r="C2729" s="44" t="s">
        <v>1035</v>
      </c>
      <c r="D2729" s="45">
        <v>-56.99</v>
      </c>
      <c r="E2729" s="48" t="s">
        <v>299</v>
      </c>
      <c r="F2729" s="48" t="s">
        <v>90</v>
      </c>
      <c r="G2729" s="48" t="s">
        <v>305</v>
      </c>
      <c r="I2729" s="44" t="s">
        <v>1065</v>
      </c>
      <c r="J2729" s="44">
        <f>YEAR(A2729)</f>
        <v>2023</v>
      </c>
    </row>
    <row r="2730" spans="1:11" ht="12" customHeight="1" x14ac:dyDescent="0.25">
      <c r="A2730" s="43">
        <v>45279</v>
      </c>
      <c r="B2730" s="47">
        <v>16161</v>
      </c>
      <c r="C2730" s="44" t="s">
        <v>1037</v>
      </c>
      <c r="D2730" s="45">
        <v>100</v>
      </c>
      <c r="E2730" s="48" t="s">
        <v>105</v>
      </c>
      <c r="F2730" s="48" t="s">
        <v>90</v>
      </c>
      <c r="G2730" s="48" t="s">
        <v>91</v>
      </c>
      <c r="J2730" s="44">
        <f>YEAR(A2730)</f>
        <v>2023</v>
      </c>
    </row>
    <row r="2731" spans="1:11" ht="12" customHeight="1" x14ac:dyDescent="0.25">
      <c r="A2731" s="43">
        <v>45279</v>
      </c>
      <c r="B2731" s="47">
        <v>16161</v>
      </c>
      <c r="C2731" s="44" t="s">
        <v>1037</v>
      </c>
      <c r="D2731" s="45">
        <v>-100</v>
      </c>
      <c r="E2731" s="48" t="s">
        <v>299</v>
      </c>
      <c r="F2731" s="48" t="s">
        <v>90</v>
      </c>
      <c r="G2731" s="48" t="s">
        <v>305</v>
      </c>
      <c r="I2731" s="44" t="s">
        <v>1065</v>
      </c>
      <c r="J2731" s="44">
        <f>YEAR(A2731)</f>
        <v>2023</v>
      </c>
    </row>
    <row r="2732" spans="1:11" ht="12" customHeight="1" x14ac:dyDescent="0.25">
      <c r="A2732" s="43">
        <v>45279</v>
      </c>
      <c r="B2732" s="47">
        <v>16162</v>
      </c>
      <c r="C2732" s="44" t="s">
        <v>446</v>
      </c>
      <c r="D2732" s="45">
        <v>218.16</v>
      </c>
      <c r="E2732" s="48" t="s">
        <v>89</v>
      </c>
      <c r="F2732" s="48" t="s">
        <v>90</v>
      </c>
      <c r="G2732" s="48" t="s">
        <v>91</v>
      </c>
      <c r="J2732" s="44">
        <f>YEAR(A2732)</f>
        <v>2023</v>
      </c>
    </row>
    <row r="2733" spans="1:11" ht="12" customHeight="1" x14ac:dyDescent="0.25">
      <c r="A2733" s="43">
        <v>45279</v>
      </c>
      <c r="B2733" s="47">
        <v>16162</v>
      </c>
      <c r="C2733" s="44" t="s">
        <v>446</v>
      </c>
      <c r="D2733" s="45">
        <v>-218.16</v>
      </c>
      <c r="E2733" s="48" t="s">
        <v>299</v>
      </c>
      <c r="F2733" s="48" t="s">
        <v>90</v>
      </c>
      <c r="G2733" s="48" t="s">
        <v>305</v>
      </c>
      <c r="I2733" s="44" t="s">
        <v>1065</v>
      </c>
      <c r="J2733" s="44">
        <f>YEAR(A2733)</f>
        <v>2023</v>
      </c>
    </row>
    <row r="2734" spans="1:11" ht="12" customHeight="1" x14ac:dyDescent="0.25">
      <c r="A2734" s="43">
        <v>45279</v>
      </c>
      <c r="B2734" s="47">
        <v>16163</v>
      </c>
      <c r="C2734" s="44" t="s">
        <v>446</v>
      </c>
      <c r="D2734" s="45">
        <v>3.29</v>
      </c>
      <c r="E2734" s="48" t="s">
        <v>89</v>
      </c>
      <c r="F2734" s="48" t="s">
        <v>90</v>
      </c>
      <c r="G2734" s="48" t="s">
        <v>91</v>
      </c>
      <c r="J2734" s="44">
        <f>YEAR(A2734)</f>
        <v>2023</v>
      </c>
    </row>
    <row r="2735" spans="1:11" ht="12" customHeight="1" x14ac:dyDescent="0.25">
      <c r="A2735" s="43">
        <v>45279</v>
      </c>
      <c r="B2735" s="47">
        <v>16163</v>
      </c>
      <c r="C2735" s="44" t="s">
        <v>446</v>
      </c>
      <c r="D2735" s="45">
        <v>-3.29</v>
      </c>
      <c r="E2735" s="48" t="s">
        <v>299</v>
      </c>
      <c r="F2735" s="48" t="s">
        <v>90</v>
      </c>
      <c r="G2735" s="48" t="s">
        <v>305</v>
      </c>
      <c r="I2735" s="44" t="s">
        <v>1065</v>
      </c>
      <c r="J2735" s="44">
        <f>YEAR(A2735)</f>
        <v>2023</v>
      </c>
    </row>
    <row r="2736" spans="1:11" ht="12" customHeight="1" x14ac:dyDescent="0.25">
      <c r="A2736" s="43">
        <v>45281</v>
      </c>
      <c r="B2736" s="47">
        <v>16164</v>
      </c>
      <c r="C2736" s="44" t="s">
        <v>553</v>
      </c>
      <c r="D2736" s="45">
        <v>180</v>
      </c>
      <c r="E2736" s="48" t="s">
        <v>89</v>
      </c>
      <c r="F2736" s="48" t="s">
        <v>90</v>
      </c>
      <c r="G2736" s="48" t="s">
        <v>91</v>
      </c>
      <c r="J2736" s="44">
        <f>YEAR(A2736)</f>
        <v>2023</v>
      </c>
      <c r="K2736" s="49" t="s">
        <v>1038</v>
      </c>
    </row>
    <row r="2737" spans="1:11" ht="12" customHeight="1" x14ac:dyDescent="0.25">
      <c r="A2737" s="43">
        <v>45281</v>
      </c>
      <c r="B2737" s="47">
        <v>16164</v>
      </c>
      <c r="C2737" s="44" t="s">
        <v>553</v>
      </c>
      <c r="D2737" s="45">
        <v>-180</v>
      </c>
      <c r="E2737" s="48" t="s">
        <v>299</v>
      </c>
      <c r="F2737" s="48" t="s">
        <v>90</v>
      </c>
      <c r="G2737" s="48" t="s">
        <v>91</v>
      </c>
      <c r="H2737" s="44" t="s">
        <v>442</v>
      </c>
      <c r="I2737" s="44" t="s">
        <v>1067</v>
      </c>
      <c r="J2737" s="44">
        <f>YEAR(A2737)</f>
        <v>2023</v>
      </c>
    </row>
    <row r="2738" spans="1:11" ht="12" customHeight="1" x14ac:dyDescent="0.25">
      <c r="A2738" s="43">
        <v>45281</v>
      </c>
      <c r="B2738" s="47">
        <v>16165</v>
      </c>
      <c r="C2738" s="44" t="s">
        <v>462</v>
      </c>
      <c r="D2738" s="45">
        <v>-35.97</v>
      </c>
      <c r="E2738" s="48" t="s">
        <v>299</v>
      </c>
      <c r="F2738" s="48" t="s">
        <v>90</v>
      </c>
      <c r="G2738" s="48" t="s">
        <v>305</v>
      </c>
      <c r="I2738" s="44" t="s">
        <v>1065</v>
      </c>
      <c r="J2738" s="44">
        <f>YEAR(A2738)</f>
        <v>2023</v>
      </c>
    </row>
    <row r="2739" spans="1:11" ht="12" customHeight="1" x14ac:dyDescent="0.25">
      <c r="A2739" s="43">
        <v>45281</v>
      </c>
      <c r="B2739" s="47">
        <v>16165</v>
      </c>
      <c r="C2739" s="44" t="s">
        <v>462</v>
      </c>
      <c r="D2739" s="45">
        <v>18.989999999999998</v>
      </c>
      <c r="E2739" s="48" t="s">
        <v>105</v>
      </c>
      <c r="F2739" s="48" t="s">
        <v>90</v>
      </c>
      <c r="G2739" s="48" t="s">
        <v>99</v>
      </c>
      <c r="J2739" s="44">
        <f>YEAR(A2739)</f>
        <v>2023</v>
      </c>
    </row>
    <row r="2740" spans="1:11" ht="12" customHeight="1" x14ac:dyDescent="0.25">
      <c r="A2740" s="43">
        <v>45281</v>
      </c>
      <c r="B2740" s="47">
        <v>16165</v>
      </c>
      <c r="C2740" s="44" t="s">
        <v>462</v>
      </c>
      <c r="D2740" s="45">
        <v>16.98</v>
      </c>
      <c r="E2740" s="48" t="s">
        <v>89</v>
      </c>
      <c r="F2740" s="48" t="s">
        <v>90</v>
      </c>
      <c r="G2740" s="48" t="s">
        <v>91</v>
      </c>
      <c r="J2740" s="44">
        <f>YEAR(A2740)</f>
        <v>2023</v>
      </c>
    </row>
    <row r="2741" spans="1:11" ht="12" customHeight="1" x14ac:dyDescent="0.25">
      <c r="A2741" s="43">
        <v>45281</v>
      </c>
      <c r="B2741" s="47">
        <v>16166</v>
      </c>
      <c r="C2741" s="44" t="s">
        <v>496</v>
      </c>
      <c r="D2741" s="45">
        <v>46.2</v>
      </c>
      <c r="E2741" s="48" t="s">
        <v>145</v>
      </c>
      <c r="F2741" s="48" t="s">
        <v>135</v>
      </c>
      <c r="G2741" s="48" t="s">
        <v>91</v>
      </c>
      <c r="J2741" s="44">
        <f>YEAR(A2741)</f>
        <v>2023</v>
      </c>
    </row>
    <row r="2742" spans="1:11" ht="12" customHeight="1" x14ac:dyDescent="0.25">
      <c r="A2742" s="43">
        <v>45281</v>
      </c>
      <c r="B2742" s="47">
        <v>16166</v>
      </c>
      <c r="C2742" s="44" t="s">
        <v>496</v>
      </c>
      <c r="D2742" s="45">
        <v>27.5</v>
      </c>
      <c r="E2742" s="48" t="s">
        <v>89</v>
      </c>
      <c r="F2742" s="48" t="s">
        <v>90</v>
      </c>
      <c r="G2742" s="48" t="s">
        <v>91</v>
      </c>
      <c r="J2742" s="44">
        <f>YEAR(A2742)</f>
        <v>2023</v>
      </c>
    </row>
    <row r="2743" spans="1:11" ht="12" customHeight="1" x14ac:dyDescent="0.25">
      <c r="A2743" s="43">
        <v>45281</v>
      </c>
      <c r="B2743" s="47">
        <v>16166</v>
      </c>
      <c r="C2743" s="44" t="s">
        <v>496</v>
      </c>
      <c r="D2743" s="45">
        <v>-73.7</v>
      </c>
      <c r="E2743" s="48" t="s">
        <v>299</v>
      </c>
      <c r="F2743" s="48" t="s">
        <v>90</v>
      </c>
      <c r="G2743" s="48" t="s">
        <v>305</v>
      </c>
      <c r="I2743" s="44" t="s">
        <v>1065</v>
      </c>
      <c r="J2743" s="44">
        <f>YEAR(A2743)</f>
        <v>2023</v>
      </c>
    </row>
    <row r="2744" spans="1:11" ht="12" customHeight="1" x14ac:dyDescent="0.25">
      <c r="A2744" s="43">
        <v>45281</v>
      </c>
      <c r="B2744" s="47">
        <v>16167</v>
      </c>
      <c r="C2744" s="44" t="s">
        <v>1039</v>
      </c>
      <c r="D2744" s="45">
        <v>1.9</v>
      </c>
      <c r="E2744" s="48" t="s">
        <v>180</v>
      </c>
      <c r="F2744" s="48" t="s">
        <v>90</v>
      </c>
      <c r="G2744" s="48" t="s">
        <v>91</v>
      </c>
      <c r="H2744" s="44" t="s">
        <v>442</v>
      </c>
      <c r="J2744" s="44">
        <f>YEAR(A2744)</f>
        <v>2023</v>
      </c>
    </row>
    <row r="2745" spans="1:11" ht="12" customHeight="1" x14ac:dyDescent="0.25">
      <c r="A2745" s="43">
        <v>45281</v>
      </c>
      <c r="B2745" s="47">
        <v>16167</v>
      </c>
      <c r="C2745" s="44" t="s">
        <v>1039</v>
      </c>
      <c r="D2745" s="45">
        <v>-1.9</v>
      </c>
      <c r="E2745" s="48" t="s">
        <v>299</v>
      </c>
      <c r="F2745" s="48" t="s">
        <v>90</v>
      </c>
      <c r="G2745" s="48" t="s">
        <v>305</v>
      </c>
      <c r="I2745" s="44" t="s">
        <v>1065</v>
      </c>
      <c r="J2745" s="44">
        <f>YEAR(A2745)</f>
        <v>2023</v>
      </c>
    </row>
    <row r="2746" spans="1:11" ht="12" customHeight="1" x14ac:dyDescent="0.25">
      <c r="A2746" s="43">
        <v>45281</v>
      </c>
      <c r="B2746" s="47">
        <v>16168</v>
      </c>
      <c r="C2746" s="44" t="s">
        <v>444</v>
      </c>
      <c r="D2746" s="45">
        <v>-126.51</v>
      </c>
      <c r="E2746" s="48" t="s">
        <v>299</v>
      </c>
      <c r="F2746" s="48" t="s">
        <v>90</v>
      </c>
      <c r="G2746" s="48" t="s">
        <v>91</v>
      </c>
      <c r="H2746" s="44" t="s">
        <v>459</v>
      </c>
      <c r="I2746" s="44" t="s">
        <v>1067</v>
      </c>
      <c r="J2746" s="44">
        <f>YEAR(A2746)</f>
        <v>2023</v>
      </c>
    </row>
    <row r="2747" spans="1:11" ht="12" customHeight="1" x14ac:dyDescent="0.25">
      <c r="A2747" s="43">
        <v>45281</v>
      </c>
      <c r="B2747" s="47">
        <v>16168</v>
      </c>
      <c r="C2747" s="44" t="s">
        <v>444</v>
      </c>
      <c r="D2747" s="45">
        <v>59.71</v>
      </c>
      <c r="E2747" s="48" t="s">
        <v>89</v>
      </c>
      <c r="F2747" s="48" t="s">
        <v>90</v>
      </c>
      <c r="G2747" s="48" t="s">
        <v>91</v>
      </c>
      <c r="J2747" s="44">
        <f>YEAR(A2747)</f>
        <v>2023</v>
      </c>
    </row>
    <row r="2748" spans="1:11" ht="12" customHeight="1" x14ac:dyDescent="0.25">
      <c r="A2748" s="43">
        <v>45281</v>
      </c>
      <c r="B2748" s="47">
        <v>16168</v>
      </c>
      <c r="C2748" s="44" t="s">
        <v>444</v>
      </c>
      <c r="D2748" s="45">
        <v>10.78</v>
      </c>
      <c r="E2748" s="48" t="s">
        <v>197</v>
      </c>
      <c r="F2748" s="48" t="s">
        <v>96</v>
      </c>
      <c r="G2748" s="48" t="s">
        <v>91</v>
      </c>
      <c r="J2748" s="44">
        <f>YEAR(A2748)</f>
        <v>2023</v>
      </c>
    </row>
    <row r="2749" spans="1:11" ht="12" customHeight="1" x14ac:dyDescent="0.25">
      <c r="A2749" s="43">
        <v>45281</v>
      </c>
      <c r="B2749" s="47">
        <v>16168</v>
      </c>
      <c r="C2749" s="44" t="s">
        <v>444</v>
      </c>
      <c r="D2749" s="45">
        <v>7.38</v>
      </c>
      <c r="E2749" s="48" t="s">
        <v>139</v>
      </c>
      <c r="F2749" s="48" t="s">
        <v>90</v>
      </c>
      <c r="G2749" s="48" t="s">
        <v>91</v>
      </c>
      <c r="J2749" s="44">
        <f>YEAR(A2749)</f>
        <v>2023</v>
      </c>
    </row>
    <row r="2750" spans="1:11" ht="12" customHeight="1" x14ac:dyDescent="0.25">
      <c r="A2750" s="43">
        <v>45281</v>
      </c>
      <c r="B2750" s="47">
        <v>16168</v>
      </c>
      <c r="C2750" s="44" t="s">
        <v>444</v>
      </c>
      <c r="D2750" s="45">
        <v>48.64</v>
      </c>
      <c r="E2750" s="48" t="s">
        <v>145</v>
      </c>
      <c r="F2750" s="48" t="s">
        <v>116</v>
      </c>
      <c r="G2750" s="48" t="s">
        <v>93</v>
      </c>
      <c r="J2750" s="44">
        <f>YEAR(A2750)</f>
        <v>2023</v>
      </c>
      <c r="K2750" s="49" t="s">
        <v>1040</v>
      </c>
    </row>
    <row r="2751" spans="1:11" ht="12" customHeight="1" x14ac:dyDescent="0.25">
      <c r="A2751" s="43">
        <v>45280</v>
      </c>
      <c r="B2751" s="47">
        <v>16169</v>
      </c>
      <c r="C2751" s="44" t="s">
        <v>585</v>
      </c>
      <c r="D2751" s="45">
        <v>-75</v>
      </c>
      <c r="E2751" s="48" t="s">
        <v>197</v>
      </c>
      <c r="F2751" s="48" t="s">
        <v>90</v>
      </c>
      <c r="G2751" s="48" t="s">
        <v>99</v>
      </c>
      <c r="J2751" s="44">
        <f>YEAR(A2751)</f>
        <v>2023</v>
      </c>
    </row>
    <row r="2752" spans="1:11" ht="12" customHeight="1" x14ac:dyDescent="0.25">
      <c r="A2752" s="43">
        <v>45280</v>
      </c>
      <c r="B2752" s="47">
        <v>16169</v>
      </c>
      <c r="C2752" s="44" t="s">
        <v>585</v>
      </c>
      <c r="D2752" s="45">
        <v>75</v>
      </c>
      <c r="E2752" s="48" t="s">
        <v>299</v>
      </c>
      <c r="F2752" s="48" t="s">
        <v>90</v>
      </c>
      <c r="G2752" s="48" t="s">
        <v>91</v>
      </c>
      <c r="H2752" s="44" t="s">
        <v>398</v>
      </c>
      <c r="I2752" s="44" t="s">
        <v>1068</v>
      </c>
      <c r="J2752" s="44">
        <f>YEAR(A2752)</f>
        <v>2023</v>
      </c>
    </row>
    <row r="2753" spans="1:10" ht="12" customHeight="1" x14ac:dyDescent="0.25">
      <c r="A2753" s="43">
        <v>45282</v>
      </c>
      <c r="B2753" s="47">
        <v>16170</v>
      </c>
      <c r="C2753" s="44" t="s">
        <v>768</v>
      </c>
      <c r="D2753" s="45">
        <v>-146.18</v>
      </c>
      <c r="E2753" s="48" t="s">
        <v>299</v>
      </c>
      <c r="F2753" s="48" t="s">
        <v>90</v>
      </c>
      <c r="G2753" s="48" t="s">
        <v>91</v>
      </c>
      <c r="H2753" s="44" t="s">
        <v>402</v>
      </c>
      <c r="I2753" s="44" t="s">
        <v>1067</v>
      </c>
      <c r="J2753" s="44">
        <f>YEAR(A2753)</f>
        <v>2023</v>
      </c>
    </row>
    <row r="2754" spans="1:10" ht="12" customHeight="1" x14ac:dyDescent="0.25">
      <c r="A2754" s="43">
        <v>45282</v>
      </c>
      <c r="B2754" s="47">
        <v>16170</v>
      </c>
      <c r="C2754" s="44" t="s">
        <v>767</v>
      </c>
      <c r="D2754" s="45">
        <v>146.18</v>
      </c>
      <c r="E2754" s="48" t="s">
        <v>244</v>
      </c>
      <c r="F2754" s="48" t="s">
        <v>90</v>
      </c>
      <c r="G2754" s="48" t="s">
        <v>114</v>
      </c>
      <c r="J2754" s="44">
        <f>YEAR(A2754)</f>
        <v>2023</v>
      </c>
    </row>
    <row r="2755" spans="1:10" ht="12" customHeight="1" x14ac:dyDescent="0.25">
      <c r="A2755" s="43">
        <v>45282</v>
      </c>
      <c r="B2755" s="47">
        <v>16171</v>
      </c>
      <c r="C2755" s="44" t="s">
        <v>452</v>
      </c>
      <c r="D2755" s="45">
        <v>-330.51</v>
      </c>
      <c r="E2755" s="48" t="s">
        <v>299</v>
      </c>
      <c r="F2755" s="48" t="s">
        <v>90</v>
      </c>
      <c r="G2755" s="48" t="s">
        <v>91</v>
      </c>
      <c r="H2755" s="44" t="s">
        <v>402</v>
      </c>
      <c r="I2755" s="44" t="s">
        <v>1067</v>
      </c>
      <c r="J2755" s="44">
        <f>YEAR(A2755)</f>
        <v>2023</v>
      </c>
    </row>
    <row r="2756" spans="1:10" ht="12" customHeight="1" x14ac:dyDescent="0.25">
      <c r="A2756" s="43">
        <v>45266</v>
      </c>
      <c r="B2756" s="47">
        <v>16171</v>
      </c>
      <c r="C2756" s="44" t="s">
        <v>1041</v>
      </c>
      <c r="D2756" s="45">
        <v>9.01</v>
      </c>
      <c r="E2756" s="48" t="s">
        <v>197</v>
      </c>
      <c r="F2756" s="48" t="s">
        <v>90</v>
      </c>
      <c r="G2756" s="48" t="s">
        <v>95</v>
      </c>
      <c r="J2756" s="44">
        <f>YEAR(A2756)</f>
        <v>2023</v>
      </c>
    </row>
    <row r="2757" spans="1:10" ht="12" customHeight="1" x14ac:dyDescent="0.25">
      <c r="A2757" s="43">
        <v>45269</v>
      </c>
      <c r="B2757" s="47">
        <v>16171</v>
      </c>
      <c r="C2757" s="44" t="s">
        <v>451</v>
      </c>
      <c r="D2757" s="45">
        <v>9.9</v>
      </c>
      <c r="E2757" s="48" t="s">
        <v>89</v>
      </c>
      <c r="F2757" s="48" t="s">
        <v>90</v>
      </c>
      <c r="G2757" s="48" t="s">
        <v>91</v>
      </c>
      <c r="J2757" s="44">
        <f>YEAR(A2757)</f>
        <v>2023</v>
      </c>
    </row>
    <row r="2758" spans="1:10" ht="12" customHeight="1" x14ac:dyDescent="0.25">
      <c r="A2758" s="43">
        <v>45234</v>
      </c>
      <c r="B2758" s="47">
        <v>16171</v>
      </c>
      <c r="C2758" s="44" t="s">
        <v>449</v>
      </c>
      <c r="D2758" s="45">
        <v>8</v>
      </c>
      <c r="E2758" s="48" t="s">
        <v>89</v>
      </c>
      <c r="F2758" s="48" t="s">
        <v>90</v>
      </c>
      <c r="G2758" s="48" t="s">
        <v>91</v>
      </c>
      <c r="J2758" s="44">
        <f>YEAR(A2758)</f>
        <v>2023</v>
      </c>
    </row>
    <row r="2759" spans="1:10" ht="12" customHeight="1" x14ac:dyDescent="0.25">
      <c r="A2759" s="43">
        <v>45276</v>
      </c>
      <c r="B2759" s="47">
        <v>16171</v>
      </c>
      <c r="C2759" s="44" t="s">
        <v>451</v>
      </c>
      <c r="D2759" s="45">
        <v>1.55</v>
      </c>
      <c r="E2759" s="48" t="s">
        <v>89</v>
      </c>
      <c r="F2759" s="48" t="s">
        <v>90</v>
      </c>
      <c r="G2759" s="48" t="s">
        <v>91</v>
      </c>
      <c r="J2759" s="44">
        <f>YEAR(A2759)</f>
        <v>2023</v>
      </c>
    </row>
    <row r="2760" spans="1:10" ht="12" customHeight="1" x14ac:dyDescent="0.25">
      <c r="A2760" s="43">
        <v>45276</v>
      </c>
      <c r="B2760" s="47">
        <v>16171</v>
      </c>
      <c r="C2760" s="44" t="s">
        <v>1042</v>
      </c>
      <c r="D2760" s="45">
        <v>1.29</v>
      </c>
      <c r="E2760" s="48" t="s">
        <v>89</v>
      </c>
      <c r="F2760" s="48" t="s">
        <v>90</v>
      </c>
      <c r="G2760" s="48" t="s">
        <v>91</v>
      </c>
      <c r="J2760" s="44">
        <f>YEAR(A2760)</f>
        <v>2023</v>
      </c>
    </row>
    <row r="2761" spans="1:10" ht="12" customHeight="1" x14ac:dyDescent="0.25">
      <c r="A2761" s="43">
        <v>45276</v>
      </c>
      <c r="B2761" s="47">
        <v>16171</v>
      </c>
      <c r="C2761" s="44" t="s">
        <v>1043</v>
      </c>
      <c r="D2761" s="45">
        <v>148.5</v>
      </c>
      <c r="E2761" s="48" t="s">
        <v>89</v>
      </c>
      <c r="F2761" s="48" t="s">
        <v>96</v>
      </c>
      <c r="G2761" s="48" t="s">
        <v>91</v>
      </c>
      <c r="J2761" s="44">
        <f>YEAR(A2761)</f>
        <v>2023</v>
      </c>
    </row>
    <row r="2762" spans="1:10" ht="12" customHeight="1" x14ac:dyDescent="0.25">
      <c r="A2762" s="43">
        <v>45282</v>
      </c>
      <c r="B2762" s="47">
        <v>16171</v>
      </c>
      <c r="C2762" s="44" t="s">
        <v>1044</v>
      </c>
      <c r="D2762" s="45">
        <v>62.53</v>
      </c>
      <c r="E2762" s="48" t="s">
        <v>157</v>
      </c>
      <c r="F2762" s="48" t="s">
        <v>135</v>
      </c>
      <c r="G2762" s="48" t="s">
        <v>91</v>
      </c>
      <c r="J2762" s="44">
        <f>YEAR(A2762)</f>
        <v>2023</v>
      </c>
    </row>
    <row r="2763" spans="1:10" ht="12" customHeight="1" x14ac:dyDescent="0.25">
      <c r="A2763" s="43">
        <v>45282</v>
      </c>
      <c r="B2763" s="47">
        <v>16171</v>
      </c>
      <c r="C2763" s="44" t="s">
        <v>1044</v>
      </c>
      <c r="D2763" s="45">
        <v>89.73</v>
      </c>
      <c r="E2763" s="48" t="s">
        <v>157</v>
      </c>
      <c r="F2763" s="48" t="s">
        <v>135</v>
      </c>
      <c r="G2763" s="48" t="s">
        <v>91</v>
      </c>
      <c r="J2763" s="44">
        <f>YEAR(A2763)</f>
        <v>2023</v>
      </c>
    </row>
    <row r="2764" spans="1:10" ht="12" customHeight="1" x14ac:dyDescent="0.25">
      <c r="A2764" s="43">
        <v>45283</v>
      </c>
      <c r="B2764" s="47">
        <v>16172</v>
      </c>
      <c r="C2764" s="44" t="s">
        <v>452</v>
      </c>
      <c r="D2764" s="45">
        <v>-198.98</v>
      </c>
      <c r="E2764" s="48" t="s">
        <v>299</v>
      </c>
      <c r="F2764" s="48" t="s">
        <v>90</v>
      </c>
      <c r="G2764" s="48" t="s">
        <v>91</v>
      </c>
      <c r="I2764" s="44" t="s">
        <v>1067</v>
      </c>
      <c r="J2764" s="44">
        <f>YEAR(A2764)</f>
        <v>2023</v>
      </c>
    </row>
    <row r="2765" spans="1:10" ht="12" customHeight="1" x14ac:dyDescent="0.25">
      <c r="A2765" s="43">
        <v>45283</v>
      </c>
      <c r="B2765" s="47">
        <v>16172</v>
      </c>
      <c r="C2765" s="44" t="s">
        <v>451</v>
      </c>
      <c r="D2765" s="45">
        <v>5.4</v>
      </c>
      <c r="E2765" s="48" t="s">
        <v>89</v>
      </c>
      <c r="F2765" s="48" t="s">
        <v>90</v>
      </c>
      <c r="G2765" s="48" t="s">
        <v>91</v>
      </c>
      <c r="J2765" s="44">
        <f>YEAR(A2765)</f>
        <v>2023</v>
      </c>
    </row>
    <row r="2766" spans="1:10" ht="12" customHeight="1" x14ac:dyDescent="0.25">
      <c r="A2766" s="43">
        <v>45283</v>
      </c>
      <c r="B2766" s="47">
        <v>16172</v>
      </c>
      <c r="C2766" s="44" t="s">
        <v>1045</v>
      </c>
      <c r="D2766" s="45">
        <v>100.36</v>
      </c>
      <c r="E2766" s="48" t="s">
        <v>89</v>
      </c>
      <c r="F2766" s="48" t="s">
        <v>90</v>
      </c>
      <c r="G2766" s="48" t="s">
        <v>91</v>
      </c>
      <c r="J2766" s="44">
        <f>YEAR(A2766)</f>
        <v>2023</v>
      </c>
    </row>
    <row r="2767" spans="1:10" ht="12" customHeight="1" x14ac:dyDescent="0.25">
      <c r="A2767" s="43">
        <v>45283</v>
      </c>
      <c r="B2767" s="47">
        <v>16172</v>
      </c>
      <c r="C2767" s="44" t="s">
        <v>1046</v>
      </c>
      <c r="D2767" s="45">
        <v>84.85</v>
      </c>
      <c r="E2767" s="48" t="s">
        <v>89</v>
      </c>
      <c r="F2767" s="48" t="s">
        <v>90</v>
      </c>
      <c r="G2767" s="48" t="s">
        <v>91</v>
      </c>
      <c r="J2767" s="44">
        <f>YEAR(A2767)</f>
        <v>2023</v>
      </c>
    </row>
    <row r="2768" spans="1:10" ht="12" customHeight="1" x14ac:dyDescent="0.25">
      <c r="A2768" s="43">
        <v>45283</v>
      </c>
      <c r="B2768" s="47">
        <v>16172</v>
      </c>
      <c r="C2768" s="44" t="s">
        <v>1047</v>
      </c>
      <c r="D2768" s="45">
        <v>8.3699999999999992</v>
      </c>
      <c r="E2768" s="48" t="s">
        <v>89</v>
      </c>
      <c r="F2768" s="48" t="s">
        <v>90</v>
      </c>
      <c r="G2768" s="48" t="s">
        <v>91</v>
      </c>
      <c r="J2768" s="44">
        <f>YEAR(A2768)</f>
        <v>2023</v>
      </c>
    </row>
    <row r="2769" spans="1:10" ht="12" customHeight="1" x14ac:dyDescent="0.25">
      <c r="A2769" s="43">
        <v>45281</v>
      </c>
      <c r="B2769" s="47">
        <v>16173</v>
      </c>
      <c r="C2769" s="44" t="s">
        <v>769</v>
      </c>
      <c r="D2769" s="45">
        <v>5</v>
      </c>
      <c r="E2769" s="48" t="s">
        <v>180</v>
      </c>
      <c r="F2769" s="48" t="s">
        <v>90</v>
      </c>
      <c r="G2769" s="48" t="s">
        <v>91</v>
      </c>
      <c r="J2769" s="44">
        <f>YEAR(A2769)</f>
        <v>2023</v>
      </c>
    </row>
    <row r="2770" spans="1:10" ht="12" customHeight="1" x14ac:dyDescent="0.25">
      <c r="A2770" s="43">
        <v>45281</v>
      </c>
      <c r="B2770" s="47">
        <v>16173</v>
      </c>
      <c r="C2770" s="44" t="s">
        <v>769</v>
      </c>
      <c r="D2770" s="45">
        <v>-5</v>
      </c>
      <c r="E2770" s="48" t="s">
        <v>299</v>
      </c>
      <c r="F2770" s="48" t="s">
        <v>90</v>
      </c>
      <c r="G2770" s="48" t="s">
        <v>305</v>
      </c>
      <c r="I2770" s="44" t="s">
        <v>1065</v>
      </c>
      <c r="J2770" s="44">
        <f>YEAR(A2770)</f>
        <v>2023</v>
      </c>
    </row>
    <row r="2771" spans="1:10" ht="12" customHeight="1" x14ac:dyDescent="0.25">
      <c r="A2771" s="43">
        <v>45282</v>
      </c>
      <c r="B2771" s="47">
        <v>16174</v>
      </c>
      <c r="C2771" s="44" t="s">
        <v>443</v>
      </c>
      <c r="D2771" s="45">
        <v>7.5</v>
      </c>
      <c r="E2771" s="48" t="s">
        <v>89</v>
      </c>
      <c r="F2771" s="48" t="s">
        <v>90</v>
      </c>
      <c r="G2771" s="48" t="s">
        <v>91</v>
      </c>
      <c r="J2771" s="44">
        <f>YEAR(A2771)</f>
        <v>2023</v>
      </c>
    </row>
    <row r="2772" spans="1:10" ht="12" customHeight="1" x14ac:dyDescent="0.25">
      <c r="A2772" s="43">
        <v>45282</v>
      </c>
      <c r="B2772" s="47">
        <v>16174</v>
      </c>
      <c r="C2772" s="44" t="s">
        <v>443</v>
      </c>
      <c r="D2772" s="45">
        <v>-7.5</v>
      </c>
      <c r="E2772" s="48" t="s">
        <v>299</v>
      </c>
      <c r="F2772" s="48" t="s">
        <v>90</v>
      </c>
      <c r="G2772" s="48" t="s">
        <v>305</v>
      </c>
      <c r="I2772" s="44" t="s">
        <v>1065</v>
      </c>
      <c r="J2772" s="44">
        <f>YEAR(A2772)</f>
        <v>2023</v>
      </c>
    </row>
    <row r="2773" spans="1:10" ht="12" customHeight="1" x14ac:dyDescent="0.25">
      <c r="A2773" s="43">
        <v>45282</v>
      </c>
      <c r="B2773" s="47">
        <v>16175</v>
      </c>
      <c r="C2773" s="44" t="s">
        <v>463</v>
      </c>
      <c r="D2773" s="45">
        <v>136.72999999999999</v>
      </c>
      <c r="E2773" s="48" t="s">
        <v>89</v>
      </c>
      <c r="F2773" s="48" t="s">
        <v>90</v>
      </c>
      <c r="G2773" s="48" t="s">
        <v>91</v>
      </c>
      <c r="J2773" s="44">
        <f>YEAR(A2773)</f>
        <v>2023</v>
      </c>
    </row>
    <row r="2774" spans="1:10" ht="12" customHeight="1" x14ac:dyDescent="0.25">
      <c r="A2774" s="43">
        <v>45282</v>
      </c>
      <c r="B2774" s="47">
        <v>16175</v>
      </c>
      <c r="C2774" s="44" t="s">
        <v>463</v>
      </c>
      <c r="D2774" s="45">
        <v>-136.72999999999999</v>
      </c>
      <c r="E2774" s="48" t="s">
        <v>299</v>
      </c>
      <c r="F2774" s="48" t="s">
        <v>90</v>
      </c>
      <c r="G2774" s="48" t="s">
        <v>305</v>
      </c>
      <c r="I2774" s="44" t="s">
        <v>1065</v>
      </c>
      <c r="J2774" s="44">
        <f>YEAR(A2774)</f>
        <v>2023</v>
      </c>
    </row>
    <row r="2775" spans="1:10" ht="12" customHeight="1" x14ac:dyDescent="0.25">
      <c r="A2775" s="43">
        <v>45287</v>
      </c>
      <c r="B2775" s="47">
        <v>16176</v>
      </c>
      <c r="C2775" s="44" t="s">
        <v>1048</v>
      </c>
      <c r="D2775" s="45">
        <v>35.9</v>
      </c>
      <c r="E2775" s="48" t="s">
        <v>145</v>
      </c>
      <c r="F2775" s="48" t="s">
        <v>135</v>
      </c>
      <c r="G2775" s="48" t="s">
        <v>91</v>
      </c>
      <c r="J2775" s="44">
        <f>YEAR(A2775)</f>
        <v>2023</v>
      </c>
    </row>
    <row r="2776" spans="1:10" ht="12" customHeight="1" x14ac:dyDescent="0.25">
      <c r="A2776" s="43">
        <v>45287</v>
      </c>
      <c r="B2776" s="47">
        <v>16176</v>
      </c>
      <c r="C2776" s="44" t="s">
        <v>1048</v>
      </c>
      <c r="D2776" s="45">
        <v>-35.9</v>
      </c>
      <c r="E2776" s="48" t="s">
        <v>299</v>
      </c>
      <c r="F2776" s="48" t="s">
        <v>90</v>
      </c>
      <c r="G2776" s="48" t="s">
        <v>305</v>
      </c>
      <c r="I2776" s="44" t="s">
        <v>1065</v>
      </c>
      <c r="J2776" s="44">
        <f>YEAR(A2776)</f>
        <v>2023</v>
      </c>
    </row>
    <row r="2777" spans="1:10" ht="12" customHeight="1" x14ac:dyDescent="0.25">
      <c r="A2777" s="43">
        <v>45287</v>
      </c>
      <c r="B2777" s="47">
        <v>16177</v>
      </c>
      <c r="C2777" s="44" t="s">
        <v>455</v>
      </c>
      <c r="D2777" s="45">
        <v>26.66</v>
      </c>
      <c r="E2777" s="48" t="s">
        <v>197</v>
      </c>
      <c r="F2777" s="48" t="s">
        <v>96</v>
      </c>
      <c r="G2777" s="48" t="s">
        <v>91</v>
      </c>
      <c r="J2777" s="44">
        <f>YEAR(A2777)</f>
        <v>2023</v>
      </c>
    </row>
    <row r="2778" spans="1:10" ht="12" customHeight="1" x14ac:dyDescent="0.25">
      <c r="A2778" s="43">
        <v>45287</v>
      </c>
      <c r="B2778" s="47">
        <v>16177</v>
      </c>
      <c r="C2778" s="44" t="s">
        <v>455</v>
      </c>
      <c r="D2778" s="45">
        <v>-39.51</v>
      </c>
      <c r="E2778" s="48" t="s">
        <v>299</v>
      </c>
      <c r="F2778" s="48" t="s">
        <v>90</v>
      </c>
      <c r="G2778" s="48" t="s">
        <v>305</v>
      </c>
      <c r="I2778" s="44" t="s">
        <v>1065</v>
      </c>
      <c r="J2778" s="44">
        <f>YEAR(A2778)</f>
        <v>2023</v>
      </c>
    </row>
    <row r="2779" spans="1:10" ht="12" customHeight="1" x14ac:dyDescent="0.25">
      <c r="A2779" s="43">
        <v>45287</v>
      </c>
      <c r="B2779" s="47">
        <v>16177</v>
      </c>
      <c r="C2779" s="44" t="s">
        <v>455</v>
      </c>
      <c r="D2779" s="45">
        <v>2.97</v>
      </c>
      <c r="E2779" s="48" t="s">
        <v>157</v>
      </c>
      <c r="F2779" s="48" t="s">
        <v>96</v>
      </c>
      <c r="G2779" s="48" t="s">
        <v>91</v>
      </c>
      <c r="J2779" s="44">
        <f>YEAR(A2779)</f>
        <v>2023</v>
      </c>
    </row>
    <row r="2780" spans="1:10" ht="12" customHeight="1" x14ac:dyDescent="0.25">
      <c r="A2780" s="43">
        <v>45287</v>
      </c>
      <c r="B2780" s="47">
        <v>16177</v>
      </c>
      <c r="C2780" s="44" t="s">
        <v>455</v>
      </c>
      <c r="D2780" s="45">
        <v>2.83</v>
      </c>
      <c r="E2780" s="48" t="s">
        <v>139</v>
      </c>
      <c r="F2780" s="48" t="s">
        <v>90</v>
      </c>
      <c r="G2780" s="48" t="s">
        <v>91</v>
      </c>
      <c r="J2780" s="44">
        <f>YEAR(A2780)</f>
        <v>2023</v>
      </c>
    </row>
    <row r="2781" spans="1:10" ht="12" customHeight="1" x14ac:dyDescent="0.25">
      <c r="A2781" s="43">
        <v>45287</v>
      </c>
      <c r="B2781" s="47">
        <v>16177</v>
      </c>
      <c r="C2781" s="44" t="s">
        <v>455</v>
      </c>
      <c r="D2781" s="45">
        <v>7.05</v>
      </c>
      <c r="E2781" s="48" t="s">
        <v>89</v>
      </c>
      <c r="F2781" s="48" t="s">
        <v>90</v>
      </c>
      <c r="G2781" s="48" t="s">
        <v>91</v>
      </c>
      <c r="J2781" s="44">
        <f>YEAR(A2781)</f>
        <v>2023</v>
      </c>
    </row>
    <row r="2782" spans="1:10" ht="12" customHeight="1" x14ac:dyDescent="0.25">
      <c r="A2782" s="43">
        <v>45287</v>
      </c>
      <c r="B2782" s="47">
        <v>16178</v>
      </c>
      <c r="C2782" s="44" t="s">
        <v>458</v>
      </c>
      <c r="D2782" s="45">
        <v>30.99</v>
      </c>
      <c r="E2782" s="48" t="s">
        <v>89</v>
      </c>
      <c r="F2782" s="48" t="s">
        <v>90</v>
      </c>
      <c r="G2782" s="48" t="s">
        <v>91</v>
      </c>
      <c r="J2782" s="44">
        <f>YEAR(A2782)</f>
        <v>2023</v>
      </c>
    </row>
    <row r="2783" spans="1:10" ht="12" customHeight="1" x14ac:dyDescent="0.25">
      <c r="A2783" s="43">
        <v>45287</v>
      </c>
      <c r="B2783" s="47">
        <v>16178</v>
      </c>
      <c r="C2783" s="44" t="s">
        <v>458</v>
      </c>
      <c r="D2783" s="45">
        <v>-30.99</v>
      </c>
      <c r="E2783" s="48" t="s">
        <v>299</v>
      </c>
      <c r="F2783" s="48" t="s">
        <v>90</v>
      </c>
      <c r="G2783" s="48" t="s">
        <v>305</v>
      </c>
      <c r="I2783" s="44" t="s">
        <v>1065</v>
      </c>
      <c r="J2783" s="44">
        <f>YEAR(A2783)</f>
        <v>2023</v>
      </c>
    </row>
    <row r="2784" spans="1:10" ht="12" customHeight="1" x14ac:dyDescent="0.25">
      <c r="A2784" s="43">
        <v>45287</v>
      </c>
      <c r="B2784" s="47">
        <v>16179</v>
      </c>
      <c r="C2784" s="44" t="s">
        <v>454</v>
      </c>
      <c r="D2784" s="45">
        <v>6.37</v>
      </c>
      <c r="E2784" s="48" t="s">
        <v>89</v>
      </c>
      <c r="F2784" s="48" t="s">
        <v>90</v>
      </c>
      <c r="G2784" s="48" t="s">
        <v>91</v>
      </c>
      <c r="J2784" s="44">
        <f>YEAR(A2784)</f>
        <v>2023</v>
      </c>
    </row>
    <row r="2785" spans="1:10" ht="12" customHeight="1" x14ac:dyDescent="0.25">
      <c r="A2785" s="43">
        <v>45287</v>
      </c>
      <c r="B2785" s="47">
        <v>16179</v>
      </c>
      <c r="C2785" s="44" t="s">
        <v>454</v>
      </c>
      <c r="D2785" s="45">
        <v>-6.37</v>
      </c>
      <c r="E2785" s="48" t="s">
        <v>299</v>
      </c>
      <c r="F2785" s="48" t="s">
        <v>90</v>
      </c>
      <c r="G2785" s="48" t="s">
        <v>305</v>
      </c>
      <c r="I2785" s="44" t="s">
        <v>1065</v>
      </c>
      <c r="J2785" s="44">
        <f>YEAR(A2785)</f>
        <v>2023</v>
      </c>
    </row>
    <row r="2786" spans="1:10" ht="12" customHeight="1" x14ac:dyDescent="0.25">
      <c r="A2786" s="43">
        <v>45287</v>
      </c>
      <c r="B2786" s="47">
        <v>16180</v>
      </c>
      <c r="C2786" s="44" t="s">
        <v>453</v>
      </c>
      <c r="D2786" s="45">
        <v>6.03</v>
      </c>
      <c r="E2786" s="48" t="s">
        <v>89</v>
      </c>
      <c r="F2786" s="48" t="s">
        <v>90</v>
      </c>
      <c r="G2786" s="48" t="s">
        <v>91</v>
      </c>
      <c r="J2786" s="44">
        <f>YEAR(A2786)</f>
        <v>2023</v>
      </c>
    </row>
    <row r="2787" spans="1:10" ht="12" customHeight="1" x14ac:dyDescent="0.25">
      <c r="A2787" s="43">
        <v>45287</v>
      </c>
      <c r="B2787" s="47">
        <v>16180</v>
      </c>
      <c r="C2787" s="44" t="s">
        <v>453</v>
      </c>
      <c r="D2787" s="45">
        <v>-6.03</v>
      </c>
      <c r="E2787" s="48" t="s">
        <v>299</v>
      </c>
      <c r="F2787" s="48" t="s">
        <v>90</v>
      </c>
      <c r="G2787" s="48" t="s">
        <v>305</v>
      </c>
      <c r="I2787" s="44" t="s">
        <v>1065</v>
      </c>
      <c r="J2787" s="44">
        <f>YEAR(A2787)</f>
        <v>2023</v>
      </c>
    </row>
    <row r="2788" spans="1:10" ht="12" customHeight="1" x14ac:dyDescent="0.25">
      <c r="A2788" s="43">
        <v>45287</v>
      </c>
      <c r="B2788" s="47">
        <v>16181</v>
      </c>
      <c r="C2788" s="44" t="s">
        <v>820</v>
      </c>
      <c r="D2788" s="45">
        <v>3.4</v>
      </c>
      <c r="E2788" s="48" t="s">
        <v>145</v>
      </c>
      <c r="F2788" s="48" t="s">
        <v>116</v>
      </c>
      <c r="G2788" s="48" t="s">
        <v>107</v>
      </c>
      <c r="J2788" s="44">
        <f>YEAR(A2788)</f>
        <v>2023</v>
      </c>
    </row>
    <row r="2789" spans="1:10" ht="12" customHeight="1" x14ac:dyDescent="0.25">
      <c r="A2789" s="43">
        <v>45287</v>
      </c>
      <c r="B2789" s="47">
        <v>16181</v>
      </c>
      <c r="C2789" s="44" t="s">
        <v>820</v>
      </c>
      <c r="D2789" s="45">
        <v>-3.4</v>
      </c>
      <c r="E2789" s="48" t="s">
        <v>299</v>
      </c>
      <c r="F2789" s="48" t="s">
        <v>90</v>
      </c>
      <c r="G2789" s="48" t="s">
        <v>305</v>
      </c>
      <c r="I2789" s="44" t="s">
        <v>1065</v>
      </c>
      <c r="J2789" s="44">
        <f>YEAR(A2789)</f>
        <v>2023</v>
      </c>
    </row>
    <row r="2790" spans="1:10" ht="12" customHeight="1" x14ac:dyDescent="0.25">
      <c r="A2790" s="43">
        <v>45281</v>
      </c>
      <c r="B2790" s="47">
        <v>16182</v>
      </c>
      <c r="C2790" s="44" t="s">
        <v>738</v>
      </c>
      <c r="D2790" s="45">
        <v>-12.6</v>
      </c>
      <c r="E2790" s="48" t="s">
        <v>299</v>
      </c>
      <c r="F2790" s="48" t="s">
        <v>90</v>
      </c>
      <c r="G2790" s="48" t="s">
        <v>91</v>
      </c>
      <c r="H2790" s="44">
        <v>4091</v>
      </c>
      <c r="I2790" s="44" t="s">
        <v>1067</v>
      </c>
      <c r="J2790" s="44">
        <f>YEAR(A2790)</f>
        <v>2023</v>
      </c>
    </row>
    <row r="2791" spans="1:10" ht="12" customHeight="1" x14ac:dyDescent="0.25">
      <c r="A2791" s="43">
        <v>45281</v>
      </c>
      <c r="B2791" s="47">
        <v>16182</v>
      </c>
      <c r="C2791" s="44" t="s">
        <v>738</v>
      </c>
      <c r="D2791" s="45">
        <v>12.6</v>
      </c>
      <c r="E2791" s="48" t="s">
        <v>197</v>
      </c>
      <c r="F2791" s="48" t="s">
        <v>90</v>
      </c>
      <c r="G2791" s="48" t="s">
        <v>99</v>
      </c>
      <c r="J2791" s="44">
        <f>YEAR(A2791)</f>
        <v>2023</v>
      </c>
    </row>
    <row r="2792" spans="1:10" ht="12" customHeight="1" x14ac:dyDescent="0.25">
      <c r="A2792" s="43">
        <v>45282</v>
      </c>
      <c r="B2792" s="47">
        <v>16183</v>
      </c>
      <c r="C2792" s="44" t="s">
        <v>445</v>
      </c>
      <c r="D2792" s="45">
        <v>-342.42</v>
      </c>
      <c r="E2792" s="48" t="s">
        <v>299</v>
      </c>
      <c r="F2792" s="48" t="s">
        <v>90</v>
      </c>
      <c r="G2792" s="48" t="s">
        <v>91</v>
      </c>
      <c r="H2792" s="44">
        <v>4092</v>
      </c>
      <c r="I2792" s="44" t="s">
        <v>1067</v>
      </c>
      <c r="J2792" s="44">
        <f>YEAR(A2792)</f>
        <v>2023</v>
      </c>
    </row>
    <row r="2793" spans="1:10" ht="12" customHeight="1" x14ac:dyDescent="0.25">
      <c r="A2793" s="43">
        <v>45282</v>
      </c>
      <c r="B2793" s="47">
        <v>16183</v>
      </c>
      <c r="C2793" s="44" t="s">
        <v>445</v>
      </c>
      <c r="D2793" s="45">
        <v>342.42</v>
      </c>
      <c r="E2793" s="48" t="s">
        <v>180</v>
      </c>
      <c r="F2793" s="48" t="s">
        <v>116</v>
      </c>
      <c r="G2793" s="48" t="s">
        <v>186</v>
      </c>
      <c r="J2793" s="44">
        <f>YEAR(A2793)</f>
        <v>2023</v>
      </c>
    </row>
    <row r="2794" spans="1:10" ht="12" customHeight="1" x14ac:dyDescent="0.25">
      <c r="A2794" s="43">
        <v>45288</v>
      </c>
      <c r="B2794" s="47">
        <v>16184</v>
      </c>
      <c r="C2794" s="44" t="s">
        <v>452</v>
      </c>
      <c r="D2794" s="45">
        <v>-195.29</v>
      </c>
      <c r="E2794" s="48" t="s">
        <v>299</v>
      </c>
      <c r="F2794" s="48" t="s">
        <v>90</v>
      </c>
      <c r="G2794" s="48" t="s">
        <v>91</v>
      </c>
      <c r="H2794" s="44" t="s">
        <v>402</v>
      </c>
      <c r="I2794" s="44" t="s">
        <v>1067</v>
      </c>
      <c r="J2794" s="44">
        <f>YEAR(A2794)</f>
        <v>2023</v>
      </c>
    </row>
    <row r="2795" spans="1:10" ht="12" customHeight="1" x14ac:dyDescent="0.25">
      <c r="A2795" s="43">
        <v>45287</v>
      </c>
      <c r="B2795" s="47">
        <v>16184</v>
      </c>
      <c r="C2795" s="44" t="s">
        <v>1049</v>
      </c>
      <c r="D2795" s="45">
        <v>8.27</v>
      </c>
      <c r="E2795" s="48" t="s">
        <v>89</v>
      </c>
      <c r="F2795" s="48" t="s">
        <v>90</v>
      </c>
      <c r="G2795" s="48" t="s">
        <v>91</v>
      </c>
      <c r="J2795" s="44">
        <f>YEAR(A2795)</f>
        <v>2023</v>
      </c>
    </row>
    <row r="2796" spans="1:10" ht="12" customHeight="1" x14ac:dyDescent="0.25">
      <c r="A2796" s="43">
        <v>45287</v>
      </c>
      <c r="B2796" s="47">
        <v>16184</v>
      </c>
      <c r="C2796" s="44" t="s">
        <v>1050</v>
      </c>
      <c r="D2796" s="45">
        <v>49</v>
      </c>
      <c r="E2796" s="48" t="s">
        <v>180</v>
      </c>
      <c r="F2796" s="48" t="s">
        <v>128</v>
      </c>
      <c r="G2796" s="48" t="s">
        <v>99</v>
      </c>
      <c r="J2796" s="44">
        <f>YEAR(A2796)</f>
        <v>2023</v>
      </c>
    </row>
    <row r="2797" spans="1:10" ht="12" customHeight="1" x14ac:dyDescent="0.25">
      <c r="A2797" s="43">
        <v>45288</v>
      </c>
      <c r="B2797" s="47">
        <v>16184</v>
      </c>
      <c r="C2797" s="44" t="s">
        <v>1051</v>
      </c>
      <c r="D2797" s="45">
        <v>63.55</v>
      </c>
      <c r="E2797" s="48" t="s">
        <v>89</v>
      </c>
      <c r="F2797" s="48" t="s">
        <v>90</v>
      </c>
      <c r="G2797" s="48" t="s">
        <v>91</v>
      </c>
      <c r="J2797" s="44">
        <f>YEAR(A2797)</f>
        <v>2023</v>
      </c>
    </row>
    <row r="2798" spans="1:10" ht="12" customHeight="1" x14ac:dyDescent="0.25">
      <c r="A2798" s="43">
        <v>45288</v>
      </c>
      <c r="B2798" s="47">
        <v>16184</v>
      </c>
      <c r="C2798" s="44" t="s">
        <v>509</v>
      </c>
      <c r="D2798" s="45">
        <v>48.04</v>
      </c>
      <c r="E2798" s="48" t="s">
        <v>180</v>
      </c>
      <c r="F2798" s="48" t="s">
        <v>96</v>
      </c>
      <c r="G2798" s="48" t="s">
        <v>186</v>
      </c>
      <c r="J2798" s="44">
        <f>YEAR(A2798)</f>
        <v>2023</v>
      </c>
    </row>
    <row r="2799" spans="1:10" ht="12" customHeight="1" x14ac:dyDescent="0.25">
      <c r="A2799" s="43">
        <v>45288</v>
      </c>
      <c r="B2799" s="47">
        <v>16184</v>
      </c>
      <c r="C2799" s="44" t="s">
        <v>1052</v>
      </c>
      <c r="D2799" s="45">
        <v>14.02</v>
      </c>
      <c r="E2799" s="48" t="s">
        <v>197</v>
      </c>
      <c r="F2799" s="48" t="s">
        <v>90</v>
      </c>
      <c r="G2799" s="48" t="s">
        <v>91</v>
      </c>
      <c r="J2799" s="44">
        <f>YEAR(A2799)</f>
        <v>2023</v>
      </c>
    </row>
    <row r="2800" spans="1:10" ht="12" customHeight="1" x14ac:dyDescent="0.25">
      <c r="A2800" s="43">
        <v>45288</v>
      </c>
      <c r="B2800" s="47">
        <v>16184</v>
      </c>
      <c r="C2800" s="44" t="s">
        <v>1053</v>
      </c>
      <c r="D2800" s="45">
        <v>12.41</v>
      </c>
      <c r="E2800" s="48" t="s">
        <v>157</v>
      </c>
      <c r="F2800" s="48" t="s">
        <v>96</v>
      </c>
      <c r="G2800" s="48" t="s">
        <v>91</v>
      </c>
      <c r="J2800" s="44">
        <f>YEAR(A2800)</f>
        <v>2023</v>
      </c>
    </row>
    <row r="2801" spans="1:10" ht="12" customHeight="1" x14ac:dyDescent="0.25">
      <c r="A2801" s="43">
        <v>45282</v>
      </c>
      <c r="B2801" s="47">
        <v>16185</v>
      </c>
      <c r="C2801" s="44" t="s">
        <v>1054</v>
      </c>
      <c r="D2801" s="45">
        <v>-300</v>
      </c>
      <c r="E2801" s="48" t="s">
        <v>299</v>
      </c>
      <c r="F2801" s="48" t="s">
        <v>90</v>
      </c>
      <c r="G2801" s="48" t="s">
        <v>91</v>
      </c>
      <c r="H2801" s="44" t="s">
        <v>402</v>
      </c>
      <c r="I2801" s="44" t="s">
        <v>1067</v>
      </c>
      <c r="J2801" s="44">
        <f>YEAR(A2801)</f>
        <v>2023</v>
      </c>
    </row>
    <row r="2802" spans="1:10" ht="12" customHeight="1" x14ac:dyDescent="0.25">
      <c r="A2802" s="43">
        <v>45282</v>
      </c>
      <c r="B2802" s="47">
        <v>16185</v>
      </c>
      <c r="C2802" s="44" t="s">
        <v>1054</v>
      </c>
      <c r="D2802" s="45">
        <v>300</v>
      </c>
      <c r="E2802" s="48" t="s">
        <v>145</v>
      </c>
      <c r="F2802" s="48" t="s">
        <v>116</v>
      </c>
      <c r="G2802" s="48" t="s">
        <v>95</v>
      </c>
      <c r="J2802" s="44">
        <f>YEAR(A2802)</f>
        <v>2023</v>
      </c>
    </row>
    <row r="2803" spans="1:10" ht="12" customHeight="1" x14ac:dyDescent="0.25">
      <c r="A2803" s="43">
        <v>45285</v>
      </c>
      <c r="B2803" s="47">
        <v>16185</v>
      </c>
      <c r="C2803" s="44" t="s">
        <v>1056</v>
      </c>
      <c r="D2803" s="45">
        <v>20</v>
      </c>
      <c r="E2803" s="48" t="s">
        <v>145</v>
      </c>
      <c r="F2803" s="48" t="s">
        <v>135</v>
      </c>
      <c r="G2803" s="48" t="s">
        <v>91</v>
      </c>
      <c r="J2803" s="44">
        <f>YEAR(A2803)</f>
        <v>2023</v>
      </c>
    </row>
    <row r="2804" spans="1:10" ht="12" customHeight="1" x14ac:dyDescent="0.25">
      <c r="A2804" s="43">
        <v>45285</v>
      </c>
      <c r="B2804" s="47">
        <v>16185</v>
      </c>
      <c r="C2804" s="44" t="s">
        <v>1056</v>
      </c>
      <c r="D2804" s="45">
        <v>-20</v>
      </c>
      <c r="E2804" s="48" t="s">
        <v>299</v>
      </c>
      <c r="F2804" s="48" t="s">
        <v>101</v>
      </c>
      <c r="G2804" s="48" t="s">
        <v>91</v>
      </c>
      <c r="J2804" s="44">
        <f>YEAR(A2804)</f>
        <v>2023</v>
      </c>
    </row>
    <row r="2805" spans="1:10" ht="12" customHeight="1" x14ac:dyDescent="0.25">
      <c r="A2805" s="43">
        <v>45290</v>
      </c>
      <c r="B2805" s="47">
        <v>16186</v>
      </c>
      <c r="C2805" s="44" t="s">
        <v>1055</v>
      </c>
      <c r="D2805" s="45">
        <v>10.49</v>
      </c>
      <c r="E2805" s="48" t="s">
        <v>157</v>
      </c>
      <c r="F2805" s="48" t="s">
        <v>96</v>
      </c>
      <c r="G2805" s="48" t="s">
        <v>91</v>
      </c>
      <c r="J2805" s="44">
        <f>YEAR(A2805)</f>
        <v>2023</v>
      </c>
    </row>
    <row r="2806" spans="1:10" ht="12" customHeight="1" x14ac:dyDescent="0.25">
      <c r="A2806" s="43">
        <v>45290</v>
      </c>
      <c r="B2806" s="47">
        <v>16186</v>
      </c>
      <c r="C2806" s="44" t="s">
        <v>1055</v>
      </c>
      <c r="D2806" s="45">
        <v>-10.49</v>
      </c>
      <c r="E2806" s="48" t="s">
        <v>299</v>
      </c>
      <c r="F2806" s="48" t="s">
        <v>90</v>
      </c>
      <c r="G2806" s="48" t="s">
        <v>305</v>
      </c>
      <c r="I2806" s="44" t="s">
        <v>1071</v>
      </c>
      <c r="J2806" s="44">
        <f>YEAR(A2806)</f>
        <v>2023</v>
      </c>
    </row>
    <row r="2807" spans="1:10" ht="12" customHeight="1" x14ac:dyDescent="0.25">
      <c r="A2807" s="43">
        <v>45291</v>
      </c>
      <c r="B2807" s="47">
        <v>16214</v>
      </c>
      <c r="C2807" s="44" t="s">
        <v>997</v>
      </c>
      <c r="D2807" s="45">
        <v>-743.34</v>
      </c>
      <c r="E2807" s="48" t="s">
        <v>299</v>
      </c>
      <c r="F2807" s="48" t="s">
        <v>321</v>
      </c>
      <c r="G2807" s="48" t="s">
        <v>99</v>
      </c>
      <c r="J2807" s="44">
        <f>YEAR(A2807)</f>
        <v>2023</v>
      </c>
    </row>
    <row r="2808" spans="1:10" ht="12" customHeight="1" x14ac:dyDescent="0.25">
      <c r="A2808" s="43">
        <v>45268</v>
      </c>
      <c r="B2808" s="47">
        <v>16214</v>
      </c>
      <c r="C2808" s="44" t="s">
        <v>1059</v>
      </c>
      <c r="D2808" s="45">
        <v>50</v>
      </c>
      <c r="E2808" s="48" t="s">
        <v>145</v>
      </c>
      <c r="F2808" s="48" t="s">
        <v>116</v>
      </c>
      <c r="G2808" s="48" t="s">
        <v>93</v>
      </c>
      <c r="J2808" s="44">
        <f>YEAR(A2808)</f>
        <v>2023</v>
      </c>
    </row>
    <row r="2809" spans="1:10" ht="12" customHeight="1" x14ac:dyDescent="0.25">
      <c r="A2809" s="43">
        <v>45268</v>
      </c>
      <c r="B2809" s="47">
        <v>16214</v>
      </c>
      <c r="C2809" s="44" t="s">
        <v>1059</v>
      </c>
      <c r="D2809" s="45">
        <v>25</v>
      </c>
      <c r="E2809" s="48" t="s">
        <v>145</v>
      </c>
      <c r="F2809" s="48" t="s">
        <v>116</v>
      </c>
      <c r="G2809" s="48" t="s">
        <v>99</v>
      </c>
      <c r="J2809" s="44">
        <f>YEAR(A2809)</f>
        <v>2023</v>
      </c>
    </row>
    <row r="2810" spans="1:10" ht="12" customHeight="1" x14ac:dyDescent="0.25">
      <c r="A2810" s="43">
        <v>45268</v>
      </c>
      <c r="B2810" s="47">
        <v>16214</v>
      </c>
      <c r="C2810" s="44" t="s">
        <v>1060</v>
      </c>
      <c r="D2810" s="45">
        <v>200</v>
      </c>
      <c r="E2810" s="48" t="s">
        <v>145</v>
      </c>
      <c r="F2810" s="48" t="s">
        <v>116</v>
      </c>
      <c r="G2810" s="48" t="s">
        <v>94</v>
      </c>
      <c r="J2810" s="44">
        <f>YEAR(A2810)</f>
        <v>2023</v>
      </c>
    </row>
    <row r="2811" spans="1:10" ht="12" customHeight="1" x14ac:dyDescent="0.25">
      <c r="A2811" s="43">
        <v>45262</v>
      </c>
      <c r="B2811" s="47">
        <v>16214</v>
      </c>
      <c r="C2811" s="44" t="s">
        <v>1061</v>
      </c>
      <c r="D2811" s="45">
        <v>25</v>
      </c>
      <c r="E2811" s="48" t="s">
        <v>105</v>
      </c>
      <c r="F2811" s="48" t="s">
        <v>90</v>
      </c>
      <c r="G2811" s="48" t="s">
        <v>93</v>
      </c>
      <c r="J2811" s="44">
        <f>YEAR(A2811)</f>
        <v>2023</v>
      </c>
    </row>
    <row r="2812" spans="1:10" ht="12" customHeight="1" x14ac:dyDescent="0.25">
      <c r="A2812" s="43">
        <v>45262</v>
      </c>
      <c r="B2812" s="47">
        <v>16214</v>
      </c>
      <c r="C2812" s="44" t="s">
        <v>1062</v>
      </c>
      <c r="D2812" s="45">
        <v>12</v>
      </c>
      <c r="E2812" s="48" t="s">
        <v>145</v>
      </c>
      <c r="F2812" s="48" t="s">
        <v>116</v>
      </c>
      <c r="G2812" s="48" t="s">
        <v>93</v>
      </c>
      <c r="J2812" s="44">
        <f>YEAR(A2812)</f>
        <v>2023</v>
      </c>
    </row>
    <row r="2813" spans="1:10" ht="12" customHeight="1" x14ac:dyDescent="0.25">
      <c r="A2813" s="43">
        <v>45274</v>
      </c>
      <c r="B2813" s="47">
        <v>16214</v>
      </c>
      <c r="C2813" s="44" t="s">
        <v>472</v>
      </c>
      <c r="D2813" s="45">
        <v>54.3</v>
      </c>
      <c r="E2813" s="48" t="s">
        <v>197</v>
      </c>
      <c r="F2813" s="48" t="s">
        <v>96</v>
      </c>
      <c r="G2813" s="48" t="s">
        <v>91</v>
      </c>
      <c r="J2813" s="44">
        <f>YEAR(A2813)</f>
        <v>2023</v>
      </c>
    </row>
    <row r="2814" spans="1:10" ht="12" customHeight="1" x14ac:dyDescent="0.25">
      <c r="A2814" s="43">
        <v>45253</v>
      </c>
      <c r="B2814" s="47">
        <v>16214</v>
      </c>
      <c r="C2814" s="44" t="s">
        <v>204</v>
      </c>
      <c r="D2814" s="45">
        <v>29.94</v>
      </c>
      <c r="E2814" s="48" t="s">
        <v>145</v>
      </c>
      <c r="F2814" s="48" t="s">
        <v>116</v>
      </c>
      <c r="G2814" s="48" t="s">
        <v>91</v>
      </c>
      <c r="J2814" s="44">
        <f>YEAR(A2814)</f>
        <v>2023</v>
      </c>
    </row>
    <row r="2815" spans="1:10" ht="12" customHeight="1" x14ac:dyDescent="0.25">
      <c r="A2815" s="43">
        <v>45262</v>
      </c>
      <c r="B2815" s="47">
        <v>16214</v>
      </c>
      <c r="C2815" s="44" t="s">
        <v>1063</v>
      </c>
      <c r="D2815" s="45">
        <v>13</v>
      </c>
      <c r="E2815" s="48" t="s">
        <v>89</v>
      </c>
      <c r="F2815" s="48" t="s">
        <v>90</v>
      </c>
      <c r="G2815" s="48" t="s">
        <v>91</v>
      </c>
      <c r="J2815" s="44">
        <f>YEAR(A2815)</f>
        <v>2023</v>
      </c>
    </row>
    <row r="2816" spans="1:10" ht="12" customHeight="1" x14ac:dyDescent="0.25">
      <c r="A2816" s="43">
        <v>45279</v>
      </c>
      <c r="B2816" s="47">
        <v>16214</v>
      </c>
      <c r="C2816" s="44" t="s">
        <v>1064</v>
      </c>
      <c r="D2816" s="45">
        <v>144.9</v>
      </c>
      <c r="E2816" s="48" t="s">
        <v>145</v>
      </c>
      <c r="F2816" s="48" t="s">
        <v>116</v>
      </c>
      <c r="G2816" s="48" t="s">
        <v>93</v>
      </c>
      <c r="J2816" s="44">
        <f>YEAR(A2816)</f>
        <v>2023</v>
      </c>
    </row>
    <row r="2817" spans="1:10" ht="12" customHeight="1" x14ac:dyDescent="0.25">
      <c r="A2817" s="43">
        <v>45274</v>
      </c>
      <c r="B2817" s="47">
        <v>16214</v>
      </c>
      <c r="C2817" s="44" t="s">
        <v>496</v>
      </c>
      <c r="D2817" s="45">
        <v>31.2</v>
      </c>
      <c r="E2817" s="48" t="s">
        <v>89</v>
      </c>
      <c r="F2817" s="48" t="s">
        <v>90</v>
      </c>
      <c r="G2817" s="48" t="s">
        <v>91</v>
      </c>
      <c r="J2817" s="44">
        <f>YEAR(A2817)</f>
        <v>2023</v>
      </c>
    </row>
    <row r="2818" spans="1:10" ht="12" customHeight="1" x14ac:dyDescent="0.25">
      <c r="A2818" s="43">
        <v>45280</v>
      </c>
      <c r="B2818" s="47">
        <v>16214</v>
      </c>
      <c r="C2818" s="44" t="s">
        <v>318</v>
      </c>
      <c r="D2818" s="45">
        <v>158</v>
      </c>
      <c r="E2818" s="48" t="s">
        <v>145</v>
      </c>
      <c r="F2818" s="48" t="s">
        <v>116</v>
      </c>
      <c r="G2818" s="48" t="s">
        <v>91</v>
      </c>
      <c r="J2818" s="44">
        <f>YEAR(A2818)</f>
        <v>2023</v>
      </c>
    </row>
    <row r="2819" spans="1:10" ht="12" customHeight="1" x14ac:dyDescent="0.25">
      <c r="A2819" s="43">
        <v>45276</v>
      </c>
      <c r="B2819" s="47">
        <v>16215</v>
      </c>
      <c r="C2819" s="44" t="s">
        <v>602</v>
      </c>
      <c r="D2819" s="45">
        <v>1.2</v>
      </c>
      <c r="E2819" s="48" t="s">
        <v>180</v>
      </c>
      <c r="F2819" s="48" t="s">
        <v>90</v>
      </c>
      <c r="G2819" s="48" t="s">
        <v>91</v>
      </c>
      <c r="H2819" s="44" t="s">
        <v>442</v>
      </c>
      <c r="J2819" s="44">
        <f>YEAR(A2819)</f>
        <v>2023</v>
      </c>
    </row>
    <row r="2820" spans="1:10" ht="12" customHeight="1" x14ac:dyDescent="0.25">
      <c r="A2820" s="43">
        <v>45276</v>
      </c>
      <c r="B2820" s="47">
        <v>16215</v>
      </c>
      <c r="C2820" s="44" t="s">
        <v>602</v>
      </c>
      <c r="D2820" s="45">
        <v>-1.2</v>
      </c>
      <c r="E2820" s="48" t="s">
        <v>299</v>
      </c>
      <c r="F2820" s="48" t="s">
        <v>90</v>
      </c>
      <c r="G2820" s="48" t="s">
        <v>305</v>
      </c>
      <c r="I2820" s="44" t="s">
        <v>1065</v>
      </c>
      <c r="J2820" s="44">
        <f>YEAR(A2820)</f>
        <v>2023</v>
      </c>
    </row>
    <row r="2821" spans="1:10" ht="12" customHeight="1" x14ac:dyDescent="0.25">
      <c r="A2821" s="43">
        <v>45279</v>
      </c>
      <c r="B2821" s="47">
        <v>16216</v>
      </c>
      <c r="C2821" s="44" t="s">
        <v>453</v>
      </c>
      <c r="D2821" s="45">
        <v>30.4</v>
      </c>
      <c r="E2821" s="48" t="s">
        <v>89</v>
      </c>
      <c r="F2821" s="48" t="s">
        <v>90</v>
      </c>
      <c r="G2821" s="48" t="s">
        <v>91</v>
      </c>
      <c r="J2821" s="44">
        <f>YEAR(A2821)</f>
        <v>2023</v>
      </c>
    </row>
    <row r="2822" spans="1:10" ht="12" customHeight="1" x14ac:dyDescent="0.25">
      <c r="A2822" s="43">
        <v>45279</v>
      </c>
      <c r="B2822" s="47">
        <v>16216</v>
      </c>
      <c r="C2822" s="44" t="s">
        <v>453</v>
      </c>
      <c r="D2822" s="45">
        <v>-30.4</v>
      </c>
      <c r="E2822" s="48" t="s">
        <v>299</v>
      </c>
      <c r="F2822" s="48" t="s">
        <v>90</v>
      </c>
      <c r="G2822" s="48" t="s">
        <v>305</v>
      </c>
      <c r="I2822" s="44" t="s">
        <v>1065</v>
      </c>
      <c r="J2822" s="44">
        <f>YEAR(A2822)</f>
        <v>2023</v>
      </c>
    </row>
    <row r="2823" spans="1:10" ht="12" customHeight="1" x14ac:dyDescent="0.25">
      <c r="A2823" s="43">
        <v>45279</v>
      </c>
      <c r="B2823" s="47">
        <v>16217</v>
      </c>
      <c r="C2823" s="44" t="s">
        <v>476</v>
      </c>
      <c r="D2823" s="45">
        <v>5.5</v>
      </c>
      <c r="E2823" s="48" t="s">
        <v>157</v>
      </c>
      <c r="F2823" s="48" t="s">
        <v>96</v>
      </c>
      <c r="G2823" s="48" t="s">
        <v>91</v>
      </c>
      <c r="J2823" s="44">
        <f>YEAR(A2823)</f>
        <v>2023</v>
      </c>
    </row>
    <row r="2824" spans="1:10" ht="12" customHeight="1" x14ac:dyDescent="0.25">
      <c r="A2824" s="43">
        <v>45279</v>
      </c>
      <c r="B2824" s="47">
        <v>16217</v>
      </c>
      <c r="C2824" s="44" t="s">
        <v>476</v>
      </c>
      <c r="D2824" s="45">
        <v>-5.5</v>
      </c>
      <c r="E2824" s="48" t="s">
        <v>299</v>
      </c>
      <c r="F2824" s="48" t="s">
        <v>90</v>
      </c>
      <c r="G2824" s="48" t="s">
        <v>305</v>
      </c>
      <c r="I2824" s="44" t="s">
        <v>1065</v>
      </c>
      <c r="J2824" s="44">
        <f>YEAR(A2824)</f>
        <v>2023</v>
      </c>
    </row>
    <row r="2825" spans="1:10" ht="12" customHeight="1" x14ac:dyDescent="0.25">
      <c r="A2825" s="43">
        <v>45283</v>
      </c>
      <c r="B2825" s="47">
        <v>16218</v>
      </c>
      <c r="C2825" s="44" t="s">
        <v>1066</v>
      </c>
      <c r="D2825" s="45">
        <v>44.13</v>
      </c>
      <c r="E2825" s="48" t="s">
        <v>89</v>
      </c>
      <c r="F2825" s="48" t="s">
        <v>90</v>
      </c>
      <c r="G2825" s="48" t="s">
        <v>91</v>
      </c>
      <c r="J2825" s="44">
        <f>YEAR(A2825)</f>
        <v>2023</v>
      </c>
    </row>
    <row r="2826" spans="1:10" ht="12" customHeight="1" x14ac:dyDescent="0.25">
      <c r="A2826" s="43">
        <v>45283</v>
      </c>
      <c r="B2826" s="47">
        <v>16218</v>
      </c>
      <c r="C2826" s="44" t="s">
        <v>1066</v>
      </c>
      <c r="D2826" s="45">
        <v>-44.13</v>
      </c>
      <c r="E2826" s="48" t="s">
        <v>299</v>
      </c>
      <c r="F2826" s="48" t="s">
        <v>90</v>
      </c>
      <c r="G2826" s="48" t="s">
        <v>305</v>
      </c>
      <c r="I2826" s="44" t="s">
        <v>1065</v>
      </c>
      <c r="J2826" s="44">
        <f>YEAR(A2826)</f>
        <v>2023</v>
      </c>
    </row>
    <row r="2827" spans="1:10" ht="12" customHeight="1" x14ac:dyDescent="0.25">
      <c r="A2827" s="43">
        <v>45279</v>
      </c>
      <c r="B2827" s="47">
        <v>16221</v>
      </c>
      <c r="C2827" s="44" t="s">
        <v>390</v>
      </c>
      <c r="D2827" s="45">
        <v>6.3</v>
      </c>
      <c r="E2827" s="48" t="s">
        <v>124</v>
      </c>
      <c r="F2827" s="48" t="s">
        <v>128</v>
      </c>
      <c r="G2827" s="48" t="s">
        <v>91</v>
      </c>
      <c r="J2827" s="44">
        <f>YEAR(A2827)</f>
        <v>2023</v>
      </c>
    </row>
    <row r="2828" spans="1:10" ht="12" customHeight="1" x14ac:dyDescent="0.25">
      <c r="A2828" s="43">
        <v>45279</v>
      </c>
      <c r="B2828" s="47">
        <v>16221</v>
      </c>
      <c r="C2828" s="44" t="s">
        <v>390</v>
      </c>
      <c r="D2828" s="45">
        <v>-6.3</v>
      </c>
      <c r="E2828" s="48" t="s">
        <v>299</v>
      </c>
      <c r="F2828" s="48" t="s">
        <v>90</v>
      </c>
      <c r="G2828" s="48" t="s">
        <v>91</v>
      </c>
      <c r="H2828" s="44" t="s">
        <v>391</v>
      </c>
      <c r="I2828" s="44" t="s">
        <v>1067</v>
      </c>
      <c r="J2828" s="44">
        <f>YEAR(A2828)</f>
        <v>2023</v>
      </c>
    </row>
    <row r="2829" spans="1:10" ht="12" customHeight="1" x14ac:dyDescent="0.25">
      <c r="A2829" s="43">
        <v>45279</v>
      </c>
      <c r="B2829" s="47">
        <v>16221</v>
      </c>
      <c r="C2829" s="44" t="s">
        <v>393</v>
      </c>
      <c r="D2829" s="45">
        <v>16.100000000000001</v>
      </c>
      <c r="E2829" s="48" t="s">
        <v>124</v>
      </c>
      <c r="F2829" s="48" t="s">
        <v>128</v>
      </c>
      <c r="G2829" s="48" t="s">
        <v>91</v>
      </c>
      <c r="J2829" s="44">
        <f>YEAR(A2829)</f>
        <v>2023</v>
      </c>
    </row>
    <row r="2830" spans="1:10" ht="12" customHeight="1" x14ac:dyDescent="0.25">
      <c r="A2830" s="43">
        <v>45279</v>
      </c>
      <c r="B2830" s="47">
        <v>16221</v>
      </c>
      <c r="C2830" s="44" t="s">
        <v>393</v>
      </c>
      <c r="D2830" s="45">
        <v>-16.100000000000001</v>
      </c>
      <c r="E2830" s="48" t="s">
        <v>299</v>
      </c>
      <c r="F2830" s="48" t="s">
        <v>90</v>
      </c>
      <c r="G2830" s="48" t="s">
        <v>91</v>
      </c>
      <c r="H2830" s="44" t="s">
        <v>391</v>
      </c>
      <c r="I2830" s="44" t="s">
        <v>1067</v>
      </c>
      <c r="J2830" s="44">
        <f>YEAR(A2830)</f>
        <v>2023</v>
      </c>
    </row>
    <row r="2831" spans="1:10" ht="12" customHeight="1" x14ac:dyDescent="0.25">
      <c r="A2831" s="43">
        <v>45279</v>
      </c>
      <c r="B2831" s="47">
        <v>16221</v>
      </c>
      <c r="C2831" s="44" t="s">
        <v>394</v>
      </c>
      <c r="D2831" s="45">
        <v>0.49</v>
      </c>
      <c r="E2831" s="48" t="s">
        <v>124</v>
      </c>
      <c r="F2831" s="48" t="s">
        <v>128</v>
      </c>
      <c r="G2831" s="48" t="s">
        <v>91</v>
      </c>
      <c r="J2831" s="44">
        <f>YEAR(A2831)</f>
        <v>2023</v>
      </c>
    </row>
    <row r="2832" spans="1:10" ht="12" customHeight="1" x14ac:dyDescent="0.25">
      <c r="A2832" s="43">
        <v>45279</v>
      </c>
      <c r="B2832" s="47">
        <v>16221</v>
      </c>
      <c r="C2832" s="44" t="s">
        <v>394</v>
      </c>
      <c r="D2832" s="45">
        <v>-0.49</v>
      </c>
      <c r="E2832" s="48" t="s">
        <v>299</v>
      </c>
      <c r="F2832" s="48" t="s">
        <v>90</v>
      </c>
      <c r="G2832" s="48" t="s">
        <v>91</v>
      </c>
      <c r="H2832" s="44" t="s">
        <v>391</v>
      </c>
      <c r="I2832" s="44" t="s">
        <v>1067</v>
      </c>
      <c r="J2832" s="44">
        <f>YEAR(A2832)</f>
        <v>2023</v>
      </c>
    </row>
    <row r="2833" spans="1:10" ht="12" customHeight="1" x14ac:dyDescent="0.25">
      <c r="A2833" s="43">
        <v>45279</v>
      </c>
      <c r="B2833" s="47">
        <v>16221</v>
      </c>
      <c r="C2833" s="44" t="s">
        <v>395</v>
      </c>
      <c r="D2833" s="45">
        <v>0.7</v>
      </c>
      <c r="E2833" s="48" t="s">
        <v>124</v>
      </c>
      <c r="F2833" s="48" t="s">
        <v>128</v>
      </c>
      <c r="G2833" s="48" t="s">
        <v>91</v>
      </c>
      <c r="J2833" s="44">
        <f>YEAR(A2833)</f>
        <v>2023</v>
      </c>
    </row>
    <row r="2834" spans="1:10" ht="12" customHeight="1" x14ac:dyDescent="0.25">
      <c r="A2834" s="43">
        <v>45279</v>
      </c>
      <c r="B2834" s="47">
        <v>16221</v>
      </c>
      <c r="C2834" s="44" t="s">
        <v>395</v>
      </c>
      <c r="D2834" s="45">
        <v>-0.7</v>
      </c>
      <c r="E2834" s="48" t="s">
        <v>299</v>
      </c>
      <c r="F2834" s="48" t="s">
        <v>90</v>
      </c>
      <c r="G2834" s="48" t="s">
        <v>91</v>
      </c>
      <c r="H2834" s="44" t="s">
        <v>391</v>
      </c>
      <c r="I2834" s="44" t="s">
        <v>1067</v>
      </c>
      <c r="J2834" s="44">
        <f>YEAR(A2834)</f>
        <v>2023</v>
      </c>
    </row>
    <row r="2835" spans="1:10" ht="12" customHeight="1" x14ac:dyDescent="0.25">
      <c r="A2835" s="43">
        <v>45287</v>
      </c>
      <c r="B2835" s="47">
        <v>16222</v>
      </c>
      <c r="C2835" s="44" t="s">
        <v>396</v>
      </c>
      <c r="D2835" s="45">
        <v>31.69</v>
      </c>
      <c r="E2835" s="48" t="s">
        <v>157</v>
      </c>
      <c r="F2835" s="48" t="s">
        <v>155</v>
      </c>
      <c r="G2835" s="48" t="s">
        <v>94</v>
      </c>
      <c r="J2835" s="44">
        <f>YEAR(A2835)</f>
        <v>2023</v>
      </c>
    </row>
    <row r="2836" spans="1:10" ht="12" customHeight="1" x14ac:dyDescent="0.25">
      <c r="A2836" s="43">
        <v>45287</v>
      </c>
      <c r="B2836" s="47">
        <v>16222</v>
      </c>
      <c r="C2836" s="44" t="s">
        <v>396</v>
      </c>
      <c r="D2836" s="45">
        <v>-31.69</v>
      </c>
      <c r="E2836" s="48" t="s">
        <v>299</v>
      </c>
      <c r="F2836" s="48" t="s">
        <v>90</v>
      </c>
      <c r="G2836" s="48" t="s">
        <v>91</v>
      </c>
      <c r="H2836" s="44" t="s">
        <v>391</v>
      </c>
      <c r="I2836" s="44" t="s">
        <v>1067</v>
      </c>
      <c r="J2836" s="44">
        <f>YEAR(A2836)</f>
        <v>2023</v>
      </c>
    </row>
    <row r="2837" spans="1:10" ht="12" customHeight="1" x14ac:dyDescent="0.25">
      <c r="A2837" s="43">
        <v>45275</v>
      </c>
      <c r="B2837" s="47">
        <v>16223</v>
      </c>
      <c r="C2837" s="44" t="s">
        <v>397</v>
      </c>
      <c r="D2837" s="45">
        <v>-800</v>
      </c>
      <c r="E2837" s="48" t="s">
        <v>244</v>
      </c>
      <c r="F2837" s="48" t="s">
        <v>90</v>
      </c>
      <c r="G2837" s="48" t="s">
        <v>114</v>
      </c>
      <c r="J2837" s="44">
        <f>YEAR(A2837)</f>
        <v>2023</v>
      </c>
    </row>
    <row r="2838" spans="1:10" ht="12" customHeight="1" x14ac:dyDescent="0.25">
      <c r="A2838" s="43">
        <v>45275</v>
      </c>
      <c r="B2838" s="47">
        <v>16223</v>
      </c>
      <c r="C2838" s="44" t="s">
        <v>397</v>
      </c>
      <c r="D2838" s="45">
        <v>800</v>
      </c>
      <c r="E2838" s="48" t="s">
        <v>299</v>
      </c>
      <c r="F2838" s="48" t="s">
        <v>90</v>
      </c>
      <c r="G2838" s="48" t="s">
        <v>91</v>
      </c>
      <c r="H2838" s="44" t="s">
        <v>398</v>
      </c>
      <c r="I2838" s="44" t="s">
        <v>1068</v>
      </c>
      <c r="J2838" s="44">
        <f>YEAR(A2838)</f>
        <v>2023</v>
      </c>
    </row>
    <row r="2839" spans="1:10" ht="12" customHeight="1" x14ac:dyDescent="0.25">
      <c r="A2839" s="43">
        <v>45288</v>
      </c>
      <c r="B2839" s="47">
        <v>16225</v>
      </c>
      <c r="C2839" s="44" t="s">
        <v>1069</v>
      </c>
      <c r="D2839" s="45">
        <v>7.6</v>
      </c>
      <c r="E2839" s="48" t="s">
        <v>180</v>
      </c>
      <c r="F2839" s="48" t="s">
        <v>128</v>
      </c>
      <c r="G2839" s="48" t="s">
        <v>99</v>
      </c>
      <c r="J2839" s="44">
        <f>YEAR(A2839)</f>
        <v>2023</v>
      </c>
    </row>
    <row r="2840" spans="1:10" ht="12" customHeight="1" x14ac:dyDescent="0.25">
      <c r="A2840" s="43">
        <v>45288</v>
      </c>
      <c r="B2840" s="47">
        <v>16225</v>
      </c>
      <c r="C2840" s="44" t="s">
        <v>951</v>
      </c>
      <c r="D2840" s="45">
        <v>19.989999999999998</v>
      </c>
      <c r="E2840" s="48" t="s">
        <v>157</v>
      </c>
      <c r="F2840" s="48" t="s">
        <v>155</v>
      </c>
      <c r="G2840" s="48" t="s">
        <v>99</v>
      </c>
      <c r="J2840" s="44">
        <f>YEAR(A2840)</f>
        <v>2023</v>
      </c>
    </row>
    <row r="2841" spans="1:10" ht="12" customHeight="1" x14ac:dyDescent="0.25">
      <c r="A2841" s="43">
        <v>45288</v>
      </c>
      <c r="B2841" s="47">
        <v>16225</v>
      </c>
      <c r="C2841" s="44" t="s">
        <v>951</v>
      </c>
      <c r="D2841" s="45">
        <v>-27.59</v>
      </c>
      <c r="E2841" s="48" t="s">
        <v>299</v>
      </c>
      <c r="F2841" s="48" t="s">
        <v>90</v>
      </c>
      <c r="G2841" s="48" t="s">
        <v>91</v>
      </c>
      <c r="H2841" s="44" t="s">
        <v>391</v>
      </c>
      <c r="I2841" s="44" t="s">
        <v>1067</v>
      </c>
      <c r="J2841" s="44">
        <f>YEAR(A2841)</f>
        <v>2023</v>
      </c>
    </row>
    <row r="2842" spans="1:10" ht="12" customHeight="1" x14ac:dyDescent="0.25">
      <c r="A2842" s="43">
        <v>45287</v>
      </c>
      <c r="B2842" s="47">
        <v>16228</v>
      </c>
      <c r="C2842" s="44" t="s">
        <v>403</v>
      </c>
      <c r="D2842" s="45">
        <v>-127.54</v>
      </c>
      <c r="E2842" s="48" t="s">
        <v>299</v>
      </c>
      <c r="F2842" s="48" t="s">
        <v>90</v>
      </c>
      <c r="G2842" s="48" t="s">
        <v>91</v>
      </c>
      <c r="H2842" s="44" t="s">
        <v>391</v>
      </c>
      <c r="I2842" s="44" t="s">
        <v>1067</v>
      </c>
      <c r="J2842" s="44">
        <f>YEAR(A2842)</f>
        <v>2023</v>
      </c>
    </row>
    <row r="2843" spans="1:10" ht="12" customHeight="1" x14ac:dyDescent="0.25">
      <c r="A2843" s="43">
        <v>45287</v>
      </c>
      <c r="B2843" s="47">
        <v>16228</v>
      </c>
      <c r="C2843" s="44" t="s">
        <v>403</v>
      </c>
      <c r="D2843" s="45">
        <v>127.54</v>
      </c>
      <c r="E2843" s="48" t="s">
        <v>157</v>
      </c>
      <c r="F2843" s="48" t="s">
        <v>137</v>
      </c>
      <c r="G2843" s="48" t="s">
        <v>91</v>
      </c>
      <c r="J2843" s="44">
        <f>YEAR(A2843)</f>
        <v>2023</v>
      </c>
    </row>
    <row r="2844" spans="1:10" ht="12" customHeight="1" x14ac:dyDescent="0.25">
      <c r="A2844" s="43">
        <v>45288</v>
      </c>
      <c r="B2844" s="47">
        <v>16229</v>
      </c>
      <c r="C2844" s="44" t="s">
        <v>404</v>
      </c>
      <c r="D2844" s="45">
        <v>-138.25</v>
      </c>
      <c r="E2844" s="48" t="s">
        <v>299</v>
      </c>
      <c r="F2844" s="48" t="s">
        <v>90</v>
      </c>
      <c r="G2844" s="48" t="s">
        <v>91</v>
      </c>
      <c r="H2844" s="44" t="s">
        <v>391</v>
      </c>
      <c r="I2844" s="44" t="s">
        <v>1067</v>
      </c>
      <c r="J2844" s="44">
        <f>YEAR(A2844)</f>
        <v>2023</v>
      </c>
    </row>
    <row r="2845" spans="1:10" ht="12" customHeight="1" x14ac:dyDescent="0.25">
      <c r="A2845" s="43">
        <v>45288</v>
      </c>
      <c r="B2845" s="47">
        <v>16229</v>
      </c>
      <c r="C2845" s="44" t="s">
        <v>404</v>
      </c>
      <c r="D2845" s="45">
        <v>138.25</v>
      </c>
      <c r="E2845" s="48" t="s">
        <v>157</v>
      </c>
      <c r="F2845" s="48" t="s">
        <v>137</v>
      </c>
      <c r="G2845" s="48" t="s">
        <v>91</v>
      </c>
      <c r="J2845" s="44">
        <f>YEAR(A2845)</f>
        <v>2023</v>
      </c>
    </row>
    <row r="2846" spans="1:10" ht="12" customHeight="1" x14ac:dyDescent="0.25">
      <c r="A2846" s="43">
        <v>45281</v>
      </c>
      <c r="B2846" s="47">
        <v>16230</v>
      </c>
      <c r="C2846" s="44" t="s">
        <v>407</v>
      </c>
      <c r="D2846" s="45">
        <v>14.99</v>
      </c>
      <c r="E2846" s="48" t="s">
        <v>157</v>
      </c>
      <c r="F2846" s="48" t="s">
        <v>116</v>
      </c>
      <c r="G2846" s="48" t="s">
        <v>91</v>
      </c>
      <c r="J2846" s="44">
        <f>YEAR(A2846)</f>
        <v>2023</v>
      </c>
    </row>
    <row r="2847" spans="1:10" ht="12" customHeight="1" x14ac:dyDescent="0.25">
      <c r="A2847" s="43">
        <v>45281</v>
      </c>
      <c r="B2847" s="47">
        <v>16230</v>
      </c>
      <c r="C2847" s="44" t="s">
        <v>407</v>
      </c>
      <c r="D2847" s="45">
        <v>-14.99</v>
      </c>
      <c r="E2847" s="48" t="s">
        <v>299</v>
      </c>
      <c r="F2847" s="48" t="s">
        <v>90</v>
      </c>
      <c r="G2847" s="48" t="s">
        <v>91</v>
      </c>
      <c r="H2847" s="44" t="s">
        <v>391</v>
      </c>
      <c r="I2847" s="44" t="s">
        <v>1067</v>
      </c>
      <c r="J2847" s="44">
        <f>YEAR(A2847)</f>
        <v>2023</v>
      </c>
    </row>
    <row r="2848" spans="1:10" ht="12" customHeight="1" x14ac:dyDescent="0.25">
      <c r="A2848" s="43">
        <v>45279</v>
      </c>
      <c r="B2848" s="47">
        <v>16231</v>
      </c>
      <c r="C2848" s="44" t="s">
        <v>405</v>
      </c>
      <c r="D2848" s="45">
        <v>-51.6</v>
      </c>
      <c r="E2848" s="48" t="s">
        <v>299</v>
      </c>
      <c r="F2848" s="48" t="s">
        <v>90</v>
      </c>
      <c r="G2848" s="48" t="s">
        <v>91</v>
      </c>
      <c r="H2848" s="44" t="s">
        <v>391</v>
      </c>
      <c r="I2848" s="44" t="s">
        <v>1067</v>
      </c>
      <c r="J2848" s="44">
        <f>YEAR(A2848)</f>
        <v>2023</v>
      </c>
    </row>
    <row r="2849" spans="1:10" ht="12" customHeight="1" x14ac:dyDescent="0.25">
      <c r="A2849" s="43">
        <v>45279</v>
      </c>
      <c r="B2849" s="47">
        <v>16231</v>
      </c>
      <c r="C2849" s="44" t="s">
        <v>405</v>
      </c>
      <c r="D2849" s="45">
        <v>51.6</v>
      </c>
      <c r="E2849" s="48" t="s">
        <v>157</v>
      </c>
      <c r="F2849" s="48" t="s">
        <v>137</v>
      </c>
      <c r="G2849" s="48" t="s">
        <v>115</v>
      </c>
      <c r="J2849" s="44">
        <f>YEAR(A2849)</f>
        <v>2023</v>
      </c>
    </row>
    <row r="2850" spans="1:10" ht="12" customHeight="1" x14ac:dyDescent="0.25">
      <c r="A2850" s="43">
        <v>45288</v>
      </c>
      <c r="B2850" s="47">
        <v>16232</v>
      </c>
      <c r="C2850" s="44" t="s">
        <v>560</v>
      </c>
      <c r="D2850" s="45">
        <v>-447.19</v>
      </c>
      <c r="E2850" s="48" t="s">
        <v>214</v>
      </c>
      <c r="F2850" s="48" t="s">
        <v>128</v>
      </c>
      <c r="G2850" s="48" t="s">
        <v>99</v>
      </c>
      <c r="J2850" s="44">
        <f>YEAR(A2850)</f>
        <v>2023</v>
      </c>
    </row>
    <row r="2851" spans="1:10" ht="12" customHeight="1" x14ac:dyDescent="0.25">
      <c r="A2851" s="43">
        <v>45288</v>
      </c>
      <c r="B2851" s="47">
        <v>16232</v>
      </c>
      <c r="C2851" s="44" t="s">
        <v>560</v>
      </c>
      <c r="D2851" s="45">
        <v>0</v>
      </c>
      <c r="E2851" s="48" t="s">
        <v>110</v>
      </c>
      <c r="F2851" s="48" t="s">
        <v>90</v>
      </c>
      <c r="G2851" s="48" t="s">
        <v>91</v>
      </c>
      <c r="J2851" s="44">
        <f>YEAR(A2851)</f>
        <v>2023</v>
      </c>
    </row>
    <row r="2852" spans="1:10" ht="12" customHeight="1" x14ac:dyDescent="0.25">
      <c r="A2852" s="43">
        <v>45288</v>
      </c>
      <c r="B2852" s="47">
        <v>16232</v>
      </c>
      <c r="C2852" s="44" t="s">
        <v>560</v>
      </c>
      <c r="D2852" s="45">
        <v>447.19</v>
      </c>
      <c r="E2852" s="48" t="s">
        <v>299</v>
      </c>
      <c r="F2852" s="48" t="s">
        <v>90</v>
      </c>
      <c r="G2852" s="48" t="s">
        <v>91</v>
      </c>
      <c r="H2852" s="44" t="s">
        <v>398</v>
      </c>
      <c r="I2852" s="44" t="s">
        <v>1068</v>
      </c>
      <c r="J2852" s="44">
        <f>YEAR(A2852)</f>
        <v>2023</v>
      </c>
    </row>
    <row r="2853" spans="1:10" ht="12" customHeight="1" x14ac:dyDescent="0.25">
      <c r="A2853" s="43">
        <v>45288</v>
      </c>
      <c r="B2853" s="47">
        <v>16233</v>
      </c>
      <c r="C2853" s="44" t="s">
        <v>802</v>
      </c>
      <c r="D2853" s="45">
        <v>305.39999999999998</v>
      </c>
      <c r="E2853" s="48" t="s">
        <v>157</v>
      </c>
      <c r="F2853" s="48" t="s">
        <v>137</v>
      </c>
      <c r="G2853" s="48" t="s">
        <v>91</v>
      </c>
      <c r="J2853" s="44">
        <f>YEAR(A2853)</f>
        <v>2023</v>
      </c>
    </row>
    <row r="2854" spans="1:10" ht="12" customHeight="1" x14ac:dyDescent="0.25">
      <c r="A2854" s="43">
        <v>45288</v>
      </c>
      <c r="B2854" s="47">
        <v>16233</v>
      </c>
      <c r="C2854" s="44" t="s">
        <v>802</v>
      </c>
      <c r="D2854" s="45">
        <v>-305.39999999999998</v>
      </c>
      <c r="E2854" s="48" t="s">
        <v>299</v>
      </c>
      <c r="F2854" s="48" t="s">
        <v>90</v>
      </c>
      <c r="G2854" s="48" t="s">
        <v>91</v>
      </c>
      <c r="H2854" s="44" t="s">
        <v>391</v>
      </c>
      <c r="I2854" s="44" t="s">
        <v>1067</v>
      </c>
      <c r="J2854" s="44">
        <f>YEAR(A2854)</f>
        <v>2023</v>
      </c>
    </row>
    <row r="2855" spans="1:10" ht="12" customHeight="1" x14ac:dyDescent="0.25">
      <c r="A2855" s="43">
        <v>45288</v>
      </c>
      <c r="B2855" s="47">
        <v>16233</v>
      </c>
      <c r="C2855" s="44" t="s">
        <v>802</v>
      </c>
      <c r="D2855" s="45">
        <v>206.6</v>
      </c>
      <c r="E2855" s="48" t="s">
        <v>157</v>
      </c>
      <c r="F2855" s="48" t="s">
        <v>137</v>
      </c>
      <c r="G2855" s="48" t="s">
        <v>91</v>
      </c>
      <c r="J2855" s="44">
        <f>YEAR(A2855)</f>
        <v>2023</v>
      </c>
    </row>
    <row r="2856" spans="1:10" ht="12" customHeight="1" x14ac:dyDescent="0.25">
      <c r="A2856" s="43">
        <v>45288</v>
      </c>
      <c r="B2856" s="47">
        <v>16233</v>
      </c>
      <c r="C2856" s="44" t="s">
        <v>802</v>
      </c>
      <c r="D2856" s="45">
        <v>-206.6</v>
      </c>
      <c r="E2856" s="48" t="s">
        <v>299</v>
      </c>
      <c r="F2856" s="48" t="s">
        <v>90</v>
      </c>
      <c r="G2856" s="48" t="s">
        <v>91</v>
      </c>
      <c r="H2856" s="44" t="s">
        <v>391</v>
      </c>
      <c r="I2856" s="44" t="s">
        <v>1067</v>
      </c>
      <c r="J2856" s="44">
        <f>YEAR(A2856)</f>
        <v>2023</v>
      </c>
    </row>
    <row r="2857" spans="1:10" ht="12" customHeight="1" x14ac:dyDescent="0.25">
      <c r="A2857" s="43">
        <v>45275</v>
      </c>
      <c r="B2857" s="47">
        <v>16237</v>
      </c>
      <c r="C2857" s="44" t="s">
        <v>448</v>
      </c>
      <c r="D2857" s="45">
        <v>89.33</v>
      </c>
      <c r="E2857" s="48" t="s">
        <v>180</v>
      </c>
      <c r="F2857" s="48" t="s">
        <v>90</v>
      </c>
      <c r="G2857" s="48" t="s">
        <v>91</v>
      </c>
      <c r="J2857" s="44">
        <f>YEAR(A2857)</f>
        <v>2023</v>
      </c>
    </row>
    <row r="2858" spans="1:10" ht="12" customHeight="1" x14ac:dyDescent="0.25">
      <c r="A2858" s="43">
        <v>45275</v>
      </c>
      <c r="B2858" s="47">
        <v>16237</v>
      </c>
      <c r="C2858" s="44" t="s">
        <v>448</v>
      </c>
      <c r="D2858" s="45">
        <v>-89.33</v>
      </c>
      <c r="E2858" s="48" t="s">
        <v>299</v>
      </c>
      <c r="F2858" s="48" t="s">
        <v>90</v>
      </c>
      <c r="G2858" s="48" t="s">
        <v>91</v>
      </c>
      <c r="H2858" s="44" t="s">
        <v>391</v>
      </c>
      <c r="I2858" s="44" t="s">
        <v>1067</v>
      </c>
      <c r="J2858" s="44">
        <f>YEAR(A2858)</f>
        <v>2023</v>
      </c>
    </row>
    <row r="2859" spans="1:10" ht="12" customHeight="1" x14ac:dyDescent="0.25">
      <c r="A2859" s="43">
        <v>45260</v>
      </c>
      <c r="B2859" s="47">
        <v>16238</v>
      </c>
      <c r="C2859" s="44" t="s">
        <v>738</v>
      </c>
      <c r="D2859" s="45">
        <v>-18.899999999999999</v>
      </c>
      <c r="E2859" s="48" t="s">
        <v>299</v>
      </c>
      <c r="F2859" s="48" t="s">
        <v>90</v>
      </c>
      <c r="G2859" s="48" t="s">
        <v>91</v>
      </c>
      <c r="H2859" s="44">
        <v>4091</v>
      </c>
      <c r="I2859" s="44" t="s">
        <v>1067</v>
      </c>
      <c r="J2859" s="44">
        <f>YEAR(A2859)</f>
        <v>2023</v>
      </c>
    </row>
    <row r="2860" spans="1:10" ht="12" customHeight="1" x14ac:dyDescent="0.25">
      <c r="A2860" s="43">
        <v>45260</v>
      </c>
      <c r="B2860" s="47">
        <v>16238</v>
      </c>
      <c r="C2860" s="44" t="s">
        <v>738</v>
      </c>
      <c r="D2860" s="45">
        <v>18.899999999999999</v>
      </c>
      <c r="E2860" s="48" t="s">
        <v>197</v>
      </c>
      <c r="F2860" s="48" t="s">
        <v>90</v>
      </c>
      <c r="G2860" s="48" t="s">
        <v>99</v>
      </c>
      <c r="J2860" s="44">
        <f>YEAR(A2860)</f>
        <v>2023</v>
      </c>
    </row>
    <row r="2861" spans="1:10" ht="12" customHeight="1" x14ac:dyDescent="0.25">
      <c r="A2861" s="43">
        <v>45289</v>
      </c>
      <c r="B2861" s="47">
        <v>16251</v>
      </c>
      <c r="C2861" s="44" t="s">
        <v>451</v>
      </c>
      <c r="D2861" s="45">
        <v>15.78</v>
      </c>
      <c r="E2861" s="48" t="s">
        <v>89</v>
      </c>
      <c r="F2861" s="48" t="s">
        <v>90</v>
      </c>
      <c r="G2861" s="48" t="s">
        <v>91</v>
      </c>
      <c r="J2861" s="44">
        <f>YEAR(A2861)</f>
        <v>2023</v>
      </c>
    </row>
    <row r="2862" spans="1:10" ht="12" customHeight="1" x14ac:dyDescent="0.25">
      <c r="A2862" s="43">
        <v>45290</v>
      </c>
      <c r="B2862" s="47">
        <v>16251</v>
      </c>
      <c r="C2862" s="44" t="s">
        <v>451</v>
      </c>
      <c r="D2862" s="45">
        <v>2.5</v>
      </c>
      <c r="E2862" s="48" t="s">
        <v>89</v>
      </c>
      <c r="F2862" s="48" t="s">
        <v>90</v>
      </c>
      <c r="G2862" s="48" t="s">
        <v>91</v>
      </c>
      <c r="J2862" s="44">
        <f>YEAR(A2862)</f>
        <v>2023</v>
      </c>
    </row>
    <row r="2863" spans="1:10" ht="12" customHeight="1" x14ac:dyDescent="0.25">
      <c r="A2863" s="43">
        <v>45290</v>
      </c>
      <c r="B2863" s="47">
        <v>16251</v>
      </c>
      <c r="C2863" s="44" t="s">
        <v>1070</v>
      </c>
      <c r="D2863" s="45">
        <v>1</v>
      </c>
      <c r="E2863" s="48" t="s">
        <v>180</v>
      </c>
      <c r="F2863" s="48" t="s">
        <v>90</v>
      </c>
      <c r="G2863" s="48" t="s">
        <v>91</v>
      </c>
      <c r="H2863" s="44" t="s">
        <v>442</v>
      </c>
      <c r="J2863" s="44">
        <f>YEAR(A2863)</f>
        <v>2023</v>
      </c>
    </row>
    <row r="2864" spans="1:10" ht="12" customHeight="1" x14ac:dyDescent="0.25">
      <c r="A2864" s="43">
        <v>45291</v>
      </c>
      <c r="B2864" s="47">
        <v>16251</v>
      </c>
      <c r="C2864" s="44" t="s">
        <v>452</v>
      </c>
      <c r="D2864" s="45">
        <v>-19.28</v>
      </c>
      <c r="E2864" s="48" t="s">
        <v>299</v>
      </c>
      <c r="F2864" s="48" t="s">
        <v>321</v>
      </c>
      <c r="G2864" s="48" t="s">
        <v>107</v>
      </c>
      <c r="J2864" s="44">
        <f>YEAR(A2864)</f>
        <v>2023</v>
      </c>
    </row>
  </sheetData>
  <autoFilter ref="A1:O2864" xr:uid="{00000000-0001-0000-0600-000000000000}"/>
  <sortState xmlns:xlrd2="http://schemas.microsoft.com/office/spreadsheetml/2017/richdata2" ref="A2:O2864">
    <sortCondition ref="B2"/>
  </sortState>
  <customSheetViews>
    <customSheetView guid="{2B94AA83-46E9-4E24-8EE1-844AF720AE16}" showAutoFilter="1" showRuler="0">
      <pane ySplit="1" topLeftCell="A2292" activePane="bottomLeft" state="frozenSplit"/>
      <selection pane="bottomLeft" activeCell="A2315" sqref="A2315"/>
      <pageMargins left="0" right="0" top="0" bottom="0" header="0" footer="0"/>
      <pageSetup paperSize="9" orientation="portrait" verticalDpi="0" r:id="rId1"/>
      <headerFooter alignWithMargins="0"/>
      <autoFilter ref="B1:K1" xr:uid="{170A322D-FF2C-4460-AEA4-8FEF1F4B7613}"/>
    </customSheetView>
  </customSheetViews>
  <phoneticPr fontId="3" type="noConversion"/>
  <conditionalFormatting sqref="A1:XFD1048576">
    <cfRule type="expression" dxfId="11" priority="1298">
      <formula>AND(INDEX(Rapp,ROW())=Rapp_CodeCredit,Rapp_Open=TRUE)</formula>
    </cfRule>
    <cfRule type="expression" dxfId="10" priority="1299">
      <formula>AND(INDEX(Rapp,ROW())=Rapp_CodeDebit,Rapp_Open=TRUE)</formula>
    </cfRule>
    <cfRule type="expression" dxfId="9" priority="1300">
      <formula>(AND(NOT(ISBLANK(INDEX(Doc,ROW()))),MOD(INDEX(Doc,ROW()),2)=0,ROW()&lt;&gt;1))</formula>
    </cfRule>
    <cfRule type="expression" dxfId="8" priority="1301">
      <formula>(AND(NOT(ISBLANK(INDEX(Doc,ROW()))),MOD(INDEX(Doc,ROW()),2)=1,ROW()&lt;&gt;1))</formula>
    </cfRule>
  </conditionalFormatting>
  <pageMargins left="0.78740157499999996" right="0.78740157499999996" top="0.984251969" bottom="0.984251969" header="0.4921259845" footer="0.4921259845"/>
  <pageSetup paperSize="9" orientation="portrait" r:id="rId2"/>
  <headerFooter alignWithMargins="0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7">
    <tabColor indexed="33"/>
  </sheetPr>
  <dimension ref="A1:S69"/>
  <sheetViews>
    <sheetView zoomScale="130" zoomScaleNormal="130" workbookViewId="0">
      <pane ySplit="1" topLeftCell="A54" activePane="bottomLeft" state="frozenSplit"/>
      <selection activeCell="D979" sqref="D979"/>
      <selection pane="bottomLeft" activeCell="C68" sqref="C68:H69"/>
    </sheetView>
  </sheetViews>
  <sheetFormatPr baseColWidth="10" defaultColWidth="11.453125" defaultRowHeight="11.25" customHeight="1" x14ac:dyDescent="0.2"/>
  <cols>
    <col min="1" max="1" width="9.1796875" style="3" customWidth="1"/>
    <col min="2" max="2" width="7.54296875" style="2" customWidth="1"/>
    <col min="3" max="3" width="39.1796875" style="2" customWidth="1"/>
    <col min="4" max="4" width="10.54296875" style="7" customWidth="1"/>
    <col min="5" max="5" width="5.81640625" style="2" customWidth="1"/>
    <col min="6" max="6" width="6.54296875" style="4" customWidth="1"/>
    <col min="7" max="7" width="11.54296875" style="2" bestFit="1" customWidth="1"/>
    <col min="8" max="8" width="4.54296875" style="2" customWidth="1"/>
    <col min="9" max="9" width="7" style="2" customWidth="1"/>
    <col min="10" max="10" width="8.1796875" style="2" bestFit="1" customWidth="1"/>
    <col min="11" max="11" width="8.1796875" style="30" customWidth="1"/>
    <col min="12" max="12" width="9.54296875" style="34" bestFit="1" customWidth="1"/>
    <col min="13" max="14" width="7.81640625" style="3" bestFit="1" customWidth="1"/>
    <col min="15" max="15" width="4.54296875" style="32" bestFit="1" customWidth="1"/>
    <col min="16" max="16" width="3.81640625" style="32" bestFit="1" customWidth="1"/>
    <col min="17" max="16384" width="11.453125" style="2"/>
  </cols>
  <sheetData>
    <row r="1" spans="1:16" s="19" customFormat="1" ht="34.9" customHeight="1" x14ac:dyDescent="0.2">
      <c r="A1" s="22" t="s">
        <v>377</v>
      </c>
      <c r="B1" s="19" t="s">
        <v>378</v>
      </c>
      <c r="C1" s="19" t="s">
        <v>87</v>
      </c>
      <c r="D1" s="24" t="s">
        <v>379</v>
      </c>
      <c r="E1" s="19" t="s">
        <v>84</v>
      </c>
      <c r="F1" s="20" t="s">
        <v>85</v>
      </c>
      <c r="G1" s="19" t="s">
        <v>86</v>
      </c>
      <c r="H1" s="23" t="s">
        <v>380</v>
      </c>
      <c r="I1" s="23" t="s">
        <v>381</v>
      </c>
      <c r="J1" s="23"/>
      <c r="K1" s="33" t="s">
        <v>382</v>
      </c>
      <c r="L1" s="33" t="s">
        <v>383</v>
      </c>
      <c r="M1" s="22" t="s">
        <v>384</v>
      </c>
      <c r="N1" s="22" t="s">
        <v>385</v>
      </c>
      <c r="O1" s="31" t="s">
        <v>386</v>
      </c>
      <c r="P1" s="31" t="s">
        <v>387</v>
      </c>
    </row>
    <row r="2" spans="1:16" ht="11.25" customHeight="1" x14ac:dyDescent="0.3">
      <c r="A2" s="207" t="s">
        <v>388</v>
      </c>
      <c r="B2" s="208"/>
      <c r="C2" s="208"/>
      <c r="D2" s="208"/>
      <c r="E2" s="208"/>
      <c r="F2" s="208"/>
      <c r="G2" s="208"/>
      <c r="H2" s="208"/>
      <c r="I2" s="208"/>
      <c r="J2" s="209"/>
    </row>
    <row r="3" spans="1:16" ht="11.25" customHeight="1" x14ac:dyDescent="0.2">
      <c r="A3" s="3" t="s">
        <v>389</v>
      </c>
      <c r="B3" s="18">
        <v>999</v>
      </c>
      <c r="C3" s="2" t="s">
        <v>409</v>
      </c>
      <c r="D3" s="7">
        <v>-3300</v>
      </c>
      <c r="E3" s="2" t="s">
        <v>214</v>
      </c>
      <c r="F3" s="4" t="s">
        <v>90</v>
      </c>
      <c r="G3" s="2" t="s">
        <v>107</v>
      </c>
      <c r="J3" s="2" t="e">
        <f>YEAR(A3)&amp;"-"&amp;MONTH(A3)</f>
        <v>#VALUE!</v>
      </c>
    </row>
    <row r="4" spans="1:16" ht="11" customHeight="1" x14ac:dyDescent="0.2">
      <c r="A4" s="3" t="s">
        <v>389</v>
      </c>
      <c r="B4" s="18">
        <v>999</v>
      </c>
      <c r="C4" s="2" t="s">
        <v>409</v>
      </c>
      <c r="D4" s="7">
        <v>3300</v>
      </c>
      <c r="E4" s="2" t="s">
        <v>299</v>
      </c>
      <c r="F4" s="4" t="s">
        <v>90</v>
      </c>
      <c r="G4" s="2" t="s">
        <v>91</v>
      </c>
      <c r="H4" s="2" t="s">
        <v>398</v>
      </c>
      <c r="J4" s="2" t="e">
        <f>YEAR(A4)&amp;"-"&amp;MONTH(A4)</f>
        <v>#VALUE!</v>
      </c>
    </row>
    <row r="5" spans="1:16" ht="11.25" customHeight="1" x14ac:dyDescent="0.2">
      <c r="A5" s="3" t="s">
        <v>389</v>
      </c>
      <c r="B5" s="18">
        <v>999</v>
      </c>
      <c r="C5" s="2" t="s">
        <v>390</v>
      </c>
      <c r="D5" s="7">
        <v>6.3</v>
      </c>
      <c r="E5" s="2" t="s">
        <v>124</v>
      </c>
      <c r="F5" s="4" t="s">
        <v>128</v>
      </c>
      <c r="G5" s="2" t="s">
        <v>91</v>
      </c>
      <c r="J5" s="2" t="e">
        <f t="shared" ref="J5:J14" si="0">YEAR(A5)&amp;"-"&amp;MONTH(A5)</f>
        <v>#VALUE!</v>
      </c>
    </row>
    <row r="6" spans="1:16" ht="11.25" customHeight="1" x14ac:dyDescent="0.2">
      <c r="A6" s="3" t="s">
        <v>389</v>
      </c>
      <c r="B6" s="18">
        <v>999</v>
      </c>
      <c r="C6" s="2" t="s">
        <v>390</v>
      </c>
      <c r="D6" s="7">
        <v>-6.3</v>
      </c>
      <c r="E6" s="2" t="s">
        <v>299</v>
      </c>
      <c r="F6" s="4" t="s">
        <v>90</v>
      </c>
      <c r="G6" s="2" t="s">
        <v>91</v>
      </c>
      <c r="H6" s="2" t="s">
        <v>391</v>
      </c>
      <c r="I6" s="2" t="s">
        <v>392</v>
      </c>
      <c r="J6" s="2" t="e">
        <f t="shared" si="0"/>
        <v>#VALUE!</v>
      </c>
    </row>
    <row r="7" spans="1:16" ht="11.25" customHeight="1" x14ac:dyDescent="0.2">
      <c r="A7" s="3" t="s">
        <v>389</v>
      </c>
      <c r="B7" s="18">
        <v>999</v>
      </c>
      <c r="C7" s="2" t="s">
        <v>393</v>
      </c>
      <c r="D7" s="7">
        <v>16.100000000000001</v>
      </c>
      <c r="E7" s="2" t="s">
        <v>124</v>
      </c>
      <c r="F7" s="4" t="s">
        <v>128</v>
      </c>
      <c r="G7" s="2" t="s">
        <v>91</v>
      </c>
      <c r="J7" s="2" t="e">
        <f t="shared" si="0"/>
        <v>#VALUE!</v>
      </c>
    </row>
    <row r="8" spans="1:16" ht="11.25" customHeight="1" x14ac:dyDescent="0.2">
      <c r="A8" s="3" t="s">
        <v>389</v>
      </c>
      <c r="B8" s="18">
        <v>999</v>
      </c>
      <c r="C8" s="2" t="s">
        <v>393</v>
      </c>
      <c r="D8" s="7">
        <v>-16.100000000000001</v>
      </c>
      <c r="E8" s="2" t="s">
        <v>299</v>
      </c>
      <c r="F8" s="4" t="s">
        <v>90</v>
      </c>
      <c r="G8" s="2" t="s">
        <v>91</v>
      </c>
      <c r="H8" s="2" t="s">
        <v>391</v>
      </c>
      <c r="I8" s="2" t="s">
        <v>392</v>
      </c>
      <c r="J8" s="2" t="e">
        <f t="shared" si="0"/>
        <v>#VALUE!</v>
      </c>
    </row>
    <row r="9" spans="1:16" ht="11.25" customHeight="1" x14ac:dyDescent="0.2">
      <c r="A9" s="3" t="s">
        <v>389</v>
      </c>
      <c r="B9" s="18">
        <v>999</v>
      </c>
      <c r="C9" s="2" t="s">
        <v>394</v>
      </c>
      <c r="D9" s="7">
        <v>0.49</v>
      </c>
      <c r="E9" s="2" t="s">
        <v>124</v>
      </c>
      <c r="F9" s="4" t="s">
        <v>128</v>
      </c>
      <c r="G9" s="2" t="s">
        <v>91</v>
      </c>
      <c r="J9" s="2" t="e">
        <f t="shared" si="0"/>
        <v>#VALUE!</v>
      </c>
    </row>
    <row r="10" spans="1:16" ht="11.25" customHeight="1" x14ac:dyDescent="0.2">
      <c r="A10" s="3" t="s">
        <v>389</v>
      </c>
      <c r="B10" s="18">
        <v>999</v>
      </c>
      <c r="C10" s="2" t="s">
        <v>394</v>
      </c>
      <c r="D10" s="7">
        <v>-0.49</v>
      </c>
      <c r="E10" s="2" t="s">
        <v>299</v>
      </c>
      <c r="F10" s="4" t="s">
        <v>90</v>
      </c>
      <c r="G10" s="2" t="s">
        <v>91</v>
      </c>
      <c r="H10" s="2" t="s">
        <v>391</v>
      </c>
      <c r="I10" s="2" t="s">
        <v>392</v>
      </c>
      <c r="J10" s="2" t="e">
        <f t="shared" si="0"/>
        <v>#VALUE!</v>
      </c>
    </row>
    <row r="11" spans="1:16" ht="11.25" customHeight="1" x14ac:dyDescent="0.2">
      <c r="A11" s="3" t="s">
        <v>389</v>
      </c>
      <c r="B11" s="18">
        <v>999</v>
      </c>
      <c r="C11" s="2" t="s">
        <v>395</v>
      </c>
      <c r="D11" s="7">
        <v>0.7</v>
      </c>
      <c r="E11" s="2" t="s">
        <v>124</v>
      </c>
      <c r="F11" s="4" t="s">
        <v>128</v>
      </c>
      <c r="G11" s="2" t="s">
        <v>91</v>
      </c>
      <c r="J11" s="2" t="e">
        <f t="shared" si="0"/>
        <v>#VALUE!</v>
      </c>
    </row>
    <row r="12" spans="1:16" ht="11.25" customHeight="1" x14ac:dyDescent="0.2">
      <c r="A12" s="3" t="s">
        <v>389</v>
      </c>
      <c r="B12" s="18">
        <v>999</v>
      </c>
      <c r="C12" s="2" t="s">
        <v>395</v>
      </c>
      <c r="D12" s="7">
        <v>-0.7</v>
      </c>
      <c r="E12" s="2" t="s">
        <v>299</v>
      </c>
      <c r="F12" s="4" t="s">
        <v>90</v>
      </c>
      <c r="G12" s="2" t="s">
        <v>91</v>
      </c>
      <c r="H12" s="2" t="s">
        <v>391</v>
      </c>
      <c r="I12" s="2" t="s">
        <v>392</v>
      </c>
      <c r="J12" s="2" t="e">
        <f t="shared" si="0"/>
        <v>#VALUE!</v>
      </c>
    </row>
    <row r="13" spans="1:16" ht="11.25" customHeight="1" x14ac:dyDescent="0.2">
      <c r="A13" s="3" t="s">
        <v>389</v>
      </c>
      <c r="B13" s="18">
        <v>999</v>
      </c>
      <c r="C13" s="2" t="s">
        <v>396</v>
      </c>
      <c r="D13" s="7">
        <v>26.99</v>
      </c>
      <c r="E13" s="2" t="s">
        <v>157</v>
      </c>
      <c r="F13" s="4" t="s">
        <v>155</v>
      </c>
      <c r="G13" s="2" t="s">
        <v>94</v>
      </c>
      <c r="J13" s="2" t="e">
        <f t="shared" si="0"/>
        <v>#VALUE!</v>
      </c>
    </row>
    <row r="14" spans="1:16" ht="11.25" customHeight="1" x14ac:dyDescent="0.2">
      <c r="A14" s="3" t="s">
        <v>389</v>
      </c>
      <c r="B14" s="18">
        <v>999</v>
      </c>
      <c r="C14" s="2" t="s">
        <v>396</v>
      </c>
      <c r="D14" s="7">
        <v>-26.99</v>
      </c>
      <c r="E14" s="2" t="s">
        <v>299</v>
      </c>
      <c r="F14" s="4" t="s">
        <v>90</v>
      </c>
      <c r="G14" s="2" t="s">
        <v>91</v>
      </c>
      <c r="H14" s="2" t="s">
        <v>391</v>
      </c>
      <c r="I14" s="2" t="s">
        <v>392</v>
      </c>
      <c r="J14" s="2" t="e">
        <f t="shared" si="0"/>
        <v>#VALUE!</v>
      </c>
    </row>
    <row r="15" spans="1:16" ht="11.25" customHeight="1" x14ac:dyDescent="0.2">
      <c r="A15" s="3" t="s">
        <v>389</v>
      </c>
      <c r="B15" s="18">
        <v>999</v>
      </c>
      <c r="C15" s="2" t="s">
        <v>397</v>
      </c>
      <c r="D15" s="7">
        <v>-800</v>
      </c>
      <c r="E15" s="2" t="s">
        <v>244</v>
      </c>
      <c r="F15" s="4" t="s">
        <v>90</v>
      </c>
      <c r="G15" s="2" t="s">
        <v>114</v>
      </c>
      <c r="J15" s="2" t="e">
        <f>YEAR(A15)&amp;"-"&amp;MONTH(A15)</f>
        <v>#VALUE!</v>
      </c>
      <c r="K15" s="2"/>
    </row>
    <row r="16" spans="1:16" ht="11.25" customHeight="1" x14ac:dyDescent="0.2">
      <c r="A16" s="3" t="s">
        <v>389</v>
      </c>
      <c r="B16" s="18">
        <v>999</v>
      </c>
      <c r="C16" s="2" t="s">
        <v>397</v>
      </c>
      <c r="D16" s="7">
        <v>800</v>
      </c>
      <c r="E16" s="2" t="s">
        <v>299</v>
      </c>
      <c r="F16" s="4" t="s">
        <v>90</v>
      </c>
      <c r="G16" s="2" t="s">
        <v>91</v>
      </c>
      <c r="H16" s="2" t="s">
        <v>398</v>
      </c>
      <c r="I16" s="2" t="s">
        <v>392</v>
      </c>
      <c r="J16" s="2" t="e">
        <f>YEAR(A16)&amp;"-"&amp;MONTH(A16)</f>
        <v>#VALUE!</v>
      </c>
      <c r="K16" s="2"/>
    </row>
    <row r="17" spans="1:19" ht="11.25" customHeight="1" x14ac:dyDescent="0.2">
      <c r="A17" s="3" t="s">
        <v>389</v>
      </c>
      <c r="B17" s="18">
        <v>999</v>
      </c>
      <c r="C17" s="2" t="s">
        <v>399</v>
      </c>
      <c r="D17" s="7">
        <v>19.989999999999998</v>
      </c>
      <c r="E17" s="2" t="s">
        <v>157</v>
      </c>
      <c r="F17" s="4" t="s">
        <v>155</v>
      </c>
      <c r="G17" s="2" t="s">
        <v>98</v>
      </c>
      <c r="J17" s="2" t="e">
        <f t="shared" ref="J17:J26" si="1">YEAR(A17)&amp;"-"&amp;MONTH(A17)</f>
        <v>#VALUE!</v>
      </c>
    </row>
    <row r="18" spans="1:19" ht="11.25" customHeight="1" x14ac:dyDescent="0.2">
      <c r="A18" s="3" t="s">
        <v>389</v>
      </c>
      <c r="B18" s="18">
        <v>999</v>
      </c>
      <c r="C18" s="2" t="s">
        <v>399</v>
      </c>
      <c r="D18" s="7">
        <v>-19.989999999999998</v>
      </c>
      <c r="E18" s="2" t="s">
        <v>299</v>
      </c>
      <c r="F18" s="4" t="s">
        <v>90</v>
      </c>
      <c r="G18" s="2" t="s">
        <v>91</v>
      </c>
      <c r="H18" s="2" t="s">
        <v>391</v>
      </c>
      <c r="I18" s="2" t="s">
        <v>392</v>
      </c>
      <c r="J18" s="2" t="e">
        <f t="shared" si="1"/>
        <v>#VALUE!</v>
      </c>
    </row>
    <row r="19" spans="1:19" ht="11.25" customHeight="1" x14ac:dyDescent="0.2">
      <c r="A19" s="3" t="s">
        <v>389</v>
      </c>
      <c r="B19" s="18">
        <v>999</v>
      </c>
      <c r="C19" s="2" t="s">
        <v>400</v>
      </c>
      <c r="D19" s="7">
        <v>19.989999999999998</v>
      </c>
      <c r="E19" s="2" t="s">
        <v>157</v>
      </c>
      <c r="F19" s="4" t="s">
        <v>155</v>
      </c>
      <c r="G19" s="2" t="s">
        <v>95</v>
      </c>
      <c r="J19" s="2" t="e">
        <f t="shared" si="1"/>
        <v>#VALUE!</v>
      </c>
    </row>
    <row r="20" spans="1:19" ht="11.25" customHeight="1" x14ac:dyDescent="0.2">
      <c r="A20" s="3" t="s">
        <v>389</v>
      </c>
      <c r="B20" s="18">
        <v>999</v>
      </c>
      <c r="C20" s="2" t="s">
        <v>400</v>
      </c>
      <c r="D20" s="7">
        <v>-19.989999999999998</v>
      </c>
      <c r="E20" s="2" t="s">
        <v>299</v>
      </c>
      <c r="F20" s="4" t="s">
        <v>90</v>
      </c>
      <c r="G20" s="2" t="s">
        <v>91</v>
      </c>
      <c r="H20" s="2" t="s">
        <v>391</v>
      </c>
      <c r="I20" s="2" t="s">
        <v>392</v>
      </c>
      <c r="J20" s="2" t="e">
        <f t="shared" si="1"/>
        <v>#VALUE!</v>
      </c>
      <c r="S20" s="2">
        <f>407.5-90.14</f>
        <v>317.36</v>
      </c>
    </row>
    <row r="21" spans="1:19" ht="11.25" customHeight="1" x14ac:dyDescent="0.2">
      <c r="A21" s="3" t="s">
        <v>389</v>
      </c>
      <c r="B21" s="18">
        <v>999</v>
      </c>
      <c r="C21" s="2" t="s">
        <v>951</v>
      </c>
      <c r="D21" s="7">
        <v>19.989999999999998</v>
      </c>
      <c r="E21" s="2" t="s">
        <v>157</v>
      </c>
      <c r="F21" s="4" t="s">
        <v>155</v>
      </c>
      <c r="G21" s="2" t="s">
        <v>99</v>
      </c>
      <c r="J21" s="2" t="e">
        <f t="shared" ref="J21:J22" si="2">YEAR(A21)&amp;"-"&amp;MONTH(A21)</f>
        <v>#VALUE!</v>
      </c>
    </row>
    <row r="22" spans="1:19" ht="11.25" customHeight="1" x14ac:dyDescent="0.2">
      <c r="A22" s="3" t="s">
        <v>389</v>
      </c>
      <c r="B22" s="18">
        <v>999</v>
      </c>
      <c r="C22" s="2" t="s">
        <v>951</v>
      </c>
      <c r="D22" s="7">
        <v>-19.989999999999998</v>
      </c>
      <c r="E22" s="2" t="s">
        <v>299</v>
      </c>
      <c r="F22" s="4" t="s">
        <v>90</v>
      </c>
      <c r="G22" s="2" t="s">
        <v>91</v>
      </c>
      <c r="H22" s="2" t="s">
        <v>391</v>
      </c>
      <c r="I22" s="2" t="s">
        <v>392</v>
      </c>
      <c r="J22" s="2" t="e">
        <f t="shared" si="2"/>
        <v>#VALUE!</v>
      </c>
      <c r="S22" s="2">
        <f>407.5-90.14</f>
        <v>317.36</v>
      </c>
    </row>
    <row r="23" spans="1:19" ht="11.25" customHeight="1" x14ac:dyDescent="0.2">
      <c r="A23" s="3" t="s">
        <v>389</v>
      </c>
      <c r="B23" s="18">
        <v>999</v>
      </c>
      <c r="C23" s="2" t="s">
        <v>401</v>
      </c>
      <c r="D23" s="7">
        <v>238</v>
      </c>
      <c r="E23" s="2" t="s">
        <v>110</v>
      </c>
      <c r="F23" s="4" t="s">
        <v>90</v>
      </c>
      <c r="G23" s="2" t="s">
        <v>91</v>
      </c>
      <c r="J23" s="2" t="e">
        <f t="shared" ref="J23:J24" si="3">YEAR(A23)&amp;"-"&amp;MONTH(A23)</f>
        <v>#VALUE!</v>
      </c>
    </row>
    <row r="24" spans="1:19" ht="11.25" customHeight="1" x14ac:dyDescent="0.2">
      <c r="A24" s="3" t="s">
        <v>389</v>
      </c>
      <c r="B24" s="18">
        <v>999</v>
      </c>
      <c r="C24" s="2" t="s">
        <v>401</v>
      </c>
      <c r="D24" s="7">
        <v>-238</v>
      </c>
      <c r="E24" s="2" t="s">
        <v>299</v>
      </c>
      <c r="F24" s="4" t="s">
        <v>90</v>
      </c>
      <c r="G24" s="2" t="s">
        <v>91</v>
      </c>
      <c r="H24" s="2" t="s">
        <v>402</v>
      </c>
      <c r="J24" s="2" t="e">
        <f t="shared" si="3"/>
        <v>#VALUE!</v>
      </c>
    </row>
    <row r="25" spans="1:19" ht="11.25" customHeight="1" x14ac:dyDescent="0.2">
      <c r="A25" s="3" t="s">
        <v>389</v>
      </c>
      <c r="B25" s="18">
        <v>999</v>
      </c>
      <c r="C25" s="2" t="s">
        <v>225</v>
      </c>
      <c r="D25" s="7">
        <v>-38</v>
      </c>
      <c r="E25" s="2" t="s">
        <v>222</v>
      </c>
      <c r="F25" s="4" t="s">
        <v>90</v>
      </c>
      <c r="G25" s="2" t="s">
        <v>225</v>
      </c>
      <c r="J25" s="2" t="e">
        <f t="shared" si="1"/>
        <v>#VALUE!</v>
      </c>
    </row>
    <row r="26" spans="1:19" ht="11.25" customHeight="1" x14ac:dyDescent="0.2">
      <c r="A26" s="3" t="s">
        <v>389</v>
      </c>
      <c r="B26" s="18">
        <v>999</v>
      </c>
      <c r="C26" s="2" t="s">
        <v>225</v>
      </c>
      <c r="D26" s="7">
        <v>38</v>
      </c>
      <c r="E26" s="2" t="s">
        <v>299</v>
      </c>
      <c r="F26" s="4" t="s">
        <v>90</v>
      </c>
      <c r="G26" s="2" t="s">
        <v>91</v>
      </c>
      <c r="H26" s="2" t="s">
        <v>398</v>
      </c>
      <c r="I26" s="2" t="s">
        <v>392</v>
      </c>
      <c r="J26" s="2" t="e">
        <f t="shared" si="1"/>
        <v>#VALUE!</v>
      </c>
    </row>
    <row r="27" spans="1:19" ht="11.25" customHeight="1" x14ac:dyDescent="0.2">
      <c r="A27" s="3" t="s">
        <v>389</v>
      </c>
      <c r="B27" s="18">
        <v>999</v>
      </c>
      <c r="C27" s="2" t="s">
        <v>407</v>
      </c>
      <c r="D27" s="7">
        <v>16.989999999999998</v>
      </c>
      <c r="E27" s="2" t="s">
        <v>157</v>
      </c>
      <c r="F27" s="4" t="s">
        <v>116</v>
      </c>
      <c r="G27" s="2" t="s">
        <v>91</v>
      </c>
      <c r="J27" s="2" t="e">
        <f t="shared" ref="J27:J28" si="4">YEAR(A27)&amp;"-"&amp;MONTH(A27)</f>
        <v>#VALUE!</v>
      </c>
    </row>
    <row r="28" spans="1:19" ht="11.25" customHeight="1" x14ac:dyDescent="0.2">
      <c r="A28" s="3" t="s">
        <v>389</v>
      </c>
      <c r="B28" s="18">
        <v>999</v>
      </c>
      <c r="C28" s="2" t="s">
        <v>407</v>
      </c>
      <c r="D28" s="7">
        <v>-16.989999999999998</v>
      </c>
      <c r="E28" s="2" t="s">
        <v>299</v>
      </c>
      <c r="F28" s="4" t="s">
        <v>90</v>
      </c>
      <c r="G28" s="2" t="s">
        <v>91</v>
      </c>
      <c r="H28" s="2" t="s">
        <v>391</v>
      </c>
      <c r="J28" s="2" t="e">
        <f t="shared" si="4"/>
        <v>#VALUE!</v>
      </c>
    </row>
    <row r="29" spans="1:19" ht="11.25" customHeight="1" x14ac:dyDescent="0.3">
      <c r="A29" s="207" t="s">
        <v>408</v>
      </c>
      <c r="B29" s="208"/>
      <c r="C29" s="208"/>
      <c r="D29" s="208"/>
      <c r="E29" s="208"/>
      <c r="F29" s="208"/>
      <c r="G29" s="208"/>
      <c r="H29" s="208"/>
      <c r="I29" s="208"/>
      <c r="J29" s="209"/>
    </row>
    <row r="30" spans="1:19" ht="11.25" customHeight="1" x14ac:dyDescent="0.2">
      <c r="A30" s="3" t="s">
        <v>389</v>
      </c>
      <c r="B30" s="18">
        <v>999</v>
      </c>
      <c r="C30" s="2" t="s">
        <v>410</v>
      </c>
      <c r="D30" s="7">
        <v>-666.2</v>
      </c>
      <c r="E30" s="2" t="s">
        <v>214</v>
      </c>
      <c r="F30" s="4" t="s">
        <v>128</v>
      </c>
      <c r="G30" s="2" t="s">
        <v>99</v>
      </c>
      <c r="J30" s="2" t="e">
        <f t="shared" ref="J30:J39" si="5">YEAR(A30)&amp;"-"&amp;MONTH(A30)</f>
        <v>#VALUE!</v>
      </c>
    </row>
    <row r="31" spans="1:19" ht="11.25" customHeight="1" x14ac:dyDescent="0.2">
      <c r="A31" s="3" t="s">
        <v>389</v>
      </c>
      <c r="B31" s="18">
        <v>999</v>
      </c>
      <c r="C31" s="2" t="s">
        <v>411</v>
      </c>
      <c r="D31" s="7">
        <v>86.21</v>
      </c>
      <c r="E31" s="2" t="s">
        <v>110</v>
      </c>
      <c r="F31" s="4" t="s">
        <v>90</v>
      </c>
      <c r="G31" s="2" t="s">
        <v>91</v>
      </c>
      <c r="J31" s="2" t="e">
        <f t="shared" si="5"/>
        <v>#VALUE!</v>
      </c>
    </row>
    <row r="32" spans="1:19" ht="11.25" customHeight="1" x14ac:dyDescent="0.2">
      <c r="A32" s="3" t="s">
        <v>389</v>
      </c>
      <c r="B32" s="18">
        <v>999</v>
      </c>
      <c r="C32" s="2" t="s">
        <v>410</v>
      </c>
      <c r="D32" s="7">
        <v>579.99</v>
      </c>
      <c r="E32" s="2" t="s">
        <v>299</v>
      </c>
      <c r="F32" s="4" t="s">
        <v>90</v>
      </c>
      <c r="G32" s="2" t="s">
        <v>91</v>
      </c>
      <c r="H32" s="2" t="s">
        <v>398</v>
      </c>
      <c r="I32" s="2" t="s">
        <v>392</v>
      </c>
      <c r="J32" s="2" t="e">
        <f t="shared" si="5"/>
        <v>#VALUE!</v>
      </c>
    </row>
    <row r="33" spans="1:10" ht="11.25" customHeight="1" x14ac:dyDescent="0.2">
      <c r="A33" s="3" t="s">
        <v>389</v>
      </c>
      <c r="B33" s="18">
        <v>999</v>
      </c>
      <c r="C33" s="2" t="s">
        <v>560</v>
      </c>
      <c r="D33" s="7">
        <v>-824.03</v>
      </c>
      <c r="E33" s="2" t="s">
        <v>214</v>
      </c>
      <c r="F33" s="4" t="s">
        <v>128</v>
      </c>
      <c r="G33" s="2" t="s">
        <v>99</v>
      </c>
      <c r="J33" s="2" t="e">
        <f t="shared" si="5"/>
        <v>#VALUE!</v>
      </c>
    </row>
    <row r="34" spans="1:10" ht="11.25" customHeight="1" x14ac:dyDescent="0.2">
      <c r="A34" s="3" t="s">
        <v>389</v>
      </c>
      <c r="B34" s="18">
        <v>999</v>
      </c>
      <c r="C34" s="2" t="s">
        <v>560</v>
      </c>
      <c r="D34" s="7">
        <v>106.63</v>
      </c>
      <c r="E34" s="2" t="s">
        <v>110</v>
      </c>
      <c r="F34" s="4" t="s">
        <v>90</v>
      </c>
      <c r="G34" s="2" t="s">
        <v>91</v>
      </c>
      <c r="J34" s="2" t="e">
        <f t="shared" si="5"/>
        <v>#VALUE!</v>
      </c>
    </row>
    <row r="35" spans="1:10" ht="11.25" customHeight="1" x14ac:dyDescent="0.2">
      <c r="A35" s="3" t="s">
        <v>389</v>
      </c>
      <c r="B35" s="18">
        <v>999</v>
      </c>
      <c r="C35" s="2" t="s">
        <v>560</v>
      </c>
      <c r="D35" s="7">
        <v>717.4</v>
      </c>
      <c r="E35" s="2" t="s">
        <v>299</v>
      </c>
      <c r="F35" s="4" t="s">
        <v>90</v>
      </c>
      <c r="G35" s="2" t="s">
        <v>91</v>
      </c>
      <c r="H35" s="2" t="s">
        <v>398</v>
      </c>
      <c r="I35" s="2" t="s">
        <v>392</v>
      </c>
      <c r="J35" s="2" t="e">
        <f t="shared" si="5"/>
        <v>#VALUE!</v>
      </c>
    </row>
    <row r="36" spans="1:10" ht="11.25" customHeight="1" x14ac:dyDescent="0.2">
      <c r="A36" s="3" t="s">
        <v>389</v>
      </c>
      <c r="B36" s="18">
        <v>999</v>
      </c>
      <c r="C36" s="2" t="s">
        <v>164</v>
      </c>
      <c r="D36" s="7">
        <v>-554.6</v>
      </c>
      <c r="E36" s="2" t="s">
        <v>299</v>
      </c>
      <c r="F36" s="4" t="s">
        <v>90</v>
      </c>
      <c r="G36" s="2" t="s">
        <v>91</v>
      </c>
      <c r="J36" s="2" t="e">
        <f t="shared" si="5"/>
        <v>#VALUE!</v>
      </c>
    </row>
    <row r="37" spans="1:10" ht="11.25" customHeight="1" x14ac:dyDescent="0.2">
      <c r="A37" s="3" t="s">
        <v>389</v>
      </c>
      <c r="B37" s="18">
        <v>999</v>
      </c>
      <c r="C37" s="2" t="s">
        <v>164</v>
      </c>
      <c r="D37" s="7">
        <v>554.6</v>
      </c>
      <c r="E37" s="2" t="s">
        <v>157</v>
      </c>
      <c r="F37" s="4" t="s">
        <v>128</v>
      </c>
      <c r="G37" s="2" t="s">
        <v>112</v>
      </c>
      <c r="J37" s="2" t="e">
        <f t="shared" si="5"/>
        <v>#VALUE!</v>
      </c>
    </row>
    <row r="38" spans="1:10" ht="11.25" customHeight="1" x14ac:dyDescent="0.2">
      <c r="A38" s="3" t="s">
        <v>389</v>
      </c>
      <c r="B38" s="18">
        <v>999</v>
      </c>
      <c r="C38" s="2" t="s">
        <v>412</v>
      </c>
      <c r="D38" s="7">
        <v>-27.85</v>
      </c>
      <c r="E38" s="2" t="s">
        <v>299</v>
      </c>
      <c r="F38" s="4" t="s">
        <v>90</v>
      </c>
      <c r="G38" s="2" t="s">
        <v>91</v>
      </c>
      <c r="H38" s="2" t="s">
        <v>391</v>
      </c>
      <c r="J38" s="2" t="e">
        <f t="shared" si="5"/>
        <v>#VALUE!</v>
      </c>
    </row>
    <row r="39" spans="1:10" ht="11.25" customHeight="1" x14ac:dyDescent="0.2">
      <c r="A39" s="3" t="s">
        <v>389</v>
      </c>
      <c r="B39" s="18">
        <v>999</v>
      </c>
      <c r="C39" s="2" t="s">
        <v>412</v>
      </c>
      <c r="D39" s="7">
        <v>27.85</v>
      </c>
      <c r="E39" s="2" t="s">
        <v>214</v>
      </c>
      <c r="F39" s="4" t="s">
        <v>96</v>
      </c>
      <c r="G39" s="2" t="s">
        <v>99</v>
      </c>
      <c r="J39" s="2" t="e">
        <f t="shared" si="5"/>
        <v>#VALUE!</v>
      </c>
    </row>
    <row r="40" spans="1:10" ht="11.25" customHeight="1" x14ac:dyDescent="0.2">
      <c r="A40" s="3" t="s">
        <v>389</v>
      </c>
      <c r="B40" s="18">
        <v>999</v>
      </c>
      <c r="C40" s="2" t="s">
        <v>802</v>
      </c>
      <c r="D40" s="7">
        <v>135.34</v>
      </c>
      <c r="E40" s="2" t="s">
        <v>157</v>
      </c>
      <c r="F40" s="4" t="s">
        <v>137</v>
      </c>
      <c r="G40" s="2" t="s">
        <v>91</v>
      </c>
      <c r="J40" s="2" t="e">
        <f t="shared" ref="J40:J41" si="6">YEAR(A40)&amp;"-"&amp;MONTH(A40)</f>
        <v>#VALUE!</v>
      </c>
    </row>
    <row r="41" spans="1:10" ht="11.25" customHeight="1" x14ac:dyDescent="0.2">
      <c r="A41" s="3" t="s">
        <v>389</v>
      </c>
      <c r="B41" s="18">
        <v>999</v>
      </c>
      <c r="C41" s="2" t="s">
        <v>802</v>
      </c>
      <c r="D41" s="7">
        <v>-135.34</v>
      </c>
      <c r="E41" s="2" t="s">
        <v>299</v>
      </c>
      <c r="F41" s="4" t="s">
        <v>90</v>
      </c>
      <c r="G41" s="2" t="s">
        <v>91</v>
      </c>
      <c r="H41" s="2" t="s">
        <v>391</v>
      </c>
      <c r="J41" s="2" t="e">
        <f t="shared" si="6"/>
        <v>#VALUE!</v>
      </c>
    </row>
    <row r="42" spans="1:10" ht="11.25" customHeight="1" x14ac:dyDescent="0.2">
      <c r="A42" s="3" t="s">
        <v>389</v>
      </c>
      <c r="B42" s="18">
        <v>999</v>
      </c>
      <c r="C42" s="2" t="s">
        <v>403</v>
      </c>
      <c r="D42" s="7">
        <v>-135.34</v>
      </c>
      <c r="E42" s="2" t="s">
        <v>299</v>
      </c>
      <c r="F42" s="4" t="s">
        <v>90</v>
      </c>
      <c r="G42" s="2" t="s">
        <v>91</v>
      </c>
      <c r="H42" s="2" t="s">
        <v>391</v>
      </c>
      <c r="J42" s="2" t="e">
        <f t="shared" ref="J42:J43" si="7">YEAR(A42)&amp;"-"&amp;MONTH(A42)</f>
        <v>#VALUE!</v>
      </c>
    </row>
    <row r="43" spans="1:10" ht="11.25" customHeight="1" x14ac:dyDescent="0.2">
      <c r="A43" s="3" t="s">
        <v>389</v>
      </c>
      <c r="B43" s="18">
        <v>999</v>
      </c>
      <c r="C43" s="2" t="s">
        <v>403</v>
      </c>
      <c r="D43" s="7">
        <v>135.34</v>
      </c>
      <c r="E43" s="2" t="s">
        <v>157</v>
      </c>
      <c r="F43" s="4" t="s">
        <v>137</v>
      </c>
      <c r="G43" s="2" t="s">
        <v>91</v>
      </c>
      <c r="J43" s="2" t="e">
        <f t="shared" si="7"/>
        <v>#VALUE!</v>
      </c>
    </row>
    <row r="44" spans="1:10" ht="11.25" customHeight="1" x14ac:dyDescent="0.2">
      <c r="A44" s="3" t="s">
        <v>389</v>
      </c>
      <c r="B44" s="18">
        <v>999</v>
      </c>
      <c r="C44" s="2" t="s">
        <v>404</v>
      </c>
      <c r="D44" s="7">
        <v>-135.34</v>
      </c>
      <c r="E44" s="2" t="s">
        <v>299</v>
      </c>
      <c r="F44" s="4" t="s">
        <v>90</v>
      </c>
      <c r="G44" s="2" t="s">
        <v>91</v>
      </c>
      <c r="H44" s="2" t="s">
        <v>391</v>
      </c>
      <c r="J44" s="2" t="e">
        <f t="shared" ref="J44:J47" si="8">YEAR(A44)&amp;"-"&amp;MONTH(A44)</f>
        <v>#VALUE!</v>
      </c>
    </row>
    <row r="45" spans="1:10" ht="11.25" customHeight="1" x14ac:dyDescent="0.2">
      <c r="A45" s="3" t="s">
        <v>389</v>
      </c>
      <c r="B45" s="18">
        <v>999</v>
      </c>
      <c r="C45" s="2" t="s">
        <v>404</v>
      </c>
      <c r="D45" s="7">
        <v>135.34</v>
      </c>
      <c r="E45" s="2" t="s">
        <v>157</v>
      </c>
      <c r="F45" s="4" t="s">
        <v>137</v>
      </c>
      <c r="G45" s="2" t="s">
        <v>91</v>
      </c>
      <c r="J45" s="2" t="e">
        <f t="shared" si="8"/>
        <v>#VALUE!</v>
      </c>
    </row>
    <row r="46" spans="1:10" ht="11.25" customHeight="1" x14ac:dyDescent="0.2">
      <c r="A46" s="3" t="s">
        <v>389</v>
      </c>
      <c r="B46" s="18">
        <v>999</v>
      </c>
      <c r="C46" s="2" t="s">
        <v>405</v>
      </c>
      <c r="D46" s="7">
        <v>-135.34</v>
      </c>
      <c r="E46" s="2" t="s">
        <v>299</v>
      </c>
      <c r="F46" s="4" t="s">
        <v>90</v>
      </c>
      <c r="G46" s="2" t="s">
        <v>91</v>
      </c>
      <c r="H46" s="2" t="s">
        <v>391</v>
      </c>
      <c r="J46" s="2" t="e">
        <f t="shared" si="8"/>
        <v>#VALUE!</v>
      </c>
    </row>
    <row r="47" spans="1:10" ht="11.25" customHeight="1" x14ac:dyDescent="0.2">
      <c r="A47" s="3" t="s">
        <v>389</v>
      </c>
      <c r="B47" s="18">
        <v>999</v>
      </c>
      <c r="C47" s="2" t="s">
        <v>405</v>
      </c>
      <c r="D47" s="7">
        <v>135.34</v>
      </c>
      <c r="E47" s="2" t="s">
        <v>157</v>
      </c>
      <c r="F47" s="4" t="s">
        <v>137</v>
      </c>
      <c r="G47" s="2" t="s">
        <v>115</v>
      </c>
      <c r="J47" s="2" t="e">
        <f t="shared" si="8"/>
        <v>#VALUE!</v>
      </c>
    </row>
    <row r="48" spans="1:10" ht="11.25" customHeight="1" x14ac:dyDescent="0.2">
      <c r="A48" s="3" t="s">
        <v>389</v>
      </c>
      <c r="B48" s="18">
        <v>999</v>
      </c>
      <c r="C48" s="2" t="s">
        <v>406</v>
      </c>
      <c r="D48" s="7">
        <v>-135.34</v>
      </c>
      <c r="E48" s="2" t="s">
        <v>299</v>
      </c>
      <c r="F48" s="4" t="s">
        <v>90</v>
      </c>
      <c r="G48" s="2" t="s">
        <v>91</v>
      </c>
      <c r="H48" s="2" t="s">
        <v>391</v>
      </c>
      <c r="J48" s="2" t="e">
        <f>YEAR(A48)&amp;"-"&amp;MONTH(A48)</f>
        <v>#VALUE!</v>
      </c>
    </row>
    <row r="49" spans="1:19" ht="11.25" customHeight="1" x14ac:dyDescent="0.2">
      <c r="A49" s="3" t="s">
        <v>389</v>
      </c>
      <c r="B49" s="18">
        <v>999</v>
      </c>
      <c r="C49" s="2" t="s">
        <v>406</v>
      </c>
      <c r="D49" s="7">
        <v>135.34</v>
      </c>
      <c r="E49" s="2" t="s">
        <v>157</v>
      </c>
      <c r="F49" s="4" t="s">
        <v>137</v>
      </c>
      <c r="G49" s="2" t="s">
        <v>115</v>
      </c>
      <c r="J49" s="2" t="e">
        <f>YEAR(A49)&amp;"-"&amp;MONTH(A49)</f>
        <v>#VALUE!</v>
      </c>
    </row>
    <row r="50" spans="1:19" ht="11.25" customHeight="1" x14ac:dyDescent="0.2">
      <c r="A50" s="3" t="s">
        <v>389</v>
      </c>
      <c r="B50" s="18">
        <v>999</v>
      </c>
      <c r="C50" s="2" t="s">
        <v>1076</v>
      </c>
      <c r="D50" s="7">
        <v>-136.01</v>
      </c>
      <c r="E50" s="2" t="s">
        <v>299</v>
      </c>
      <c r="F50" s="4" t="s">
        <v>90</v>
      </c>
      <c r="G50" s="2" t="s">
        <v>91</v>
      </c>
      <c r="H50" s="2" t="s">
        <v>391</v>
      </c>
      <c r="J50" s="2" t="e">
        <f>YEAR(A50)&amp;"-"&amp;MONTH(A50)</f>
        <v>#VALUE!</v>
      </c>
    </row>
    <row r="51" spans="1:19" ht="11.25" customHeight="1" x14ac:dyDescent="0.2">
      <c r="A51" s="3" t="s">
        <v>389</v>
      </c>
      <c r="B51" s="18">
        <v>999</v>
      </c>
      <c r="C51" s="2" t="s">
        <v>1076</v>
      </c>
      <c r="D51" s="7">
        <v>136.01</v>
      </c>
      <c r="E51" s="2" t="s">
        <v>157</v>
      </c>
      <c r="F51" s="4" t="s">
        <v>137</v>
      </c>
      <c r="G51" s="2" t="s">
        <v>364</v>
      </c>
      <c r="J51" s="2" t="e">
        <f>YEAR(A51)&amp;"-"&amp;MONTH(A51)</f>
        <v>#VALUE!</v>
      </c>
    </row>
    <row r="52" spans="1:19" ht="11.25" customHeight="1" x14ac:dyDescent="0.2">
      <c r="A52" s="3" t="s">
        <v>389</v>
      </c>
      <c r="B52" s="18">
        <v>999</v>
      </c>
      <c r="C52" s="2" t="s">
        <v>414</v>
      </c>
      <c r="D52" s="7">
        <v>134.29</v>
      </c>
      <c r="E52" s="2" t="s">
        <v>157</v>
      </c>
      <c r="F52" s="4" t="s">
        <v>135</v>
      </c>
      <c r="G52" s="2" t="s">
        <v>91</v>
      </c>
    </row>
    <row r="53" spans="1:19" ht="11.25" customHeight="1" x14ac:dyDescent="0.2">
      <c r="A53" s="3" t="s">
        <v>389</v>
      </c>
      <c r="B53" s="18">
        <v>999</v>
      </c>
      <c r="C53" s="2" t="s">
        <v>414</v>
      </c>
      <c r="D53" s="7">
        <v>-134.29</v>
      </c>
      <c r="E53" s="2" t="s">
        <v>299</v>
      </c>
      <c r="F53" s="4" t="s">
        <v>90</v>
      </c>
      <c r="G53" s="2" t="s">
        <v>91</v>
      </c>
      <c r="H53" s="2" t="s">
        <v>402</v>
      </c>
    </row>
    <row r="54" spans="1:19" ht="11.25" customHeight="1" x14ac:dyDescent="0.2">
      <c r="A54" s="3" t="s">
        <v>389</v>
      </c>
      <c r="B54" s="18">
        <v>999</v>
      </c>
      <c r="C54" s="2" t="s">
        <v>415</v>
      </c>
      <c r="D54" s="7">
        <v>-15.1</v>
      </c>
      <c r="E54" s="2" t="s">
        <v>222</v>
      </c>
      <c r="F54" s="4" t="s">
        <v>90</v>
      </c>
      <c r="G54" s="2" t="s">
        <v>227</v>
      </c>
    </row>
    <row r="55" spans="1:19" ht="11.25" customHeight="1" x14ac:dyDescent="0.2">
      <c r="A55" s="3" t="s">
        <v>389</v>
      </c>
      <c r="B55" s="18">
        <v>999</v>
      </c>
      <c r="C55" s="2" t="s">
        <v>415</v>
      </c>
      <c r="D55" s="7">
        <v>15.1</v>
      </c>
      <c r="E55" s="2" t="s">
        <v>299</v>
      </c>
      <c r="F55" s="4" t="s">
        <v>307</v>
      </c>
      <c r="G55" s="2" t="s">
        <v>91</v>
      </c>
    </row>
    <row r="56" spans="1:19" ht="11.25" customHeight="1" x14ac:dyDescent="0.2">
      <c r="A56" s="3" t="s">
        <v>389</v>
      </c>
      <c r="B56" s="2">
        <v>999</v>
      </c>
      <c r="C56" s="2" t="s">
        <v>416</v>
      </c>
      <c r="D56" s="7">
        <v>-566.12</v>
      </c>
      <c r="E56" s="2" t="s">
        <v>244</v>
      </c>
      <c r="F56" s="4" t="s">
        <v>90</v>
      </c>
      <c r="G56" s="2" t="s">
        <v>114</v>
      </c>
    </row>
    <row r="57" spans="1:19" ht="11.25" customHeight="1" x14ac:dyDescent="0.2">
      <c r="A57" s="3" t="s">
        <v>389</v>
      </c>
      <c r="B57" s="2">
        <v>999</v>
      </c>
      <c r="C57" s="2" t="s">
        <v>416</v>
      </c>
      <c r="D57" s="7">
        <v>566.12</v>
      </c>
      <c r="E57" s="2" t="s">
        <v>299</v>
      </c>
      <c r="F57" s="4" t="s">
        <v>90</v>
      </c>
      <c r="G57" s="2" t="s">
        <v>91</v>
      </c>
      <c r="H57" s="2" t="s">
        <v>398</v>
      </c>
      <c r="I57" s="2" t="s">
        <v>392</v>
      </c>
    </row>
    <row r="58" spans="1:19" ht="11.25" customHeight="1" x14ac:dyDescent="0.2">
      <c r="A58" s="3" t="s">
        <v>389</v>
      </c>
      <c r="B58" s="2">
        <v>999</v>
      </c>
      <c r="C58" s="2" t="s">
        <v>417</v>
      </c>
      <c r="D58" s="7">
        <v>50</v>
      </c>
      <c r="E58" s="2" t="s">
        <v>299</v>
      </c>
      <c r="F58" s="4" t="s">
        <v>90</v>
      </c>
      <c r="G58" s="2" t="s">
        <v>305</v>
      </c>
    </row>
    <row r="59" spans="1:19" ht="11.25" customHeight="1" x14ac:dyDescent="0.2">
      <c r="A59" s="3" t="s">
        <v>389</v>
      </c>
      <c r="B59" s="2">
        <v>999</v>
      </c>
      <c r="C59" s="2" t="s">
        <v>417</v>
      </c>
      <c r="D59" s="7">
        <v>-50</v>
      </c>
      <c r="E59" s="2" t="s">
        <v>299</v>
      </c>
      <c r="F59" s="4" t="s">
        <v>90</v>
      </c>
      <c r="G59" s="2" t="s">
        <v>91</v>
      </c>
    </row>
    <row r="60" spans="1:19" ht="11.25" customHeight="1" x14ac:dyDescent="0.2">
      <c r="A60" s="3" t="s">
        <v>389</v>
      </c>
      <c r="B60" s="18">
        <v>999</v>
      </c>
      <c r="C60" s="2" t="s">
        <v>563</v>
      </c>
      <c r="D60" s="7">
        <v>-919.69</v>
      </c>
      <c r="E60" s="2" t="s">
        <v>214</v>
      </c>
      <c r="F60" s="4" t="s">
        <v>90</v>
      </c>
      <c r="G60" s="2" t="s">
        <v>99</v>
      </c>
      <c r="S60" s="2">
        <f>407.5-90.14</f>
        <v>317.36</v>
      </c>
    </row>
    <row r="61" spans="1:19" ht="11.25" customHeight="1" x14ac:dyDescent="0.2">
      <c r="A61" s="3" t="s">
        <v>389</v>
      </c>
      <c r="B61" s="18">
        <v>999</v>
      </c>
      <c r="C61" s="2" t="s">
        <v>564</v>
      </c>
      <c r="D61" s="7">
        <v>114.92</v>
      </c>
      <c r="E61" s="2" t="s">
        <v>110</v>
      </c>
      <c r="F61" s="4" t="s">
        <v>90</v>
      </c>
      <c r="G61" s="2" t="s">
        <v>91</v>
      </c>
      <c r="S61" s="2">
        <f>407.5-90.14</f>
        <v>317.36</v>
      </c>
    </row>
    <row r="62" spans="1:19" ht="11.25" customHeight="1" x14ac:dyDescent="0.2">
      <c r="A62" s="3" t="s">
        <v>389</v>
      </c>
      <c r="B62" s="18">
        <v>999</v>
      </c>
      <c r="C62" s="2" t="s">
        <v>563</v>
      </c>
      <c r="D62" s="7">
        <v>804.7</v>
      </c>
      <c r="E62" s="2" t="s">
        <v>299</v>
      </c>
      <c r="F62" s="4" t="s">
        <v>90</v>
      </c>
      <c r="G62" s="2" t="s">
        <v>91</v>
      </c>
      <c r="H62" s="2" t="s">
        <v>398</v>
      </c>
      <c r="I62" s="2" t="s">
        <v>392</v>
      </c>
      <c r="S62" s="2">
        <f>407.5-90.14</f>
        <v>317.36</v>
      </c>
    </row>
    <row r="63" spans="1:19" ht="11.25" customHeight="1" x14ac:dyDescent="0.2">
      <c r="A63" s="3" t="s">
        <v>389</v>
      </c>
      <c r="B63" s="2">
        <v>999</v>
      </c>
      <c r="C63" s="2" t="s">
        <v>606</v>
      </c>
      <c r="D63" s="7">
        <v>156</v>
      </c>
      <c r="E63" s="2" t="s">
        <v>222</v>
      </c>
      <c r="F63" s="4" t="s">
        <v>90</v>
      </c>
      <c r="G63" s="2" t="s">
        <v>577</v>
      </c>
      <c r="S63" s="2">
        <f>407.5-90.14</f>
        <v>317.36</v>
      </c>
    </row>
    <row r="64" spans="1:19" ht="11.25" customHeight="1" x14ac:dyDescent="0.2">
      <c r="A64" s="3" t="s">
        <v>389</v>
      </c>
      <c r="B64" s="2">
        <v>999</v>
      </c>
      <c r="C64" s="2" t="s">
        <v>606</v>
      </c>
      <c r="D64" s="7">
        <v>-156</v>
      </c>
      <c r="E64" s="2" t="s">
        <v>299</v>
      </c>
      <c r="F64" s="4" t="s">
        <v>90</v>
      </c>
      <c r="G64" s="2" t="s">
        <v>91</v>
      </c>
      <c r="H64" s="2" t="s">
        <v>391</v>
      </c>
      <c r="S64" s="2">
        <f>407.5-90.14</f>
        <v>317.36</v>
      </c>
    </row>
    <row r="65" spans="3:8" ht="11.25" customHeight="1" x14ac:dyDescent="0.2">
      <c r="C65" s="2" t="s">
        <v>560</v>
      </c>
      <c r="D65" s="7">
        <v>-395.38</v>
      </c>
      <c r="E65" s="2" t="s">
        <v>214</v>
      </c>
      <c r="F65" s="4" t="s">
        <v>128</v>
      </c>
      <c r="G65" s="2" t="s">
        <v>99</v>
      </c>
    </row>
    <row r="66" spans="3:8" ht="11.25" customHeight="1" x14ac:dyDescent="0.2">
      <c r="C66" s="2" t="s">
        <v>560</v>
      </c>
      <c r="D66" s="7">
        <v>62.2</v>
      </c>
      <c r="E66" s="2" t="s">
        <v>110</v>
      </c>
      <c r="F66" s="4" t="s">
        <v>90</v>
      </c>
      <c r="G66" s="2" t="s">
        <v>91</v>
      </c>
    </row>
    <row r="67" spans="3:8" ht="11.25" customHeight="1" x14ac:dyDescent="0.2">
      <c r="C67" s="2" t="s">
        <v>560</v>
      </c>
      <c r="D67" s="7">
        <v>333.18</v>
      </c>
      <c r="E67" s="2" t="s">
        <v>299</v>
      </c>
      <c r="F67" s="4" t="s">
        <v>90</v>
      </c>
      <c r="G67" s="2" t="s">
        <v>91</v>
      </c>
      <c r="H67" s="2" t="s">
        <v>398</v>
      </c>
    </row>
    <row r="68" spans="3:8" ht="11.25" customHeight="1" x14ac:dyDescent="0.2">
      <c r="C68" s="2" t="s">
        <v>448</v>
      </c>
      <c r="D68" s="7">
        <v>78</v>
      </c>
      <c r="E68" s="2" t="s">
        <v>180</v>
      </c>
      <c r="F68" s="4" t="s">
        <v>90</v>
      </c>
      <c r="G68" s="2" t="s">
        <v>91</v>
      </c>
    </row>
    <row r="69" spans="3:8" ht="11.25" customHeight="1" x14ac:dyDescent="0.2">
      <c r="C69" s="2" t="s">
        <v>448</v>
      </c>
      <c r="D69" s="7">
        <v>-78</v>
      </c>
      <c r="E69" s="2" t="s">
        <v>299</v>
      </c>
      <c r="F69" s="4" t="s">
        <v>90</v>
      </c>
      <c r="G69" s="2" t="s">
        <v>91</v>
      </c>
      <c r="H69" s="2" t="s">
        <v>391</v>
      </c>
    </row>
  </sheetData>
  <mergeCells count="2">
    <mergeCell ref="A2:J2"/>
    <mergeCell ref="A29:J29"/>
  </mergeCells>
  <phoneticPr fontId="3" type="noConversion"/>
  <pageMargins left="0.78740157499999996" right="0.78740157499999996" top="0.984251969" bottom="0.984251969" header="0.4921259845" footer="0.492125984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nRappOpen">
    <tabColor indexed="15"/>
  </sheetPr>
  <dimension ref="A1:M54"/>
  <sheetViews>
    <sheetView zoomScaleNormal="100" workbookViewId="0">
      <selection activeCell="J2" sqref="J2"/>
    </sheetView>
  </sheetViews>
  <sheetFormatPr baseColWidth="10" defaultColWidth="11.453125" defaultRowHeight="12.5" x14ac:dyDescent="0.25"/>
  <cols>
    <col min="1" max="1" width="26.7265625" bestFit="1" customWidth="1"/>
    <col min="2" max="2" width="13.81640625" customWidth="1"/>
    <col min="3" max="3" width="13.26953125" bestFit="1" customWidth="1"/>
    <col min="4" max="4" width="14.453125" bestFit="1" customWidth="1"/>
    <col min="6" max="6" width="1.54296875" customWidth="1"/>
    <col min="9" max="9" width="27" bestFit="1" customWidth="1"/>
  </cols>
  <sheetData>
    <row r="1" spans="1:13" x14ac:dyDescent="0.25">
      <c r="A1" s="58"/>
      <c r="B1" s="59" t="s">
        <v>84</v>
      </c>
      <c r="C1" s="59" t="s">
        <v>418</v>
      </c>
      <c r="D1" s="59" t="s">
        <v>86</v>
      </c>
      <c r="E1" s="60"/>
      <c r="F1" s="61"/>
      <c r="I1" s="105"/>
      <c r="J1" s="106" t="s">
        <v>84</v>
      </c>
      <c r="K1" s="106" t="s">
        <v>418</v>
      </c>
      <c r="L1" s="106" t="s">
        <v>86</v>
      </c>
      <c r="M1" s="126"/>
    </row>
    <row r="2" spans="1:13" ht="13" x14ac:dyDescent="0.3">
      <c r="A2" s="62" t="s">
        <v>419</v>
      </c>
      <c r="B2" s="103" t="s">
        <v>299</v>
      </c>
      <c r="C2" s="103" t="s">
        <v>90</v>
      </c>
      <c r="D2" s="104" t="s">
        <v>305</v>
      </c>
      <c r="E2" s="63"/>
      <c r="F2" s="64"/>
      <c r="I2" s="107" t="s">
        <v>419</v>
      </c>
      <c r="J2" s="108" t="s">
        <v>299</v>
      </c>
      <c r="K2" s="108" t="s">
        <v>90</v>
      </c>
      <c r="L2" s="109" t="s">
        <v>91</v>
      </c>
      <c r="M2" s="127"/>
    </row>
    <row r="3" spans="1:13" ht="13" x14ac:dyDescent="0.3">
      <c r="A3" s="62" t="s">
        <v>420</v>
      </c>
      <c r="B3" s="63"/>
      <c r="C3" s="65"/>
      <c r="D3" s="63"/>
      <c r="E3" s="63"/>
      <c r="F3" s="64"/>
      <c r="I3" s="107" t="s">
        <v>420</v>
      </c>
      <c r="J3" s="110"/>
      <c r="K3" s="111"/>
      <c r="L3" s="110"/>
      <c r="M3" s="127"/>
    </row>
    <row r="4" spans="1:13" ht="13" x14ac:dyDescent="0.3">
      <c r="A4" s="66" t="b">
        <v>0</v>
      </c>
      <c r="B4" s="67" t="s">
        <v>421</v>
      </c>
      <c r="C4" s="139">
        <v>45455</v>
      </c>
      <c r="D4" s="67" t="s">
        <v>422</v>
      </c>
      <c r="E4" s="68">
        <v>45484</v>
      </c>
      <c r="F4" s="69"/>
      <c r="I4" s="128" t="b">
        <v>0</v>
      </c>
      <c r="J4" s="112" t="s">
        <v>421</v>
      </c>
      <c r="K4" s="113">
        <v>43474</v>
      </c>
      <c r="L4" s="112" t="s">
        <v>422</v>
      </c>
      <c r="M4" s="129"/>
    </row>
    <row r="5" spans="1:13" x14ac:dyDescent="0.25">
      <c r="A5" s="70"/>
      <c r="B5" s="63"/>
      <c r="C5" s="63"/>
      <c r="D5" s="63"/>
      <c r="E5" s="63"/>
      <c r="F5" s="64"/>
      <c r="I5" s="114"/>
      <c r="J5" s="110"/>
      <c r="K5" s="110"/>
      <c r="L5" s="110"/>
      <c r="M5" s="127"/>
    </row>
    <row r="6" spans="1:13" ht="13" x14ac:dyDescent="0.3">
      <c r="A6" s="71" t="s">
        <v>423</v>
      </c>
      <c r="B6" s="72"/>
      <c r="C6" s="63"/>
      <c r="D6" s="100">
        <v>24962.68</v>
      </c>
      <c r="E6" s="73"/>
      <c r="F6" s="64"/>
      <c r="I6" s="115" t="s">
        <v>423</v>
      </c>
      <c r="J6" s="116"/>
      <c r="K6" s="110"/>
      <c r="L6" s="99">
        <f>Rapp_SoldeDeb+Rapp_TotalCredit-Rapp_TotalDebit</f>
        <v>21463.07</v>
      </c>
      <c r="M6" s="130"/>
    </row>
    <row r="7" spans="1:13" x14ac:dyDescent="0.25">
      <c r="A7" s="74"/>
      <c r="B7" s="75" t="s">
        <v>424</v>
      </c>
      <c r="C7" s="75" t="s">
        <v>425</v>
      </c>
      <c r="D7" s="75"/>
      <c r="E7" s="75"/>
      <c r="F7" s="64"/>
      <c r="I7" s="118"/>
      <c r="J7" s="119" t="s">
        <v>424</v>
      </c>
      <c r="K7" s="119" t="s">
        <v>425</v>
      </c>
      <c r="L7" s="119"/>
      <c r="M7" s="131"/>
    </row>
    <row r="8" spans="1:13" ht="13" x14ac:dyDescent="0.3">
      <c r="A8" s="71" t="s">
        <v>426</v>
      </c>
      <c r="B8" s="100">
        <v>10840.76</v>
      </c>
      <c r="C8" s="100">
        <v>7341.15</v>
      </c>
      <c r="D8" s="73"/>
      <c r="E8" s="76"/>
      <c r="F8" s="64"/>
      <c r="I8" s="115" t="s">
        <v>426</v>
      </c>
      <c r="J8" s="120"/>
      <c r="K8" s="120"/>
      <c r="L8" s="117"/>
      <c r="M8" s="132"/>
    </row>
    <row r="9" spans="1:13" ht="13" x14ac:dyDescent="0.3">
      <c r="A9" s="62"/>
      <c r="B9" s="63"/>
      <c r="C9" s="77"/>
      <c r="D9" s="63"/>
      <c r="E9" s="63"/>
      <c r="F9" s="64"/>
      <c r="I9" s="107"/>
      <c r="J9" s="110"/>
      <c r="K9" s="121"/>
      <c r="L9" s="110"/>
      <c r="M9" s="127"/>
    </row>
    <row r="10" spans="1:13" ht="13" x14ac:dyDescent="0.3">
      <c r="A10" s="71" t="s">
        <v>427</v>
      </c>
      <c r="B10" s="78"/>
      <c r="C10" s="78"/>
      <c r="D10" s="99">
        <f>Rapp_SoldeDeb+Rapp_TotalCredit-Rapp_TotalDebit</f>
        <v>21463.07</v>
      </c>
      <c r="E10" s="73"/>
      <c r="F10" s="64"/>
      <c r="I10" s="115" t="s">
        <v>427</v>
      </c>
      <c r="J10" s="122"/>
      <c r="K10" s="122"/>
      <c r="L10" s="123"/>
      <c r="M10" s="130"/>
    </row>
    <row r="11" spans="1:13" ht="13" x14ac:dyDescent="0.3">
      <c r="A11" s="71"/>
      <c r="B11" s="78"/>
      <c r="C11" s="78"/>
      <c r="D11" s="78"/>
      <c r="E11" s="63"/>
      <c r="F11" s="64"/>
      <c r="I11" s="115"/>
      <c r="J11" s="122"/>
      <c r="K11" s="122"/>
      <c r="L11" s="122"/>
      <c r="M11" s="127"/>
    </row>
    <row r="12" spans="1:13" ht="13" x14ac:dyDescent="0.3">
      <c r="A12" s="79"/>
      <c r="B12" s="80"/>
      <c r="C12" s="80"/>
      <c r="D12" s="80"/>
      <c r="E12" s="81"/>
      <c r="F12" s="82"/>
      <c r="I12" s="115"/>
      <c r="J12" s="122"/>
      <c r="K12" s="122"/>
      <c r="L12" s="122"/>
      <c r="M12" s="127"/>
    </row>
    <row r="13" spans="1:13" ht="13" x14ac:dyDescent="0.3">
      <c r="A13" s="71"/>
      <c r="B13" s="78"/>
      <c r="C13" s="78"/>
      <c r="D13" s="78"/>
      <c r="E13" s="63"/>
      <c r="F13" s="64"/>
      <c r="I13" s="115"/>
      <c r="J13" s="122"/>
      <c r="K13" s="122"/>
      <c r="L13" s="122"/>
      <c r="M13" s="127"/>
    </row>
    <row r="14" spans="1:13" ht="13" x14ac:dyDescent="0.3">
      <c r="A14" s="71" t="s">
        <v>428</v>
      </c>
      <c r="B14" s="83">
        <f>-SUMIFS(Journal.Montant,
Journal.Cpte,"="&amp;Rapp_Cpte,
Journal.SsCpte,"="&amp;Rapp_SsCpte,
Journal.Dest,"="&amp;Rapp_Dest,
Journal.Rapp,"="&amp;Rapp_CodeDebit)</f>
        <v>0</v>
      </c>
      <c r="C14" s="67" t="s">
        <v>429</v>
      </c>
      <c r="D14" s="83">
        <f>Rapp_TotalDebit-B14</f>
        <v>10840.76</v>
      </c>
      <c r="E14" s="75" t="str">
        <f>IF(NOT(ISBLANK(Rapp_DateFin)),TEXT(Rapp_DateFin,"aammjjD"),"")</f>
        <v>240711D</v>
      </c>
      <c r="F14" s="64"/>
      <c r="I14" s="115" t="s">
        <v>428</v>
      </c>
      <c r="J14" s="124">
        <v>6564.48</v>
      </c>
      <c r="K14" s="112" t="s">
        <v>429</v>
      </c>
      <c r="L14" s="124">
        <v>0</v>
      </c>
      <c r="M14" s="131" t="s">
        <v>430</v>
      </c>
    </row>
    <row r="15" spans="1:13" ht="13" x14ac:dyDescent="0.3">
      <c r="A15" s="71"/>
      <c r="B15" s="84"/>
      <c r="C15" s="78"/>
      <c r="D15" s="84"/>
      <c r="E15" s="85"/>
      <c r="F15" s="64"/>
      <c r="I15" s="115"/>
      <c r="J15" s="125"/>
      <c r="K15" s="122"/>
      <c r="L15" s="125"/>
      <c r="M15" s="133"/>
    </row>
    <row r="16" spans="1:13" ht="13" x14ac:dyDescent="0.3">
      <c r="A16" s="71" t="s">
        <v>431</v>
      </c>
      <c r="B16" s="83">
        <f>SUMIFS(Journal.Montant,
Journal.Cpte,"="&amp;Rapp_Cpte,
Journal.SsCpte,"="&amp;Rapp_SsCpte,
Journal.Dest,"="&amp;Rapp_Dest,
Journal.Rapp,"="&amp;Rapp_CodeCredit)</f>
        <v>0</v>
      </c>
      <c r="C16" s="67" t="s">
        <v>429</v>
      </c>
      <c r="D16" s="83">
        <f>B16-Rapp_TotalCredit</f>
        <v>-7341.15</v>
      </c>
      <c r="E16" s="75" t="str">
        <f>IF(NOT(ISBLANK(Rapp_DateFin)),TEXT(Rapp_DateFin,"aammjjC"),"")</f>
        <v>240711C</v>
      </c>
      <c r="F16" s="64"/>
      <c r="I16" s="115" t="s">
        <v>431</v>
      </c>
      <c r="J16" s="124">
        <v>9171.6200000000008</v>
      </c>
      <c r="K16" s="112" t="s">
        <v>429</v>
      </c>
      <c r="L16" s="124">
        <v>0</v>
      </c>
      <c r="M16" s="131" t="s">
        <v>432</v>
      </c>
    </row>
    <row r="17" spans="1:13" ht="13" x14ac:dyDescent="0.3">
      <c r="A17" s="71"/>
      <c r="B17" s="84"/>
      <c r="C17" s="78"/>
      <c r="D17" s="84"/>
      <c r="E17" s="63"/>
      <c r="F17" s="64"/>
      <c r="I17" s="115"/>
      <c r="J17" s="125"/>
      <c r="K17" s="122"/>
      <c r="L17" s="125"/>
      <c r="M17" s="127"/>
    </row>
    <row r="18" spans="1:13" ht="13.5" thickBot="1" x14ac:dyDescent="0.35">
      <c r="A18" s="71" t="s">
        <v>433</v>
      </c>
      <c r="B18" s="83">
        <f>SUMIFS(Journal.Montant,
Journal.Cpte,"="&amp;Rapp_Cpte,
Journal.SsCpte,"="&amp;Rapp_SsCpte,
Journal.Dest,"="&amp;Rapp_Dest,
Journal.Rapp,"&lt;="&amp;SUBSTITUTE(Rapp_CodeCredit,"C","Z"))</f>
        <v>-2496.69</v>
      </c>
      <c r="C18" s="67" t="s">
        <v>429</v>
      </c>
      <c r="D18" s="83">
        <f>B18-Rapp_SoldeFin</f>
        <v>-23959.759999999998</v>
      </c>
      <c r="E18" s="63"/>
      <c r="F18" s="64"/>
      <c r="I18" s="134" t="s">
        <v>433</v>
      </c>
      <c r="J18" s="135">
        <v>21744.41</v>
      </c>
      <c r="K18" s="136" t="s">
        <v>429</v>
      </c>
      <c r="L18" s="135">
        <v>0</v>
      </c>
      <c r="M18" s="137"/>
    </row>
    <row r="19" spans="1:13" ht="13.5" thickBot="1" x14ac:dyDescent="0.35">
      <c r="A19" s="86"/>
      <c r="B19" s="87"/>
      <c r="C19" s="87"/>
      <c r="D19" s="87"/>
      <c r="E19" s="87"/>
      <c r="F19" s="88"/>
    </row>
    <row r="22" spans="1:13" x14ac:dyDescent="0.25">
      <c r="C22" s="39"/>
    </row>
    <row r="54" spans="6:6" x14ac:dyDescent="0.25">
      <c r="F54">
        <f>57.51-20.61</f>
        <v>36.9</v>
      </c>
    </row>
  </sheetData>
  <sheetProtection sheet="1" objects="1" scenarios="1" selectLockedCells="1"/>
  <customSheetViews>
    <customSheetView guid="{2B94AA83-46E9-4E24-8EE1-844AF720AE16}" showRuler="0" topLeftCell="A19">
      <selection activeCell="D31" sqref="D31"/>
      <pageMargins left="0" right="0" top="0" bottom="0" header="0" footer="0"/>
      <headerFooter alignWithMargins="0"/>
    </customSheetView>
  </customSheetViews>
  <phoneticPr fontId="3" type="noConversion"/>
  <conditionalFormatting sqref="D14 D16 D18">
    <cfRule type="cellIs" dxfId="7" priority="3" operator="between">
      <formula>0</formula>
      <formula>0</formula>
    </cfRule>
    <cfRule type="cellIs" dxfId="6" priority="4" operator="notBetween">
      <formula>0</formula>
      <formula>0</formula>
    </cfRule>
  </conditionalFormatting>
  <conditionalFormatting sqref="L14 L16 L18">
    <cfRule type="cellIs" dxfId="5" priority="1" operator="between">
      <formula>0</formula>
      <formula>0</formula>
    </cfRule>
    <cfRule type="cellIs" dxfId="4" priority="2" operator="notBetween">
      <formula>0</formula>
      <formula>0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" r:id="rId4" name="bnRappOpen">
          <controlPr defaultSize="0" autoLine="0" r:id="rId5">
            <anchor moveWithCells="1">
              <from>
                <xdr:col>0</xdr:col>
                <xdr:colOff>450850</xdr:colOff>
                <xdr:row>3</xdr:row>
                <xdr:rowOff>0</xdr:rowOff>
              </from>
              <to>
                <xdr:col>1</xdr:col>
                <xdr:colOff>527050</xdr:colOff>
                <xdr:row>5</xdr:row>
                <xdr:rowOff>95250</xdr:rowOff>
              </to>
            </anchor>
          </controlPr>
        </control>
      </mc:Choice>
      <mc:Fallback>
        <control shapeId="28673" r:id="rId4" name="bnRappOpe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6">
    <tabColor indexed="21"/>
  </sheetPr>
  <dimension ref="A1:J19"/>
  <sheetViews>
    <sheetView zoomScale="130" zoomScaleNormal="130" workbookViewId="0">
      <selection activeCell="A2" sqref="A2:XFD4"/>
    </sheetView>
  </sheetViews>
  <sheetFormatPr baseColWidth="10" defaultColWidth="11.453125" defaultRowHeight="11.25" customHeight="1" x14ac:dyDescent="0.2"/>
  <cols>
    <col min="1" max="1" width="11.81640625" style="98" bestFit="1" customWidth="1"/>
    <col min="2" max="2" width="7.54296875" style="18" customWidth="1"/>
    <col min="3" max="3" width="39.1796875" style="2" customWidth="1"/>
    <col min="4" max="4" width="10.54296875" style="7" customWidth="1"/>
    <col min="5" max="5" width="5.81640625" style="2" customWidth="1"/>
    <col min="6" max="6" width="6.54296875" style="42" customWidth="1"/>
    <col min="7" max="7" width="7.453125" style="2" customWidth="1"/>
    <col min="8" max="8" width="4.54296875" style="2" customWidth="1"/>
    <col min="9" max="9" width="5.453125" style="2" customWidth="1"/>
    <col min="10" max="10" width="37.26953125" style="6" bestFit="1" customWidth="1"/>
    <col min="11" max="16384" width="11.453125" style="2"/>
  </cols>
  <sheetData>
    <row r="1" spans="1:10" s="26" customFormat="1" ht="23.25" customHeight="1" x14ac:dyDescent="0.25">
      <c r="A1" s="97" t="s">
        <v>377</v>
      </c>
      <c r="B1" s="26" t="s">
        <v>378</v>
      </c>
      <c r="C1" s="26" t="s">
        <v>87</v>
      </c>
      <c r="D1" s="27" t="s">
        <v>379</v>
      </c>
      <c r="E1" s="26" t="s">
        <v>84</v>
      </c>
      <c r="F1" s="41" t="s">
        <v>85</v>
      </c>
      <c r="G1" s="26" t="s">
        <v>86</v>
      </c>
      <c r="H1" s="5" t="s">
        <v>380</v>
      </c>
      <c r="I1" s="5" t="s">
        <v>381</v>
      </c>
      <c r="J1" s="28" t="s">
        <v>435</v>
      </c>
    </row>
    <row r="2" spans="1:10" ht="11.25" customHeight="1" x14ac:dyDescent="0.2">
      <c r="A2" s="98">
        <v>45511</v>
      </c>
      <c r="C2" s="2" t="s">
        <v>440</v>
      </c>
      <c r="D2" s="7">
        <v>302</v>
      </c>
      <c r="E2" s="2" t="s">
        <v>124</v>
      </c>
      <c r="F2" s="42" t="s">
        <v>90</v>
      </c>
      <c r="G2" s="2" t="s">
        <v>91</v>
      </c>
    </row>
    <row r="3" spans="1:10" ht="11.25" customHeight="1" x14ac:dyDescent="0.2">
      <c r="A3" s="98">
        <v>45511</v>
      </c>
      <c r="C3" s="2" t="s">
        <v>440</v>
      </c>
      <c r="D3" s="7">
        <v>-302</v>
      </c>
      <c r="E3" s="2" t="s">
        <v>299</v>
      </c>
      <c r="F3" s="42" t="s">
        <v>90</v>
      </c>
      <c r="G3" s="2" t="s">
        <v>91</v>
      </c>
      <c r="H3" s="2" t="s">
        <v>391</v>
      </c>
    </row>
    <row r="4" spans="1:10" ht="11.25" customHeight="1" x14ac:dyDescent="0.2">
      <c r="A4" s="98">
        <v>45514</v>
      </c>
      <c r="C4" s="2" t="s">
        <v>816</v>
      </c>
      <c r="D4" s="7">
        <v>257</v>
      </c>
      <c r="E4" s="2" t="s">
        <v>124</v>
      </c>
      <c r="F4" s="42" t="s">
        <v>90</v>
      </c>
      <c r="G4" s="2" t="s">
        <v>91</v>
      </c>
    </row>
    <row r="5" spans="1:10" ht="11.25" customHeight="1" x14ac:dyDescent="0.2">
      <c r="A5" s="98">
        <v>45514</v>
      </c>
      <c r="C5" s="2" t="s">
        <v>816</v>
      </c>
      <c r="D5" s="7">
        <v>-257</v>
      </c>
      <c r="E5" s="2" t="s">
        <v>299</v>
      </c>
      <c r="F5" s="42" t="s">
        <v>90</v>
      </c>
      <c r="G5" s="2" t="s">
        <v>91</v>
      </c>
      <c r="H5" s="2" t="s">
        <v>391</v>
      </c>
    </row>
    <row r="6" spans="1:10" ht="11.25" customHeight="1" x14ac:dyDescent="0.2">
      <c r="A6" s="98">
        <v>45542</v>
      </c>
      <c r="C6" s="2" t="s">
        <v>440</v>
      </c>
      <c r="D6" s="7">
        <v>302</v>
      </c>
      <c r="E6" s="2" t="s">
        <v>124</v>
      </c>
      <c r="F6" s="42" t="s">
        <v>90</v>
      </c>
      <c r="G6" s="2" t="s">
        <v>91</v>
      </c>
    </row>
    <row r="7" spans="1:10" ht="11.25" customHeight="1" x14ac:dyDescent="0.2">
      <c r="A7" s="98">
        <v>45542</v>
      </c>
      <c r="C7" s="2" t="s">
        <v>440</v>
      </c>
      <c r="D7" s="7">
        <v>-302</v>
      </c>
      <c r="E7" s="2" t="s">
        <v>299</v>
      </c>
      <c r="F7" s="42" t="s">
        <v>90</v>
      </c>
      <c r="G7" s="2" t="s">
        <v>91</v>
      </c>
      <c r="H7" s="2" t="s">
        <v>391</v>
      </c>
    </row>
    <row r="8" spans="1:10" ht="11.25" customHeight="1" x14ac:dyDescent="0.2">
      <c r="A8" s="98">
        <v>45545</v>
      </c>
      <c r="C8" s="2" t="s">
        <v>816</v>
      </c>
      <c r="D8" s="7">
        <v>257</v>
      </c>
      <c r="E8" s="2" t="s">
        <v>124</v>
      </c>
      <c r="F8" s="42" t="s">
        <v>90</v>
      </c>
      <c r="G8" s="2" t="s">
        <v>91</v>
      </c>
    </row>
    <row r="9" spans="1:10" ht="11.25" customHeight="1" x14ac:dyDescent="0.2">
      <c r="A9" s="98">
        <v>45545</v>
      </c>
      <c r="C9" s="2" t="s">
        <v>816</v>
      </c>
      <c r="D9" s="7">
        <v>-257</v>
      </c>
      <c r="E9" s="2" t="s">
        <v>299</v>
      </c>
      <c r="F9" s="42" t="s">
        <v>90</v>
      </c>
      <c r="G9" s="2" t="s">
        <v>91</v>
      </c>
      <c r="H9" s="2" t="s">
        <v>391</v>
      </c>
    </row>
    <row r="10" spans="1:10" ht="11.25" customHeight="1" x14ac:dyDescent="0.2">
      <c r="A10" s="98">
        <v>45572</v>
      </c>
      <c r="C10" s="2" t="s">
        <v>440</v>
      </c>
      <c r="D10" s="7">
        <v>302</v>
      </c>
      <c r="E10" s="2" t="s">
        <v>124</v>
      </c>
      <c r="F10" s="42" t="s">
        <v>90</v>
      </c>
      <c r="G10" s="2" t="s">
        <v>91</v>
      </c>
    </row>
    <row r="11" spans="1:10" ht="11.25" customHeight="1" x14ac:dyDescent="0.2">
      <c r="A11" s="98">
        <v>45572</v>
      </c>
      <c r="C11" s="2" t="s">
        <v>440</v>
      </c>
      <c r="D11" s="7">
        <v>-302</v>
      </c>
      <c r="E11" s="2" t="s">
        <v>299</v>
      </c>
      <c r="F11" s="42" t="s">
        <v>90</v>
      </c>
      <c r="G11" s="2" t="s">
        <v>91</v>
      </c>
      <c r="H11" s="2" t="s">
        <v>391</v>
      </c>
    </row>
    <row r="12" spans="1:10" ht="11.25" customHeight="1" x14ac:dyDescent="0.2">
      <c r="A12" s="98">
        <v>45575</v>
      </c>
      <c r="C12" s="2" t="s">
        <v>816</v>
      </c>
      <c r="D12" s="7">
        <v>257</v>
      </c>
      <c r="E12" s="2" t="s">
        <v>124</v>
      </c>
      <c r="F12" s="42" t="s">
        <v>90</v>
      </c>
      <c r="G12" s="2" t="s">
        <v>91</v>
      </c>
    </row>
    <row r="13" spans="1:10" ht="11.25" customHeight="1" x14ac:dyDescent="0.2">
      <c r="A13" s="98">
        <v>45575</v>
      </c>
      <c r="C13" s="2" t="s">
        <v>816</v>
      </c>
      <c r="D13" s="7">
        <v>-257</v>
      </c>
      <c r="E13" s="2" t="s">
        <v>299</v>
      </c>
      <c r="F13" s="42" t="s">
        <v>90</v>
      </c>
      <c r="G13" s="2" t="s">
        <v>91</v>
      </c>
      <c r="H13" s="2" t="s">
        <v>391</v>
      </c>
    </row>
    <row r="14" spans="1:10" ht="11.25" customHeight="1" x14ac:dyDescent="0.2">
      <c r="A14" s="98">
        <v>45603</v>
      </c>
      <c r="C14" s="2" t="s">
        <v>440</v>
      </c>
      <c r="D14" s="7">
        <v>302</v>
      </c>
      <c r="E14" s="2" t="s">
        <v>124</v>
      </c>
      <c r="F14" s="42" t="s">
        <v>90</v>
      </c>
      <c r="G14" s="2" t="s">
        <v>91</v>
      </c>
    </row>
    <row r="15" spans="1:10" ht="11.25" customHeight="1" x14ac:dyDescent="0.2">
      <c r="A15" s="98">
        <v>45603</v>
      </c>
      <c r="C15" s="2" t="s">
        <v>440</v>
      </c>
      <c r="D15" s="7">
        <v>-302</v>
      </c>
      <c r="E15" s="2" t="s">
        <v>299</v>
      </c>
      <c r="F15" s="42" t="s">
        <v>90</v>
      </c>
      <c r="G15" s="2" t="s">
        <v>91</v>
      </c>
      <c r="H15" s="2" t="s">
        <v>391</v>
      </c>
    </row>
    <row r="16" spans="1:10" ht="11.25" customHeight="1" x14ac:dyDescent="0.2">
      <c r="A16" s="98">
        <v>45606</v>
      </c>
      <c r="C16" s="2" t="s">
        <v>816</v>
      </c>
      <c r="D16" s="7">
        <v>257</v>
      </c>
      <c r="E16" s="2" t="s">
        <v>124</v>
      </c>
      <c r="F16" s="42" t="s">
        <v>90</v>
      </c>
      <c r="G16" s="2" t="s">
        <v>91</v>
      </c>
    </row>
    <row r="17" spans="1:8" ht="11.25" customHeight="1" x14ac:dyDescent="0.2">
      <c r="A17" s="98">
        <v>45606</v>
      </c>
      <c r="C17" s="2" t="s">
        <v>816</v>
      </c>
      <c r="D17" s="7">
        <v>-257</v>
      </c>
      <c r="E17" s="2" t="s">
        <v>299</v>
      </c>
      <c r="F17" s="42" t="s">
        <v>90</v>
      </c>
      <c r="G17" s="2" t="s">
        <v>91</v>
      </c>
      <c r="H17" s="2" t="s">
        <v>391</v>
      </c>
    </row>
    <row r="18" spans="1:8" ht="11.25" customHeight="1" x14ac:dyDescent="0.2">
      <c r="A18" s="98">
        <v>45636</v>
      </c>
      <c r="C18" s="2" t="s">
        <v>816</v>
      </c>
      <c r="D18" s="7">
        <v>257</v>
      </c>
      <c r="E18" s="2" t="s">
        <v>124</v>
      </c>
      <c r="F18" s="42" t="s">
        <v>90</v>
      </c>
      <c r="G18" s="2" t="s">
        <v>91</v>
      </c>
    </row>
    <row r="19" spans="1:8" ht="11.25" customHeight="1" x14ac:dyDescent="0.2">
      <c r="A19" s="98">
        <v>45636</v>
      </c>
      <c r="C19" s="2" t="s">
        <v>816</v>
      </c>
      <c r="D19" s="7">
        <v>-257</v>
      </c>
      <c r="E19" s="2" t="s">
        <v>299</v>
      </c>
      <c r="F19" s="42" t="s">
        <v>90</v>
      </c>
      <c r="G19" s="2" t="s">
        <v>91</v>
      </c>
      <c r="H19" s="2" t="s">
        <v>391</v>
      </c>
    </row>
  </sheetData>
  <sortState xmlns:xlrd2="http://schemas.microsoft.com/office/spreadsheetml/2017/richdata2" ref="A2:J19">
    <sortCondition ref="A2:A19"/>
  </sortState>
  <phoneticPr fontId="3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6"/>
  <dimension ref="A1:L46"/>
  <sheetViews>
    <sheetView showGridLines="0" topLeftCell="A9" workbookViewId="0">
      <selection activeCell="L27" sqref="L27"/>
    </sheetView>
  </sheetViews>
  <sheetFormatPr baseColWidth="10" defaultColWidth="11.453125" defaultRowHeight="12.5" x14ac:dyDescent="0.25"/>
  <cols>
    <col min="1" max="1" width="19.54296875" customWidth="1"/>
    <col min="4" max="4" width="19.26953125" bestFit="1" customWidth="1"/>
  </cols>
  <sheetData>
    <row r="1" spans="1:12" ht="13" x14ac:dyDescent="0.3">
      <c r="A1" t="s">
        <v>517</v>
      </c>
      <c r="B1" s="39">
        <f>SUM(Journal_Montants)</f>
        <v>0</v>
      </c>
      <c r="D1" s="51" t="s">
        <v>518</v>
      </c>
      <c r="E1" s="52"/>
      <c r="F1" s="53"/>
      <c r="G1" s="54"/>
      <c r="H1" s="54"/>
      <c r="K1" s="45">
        <v>-4.5</v>
      </c>
      <c r="L1" s="101">
        <f>-K1</f>
        <v>4.5</v>
      </c>
    </row>
    <row r="2" spans="1:12" x14ac:dyDescent="0.25">
      <c r="D2" s="55" t="s">
        <v>519</v>
      </c>
      <c r="E2" s="56" t="s">
        <v>89</v>
      </c>
      <c r="F2" s="57" t="s">
        <v>90</v>
      </c>
      <c r="G2" s="55" t="s">
        <v>91</v>
      </c>
      <c r="H2" s="55"/>
      <c r="K2" s="45">
        <v>-19</v>
      </c>
      <c r="L2" s="101">
        <f t="shared" ref="L2:L14" si="0">-K2</f>
        <v>19</v>
      </c>
    </row>
    <row r="3" spans="1:12" x14ac:dyDescent="0.25">
      <c r="D3" s="55" t="s">
        <v>520</v>
      </c>
      <c r="E3" s="56" t="s">
        <v>89</v>
      </c>
      <c r="F3" s="57" t="s">
        <v>96</v>
      </c>
      <c r="G3" s="55" t="s">
        <v>91</v>
      </c>
      <c r="H3" s="55"/>
      <c r="K3" s="45">
        <v>-24.95</v>
      </c>
      <c r="L3" s="101">
        <f t="shared" si="0"/>
        <v>24.95</v>
      </c>
    </row>
    <row r="4" spans="1:12" x14ac:dyDescent="0.25">
      <c r="A4" s="153" t="s">
        <v>1057</v>
      </c>
      <c r="B4" s="153" t="s">
        <v>1058</v>
      </c>
      <c r="D4" s="55" t="s">
        <v>521</v>
      </c>
      <c r="E4" s="56" t="s">
        <v>299</v>
      </c>
      <c r="F4" s="57" t="s">
        <v>321</v>
      </c>
      <c r="G4" s="55" t="s">
        <v>107</v>
      </c>
      <c r="H4" s="55"/>
      <c r="K4" s="45">
        <v>-8.1999999999999993</v>
      </c>
      <c r="L4" s="101">
        <f>-K4</f>
        <v>8.1999999999999993</v>
      </c>
    </row>
    <row r="5" spans="1:12" x14ac:dyDescent="0.25">
      <c r="D5" s="55" t="s">
        <v>99</v>
      </c>
      <c r="E5" s="56" t="s">
        <v>299</v>
      </c>
      <c r="F5" s="57" t="s">
        <v>321</v>
      </c>
      <c r="G5" s="55" t="s">
        <v>99</v>
      </c>
      <c r="H5" s="55"/>
      <c r="K5" s="45">
        <v>-12.45</v>
      </c>
      <c r="L5" s="101">
        <f t="shared" si="0"/>
        <v>12.45</v>
      </c>
    </row>
    <row r="6" spans="1:12" x14ac:dyDescent="0.25">
      <c r="D6" s="55" t="s">
        <v>522</v>
      </c>
      <c r="E6" s="56" t="s">
        <v>299</v>
      </c>
      <c r="F6" s="57" t="s">
        <v>321</v>
      </c>
      <c r="G6" s="55" t="s">
        <v>98</v>
      </c>
      <c r="H6" s="55"/>
      <c r="K6" s="45">
        <v>-8.6</v>
      </c>
      <c r="L6" s="101">
        <f t="shared" si="0"/>
        <v>8.6</v>
      </c>
    </row>
    <row r="7" spans="1:12" x14ac:dyDescent="0.25">
      <c r="D7" s="55" t="s">
        <v>523</v>
      </c>
      <c r="E7" s="56" t="s">
        <v>299</v>
      </c>
      <c r="F7" s="57" t="s">
        <v>321</v>
      </c>
      <c r="G7" s="55" t="s">
        <v>95</v>
      </c>
      <c r="H7" s="55"/>
      <c r="K7" s="45">
        <v>-8.15</v>
      </c>
      <c r="L7" s="101">
        <f t="shared" si="0"/>
        <v>8.15</v>
      </c>
    </row>
    <row r="8" spans="1:12" x14ac:dyDescent="0.25">
      <c r="D8" s="55" t="s">
        <v>524</v>
      </c>
      <c r="E8" s="56" t="s">
        <v>200</v>
      </c>
      <c r="F8" s="57" t="s">
        <v>137</v>
      </c>
      <c r="G8" s="55" t="s">
        <v>93</v>
      </c>
      <c r="H8" s="55"/>
      <c r="I8" t="s">
        <v>525</v>
      </c>
      <c r="K8" s="45">
        <v>-11.95</v>
      </c>
      <c r="L8" s="101">
        <f t="shared" si="0"/>
        <v>11.95</v>
      </c>
    </row>
    <row r="9" spans="1:12" x14ac:dyDescent="0.25">
      <c r="D9" s="55" t="s">
        <v>526</v>
      </c>
      <c r="E9" s="56" t="s">
        <v>299</v>
      </c>
      <c r="F9" s="57" t="s">
        <v>101</v>
      </c>
      <c r="G9" s="55" t="s">
        <v>91</v>
      </c>
      <c r="H9" s="55"/>
      <c r="K9" s="45">
        <v>-15.5</v>
      </c>
      <c r="L9" s="101">
        <f t="shared" si="0"/>
        <v>15.5</v>
      </c>
    </row>
    <row r="10" spans="1:12" x14ac:dyDescent="0.25">
      <c r="D10" s="55" t="s">
        <v>527</v>
      </c>
      <c r="E10" s="56" t="s">
        <v>299</v>
      </c>
      <c r="F10" s="57" t="s">
        <v>311</v>
      </c>
      <c r="G10" s="55" t="s">
        <v>528</v>
      </c>
      <c r="H10" s="55"/>
      <c r="K10" s="45">
        <v>-6</v>
      </c>
      <c r="L10" s="101">
        <f t="shared" si="0"/>
        <v>6</v>
      </c>
    </row>
    <row r="11" spans="1:12" x14ac:dyDescent="0.25">
      <c r="D11" s="55" t="s">
        <v>529</v>
      </c>
      <c r="E11" s="56" t="s">
        <v>157</v>
      </c>
      <c r="F11" s="57" t="s">
        <v>128</v>
      </c>
      <c r="G11" s="55" t="s">
        <v>112</v>
      </c>
      <c r="H11" s="55"/>
      <c r="K11" s="45">
        <v>-8.5</v>
      </c>
      <c r="L11" s="101">
        <f t="shared" si="0"/>
        <v>8.5</v>
      </c>
    </row>
    <row r="12" spans="1:12" x14ac:dyDescent="0.25">
      <c r="D12" s="55" t="s">
        <v>530</v>
      </c>
      <c r="E12" s="56" t="s">
        <v>157</v>
      </c>
      <c r="F12" s="57" t="s">
        <v>137</v>
      </c>
      <c r="G12" s="55" t="s">
        <v>91</v>
      </c>
      <c r="H12" s="55"/>
      <c r="K12" s="45">
        <v>-10</v>
      </c>
      <c r="L12" s="101">
        <f t="shared" si="0"/>
        <v>10</v>
      </c>
    </row>
    <row r="13" spans="1:12" x14ac:dyDescent="0.25">
      <c r="D13" s="55" t="s">
        <v>531</v>
      </c>
      <c r="E13" s="56" t="s">
        <v>157</v>
      </c>
      <c r="F13" s="57" t="s">
        <v>118</v>
      </c>
      <c r="G13" s="55" t="s">
        <v>91</v>
      </c>
      <c r="H13" s="55"/>
      <c r="K13" s="45">
        <v>-44.9</v>
      </c>
      <c r="L13" s="101">
        <f t="shared" si="0"/>
        <v>44.9</v>
      </c>
    </row>
    <row r="14" spans="1:12" x14ac:dyDescent="0.25">
      <c r="D14" s="55" t="s">
        <v>532</v>
      </c>
      <c r="E14" s="56" t="s">
        <v>157</v>
      </c>
      <c r="F14" s="57" t="s">
        <v>137</v>
      </c>
      <c r="G14" s="55" t="s">
        <v>91</v>
      </c>
      <c r="H14" s="55"/>
      <c r="K14" s="45">
        <v>-70</v>
      </c>
      <c r="L14" s="101">
        <f t="shared" si="0"/>
        <v>70</v>
      </c>
    </row>
    <row r="15" spans="1:12" x14ac:dyDescent="0.25">
      <c r="D15" s="55" t="s">
        <v>533</v>
      </c>
      <c r="E15" s="56" t="s">
        <v>110</v>
      </c>
      <c r="F15" s="57" t="s">
        <v>90</v>
      </c>
      <c r="G15" s="55" t="s">
        <v>91</v>
      </c>
      <c r="H15" s="55"/>
      <c r="K15" s="138"/>
      <c r="L15" s="101"/>
    </row>
    <row r="16" spans="1:12" x14ac:dyDescent="0.25">
      <c r="D16" s="55" t="s">
        <v>534</v>
      </c>
      <c r="E16" s="56" t="s">
        <v>157</v>
      </c>
      <c r="F16" s="57" t="s">
        <v>155</v>
      </c>
      <c r="G16" s="55" t="s">
        <v>112</v>
      </c>
      <c r="H16" s="55"/>
    </row>
    <row r="17" spans="4:8" x14ac:dyDescent="0.25">
      <c r="D17" s="55" t="s">
        <v>535</v>
      </c>
      <c r="E17" s="56" t="s">
        <v>299</v>
      </c>
      <c r="F17" s="57" t="s">
        <v>90</v>
      </c>
      <c r="G17" s="55" t="s">
        <v>91</v>
      </c>
      <c r="H17" s="55"/>
    </row>
    <row r="18" spans="4:8" x14ac:dyDescent="0.25">
      <c r="D18" s="55" t="s">
        <v>536</v>
      </c>
      <c r="E18" s="56" t="s">
        <v>299</v>
      </c>
      <c r="F18" s="57" t="s">
        <v>90</v>
      </c>
      <c r="G18" s="55" t="s">
        <v>305</v>
      </c>
      <c r="H18" s="55"/>
    </row>
    <row r="19" spans="4:8" x14ac:dyDescent="0.25">
      <c r="D19" s="55" t="s">
        <v>537</v>
      </c>
      <c r="E19" s="56" t="s">
        <v>145</v>
      </c>
      <c r="F19" s="57" t="s">
        <v>116</v>
      </c>
      <c r="G19" s="55" t="s">
        <v>91</v>
      </c>
      <c r="H19" s="55"/>
    </row>
    <row r="20" spans="4:8" x14ac:dyDescent="0.25">
      <c r="D20" s="55" t="s">
        <v>538</v>
      </c>
      <c r="E20" s="56" t="s">
        <v>197</v>
      </c>
      <c r="F20" s="57" t="s">
        <v>90</v>
      </c>
      <c r="G20" s="55" t="s">
        <v>99</v>
      </c>
      <c r="H20" s="55"/>
    </row>
    <row r="21" spans="4:8" x14ac:dyDescent="0.25">
      <c r="D21" s="55" t="s">
        <v>539</v>
      </c>
      <c r="E21" s="56" t="s">
        <v>157</v>
      </c>
      <c r="F21" s="57" t="s">
        <v>96</v>
      </c>
      <c r="G21" s="55" t="s">
        <v>91</v>
      </c>
      <c r="H21" s="55"/>
    </row>
    <row r="22" spans="4:8" x14ac:dyDescent="0.25">
      <c r="D22" s="55" t="s">
        <v>551</v>
      </c>
      <c r="E22" s="56" t="s">
        <v>145</v>
      </c>
      <c r="F22" s="57" t="s">
        <v>128</v>
      </c>
      <c r="G22" s="55" t="s">
        <v>115</v>
      </c>
      <c r="H22" s="55"/>
    </row>
    <row r="23" spans="4:8" x14ac:dyDescent="0.25">
      <c r="D23" s="55" t="s">
        <v>540</v>
      </c>
      <c r="E23" s="56" t="s">
        <v>105</v>
      </c>
      <c r="F23" s="57" t="s">
        <v>90</v>
      </c>
      <c r="G23" s="55" t="s">
        <v>91</v>
      </c>
      <c r="H23" s="55"/>
    </row>
    <row r="24" spans="4:8" x14ac:dyDescent="0.25">
      <c r="D24" s="55" t="s">
        <v>541</v>
      </c>
      <c r="E24" s="56" t="s">
        <v>222</v>
      </c>
      <c r="F24" s="57" t="s">
        <v>90</v>
      </c>
      <c r="G24" s="55" t="s">
        <v>231</v>
      </c>
      <c r="H24" s="55"/>
    </row>
    <row r="25" spans="4:8" x14ac:dyDescent="0.25">
      <c r="D25" s="55" t="s">
        <v>542</v>
      </c>
      <c r="E25" s="56" t="s">
        <v>222</v>
      </c>
      <c r="F25" s="57" t="s">
        <v>90</v>
      </c>
      <c r="G25" s="55" t="s">
        <v>231</v>
      </c>
      <c r="H25" s="55"/>
    </row>
    <row r="26" spans="4:8" x14ac:dyDescent="0.25">
      <c r="D26" s="55" t="s">
        <v>543</v>
      </c>
      <c r="E26" s="56" t="s">
        <v>299</v>
      </c>
      <c r="F26" s="57" t="s">
        <v>101</v>
      </c>
      <c r="G26" s="55" t="s">
        <v>91</v>
      </c>
      <c r="H26" s="55"/>
    </row>
    <row r="27" spans="4:8" x14ac:dyDescent="0.25">
      <c r="D27" s="55" t="s">
        <v>465</v>
      </c>
      <c r="E27" s="56" t="s">
        <v>299</v>
      </c>
      <c r="F27" s="57" t="s">
        <v>307</v>
      </c>
      <c r="G27" s="55" t="s">
        <v>91</v>
      </c>
      <c r="H27" s="55"/>
    </row>
    <row r="28" spans="4:8" x14ac:dyDescent="0.25">
      <c r="D28" s="55" t="s">
        <v>544</v>
      </c>
      <c r="E28" s="56" t="s">
        <v>197</v>
      </c>
      <c r="F28" s="57" t="s">
        <v>90</v>
      </c>
      <c r="G28" s="55" t="s">
        <v>91</v>
      </c>
      <c r="H28" s="55"/>
    </row>
    <row r="29" spans="4:8" x14ac:dyDescent="0.25">
      <c r="D29" s="55" t="s">
        <v>545</v>
      </c>
      <c r="E29" s="56" t="s">
        <v>197</v>
      </c>
      <c r="F29" s="57" t="s">
        <v>96</v>
      </c>
      <c r="G29" s="55" t="s">
        <v>91</v>
      </c>
      <c r="H29" s="55"/>
    </row>
    <row r="30" spans="4:8" x14ac:dyDescent="0.25">
      <c r="D30" s="55" t="s">
        <v>1084</v>
      </c>
      <c r="E30" s="56" t="s">
        <v>294</v>
      </c>
      <c r="F30" s="57" t="s">
        <v>90</v>
      </c>
      <c r="G30" s="55" t="s">
        <v>91</v>
      </c>
      <c r="H30" s="55"/>
    </row>
    <row r="31" spans="4:8" x14ac:dyDescent="0.25">
      <c r="D31" s="55">
        <v>999</v>
      </c>
      <c r="E31" s="56">
        <v>999</v>
      </c>
      <c r="F31" s="57" t="s">
        <v>1078</v>
      </c>
      <c r="G31" s="55" t="s">
        <v>91</v>
      </c>
      <c r="H31" s="55"/>
    </row>
    <row r="32" spans="4:8" x14ac:dyDescent="0.25">
      <c r="D32" s="55" t="s">
        <v>546</v>
      </c>
      <c r="E32" s="56" t="s">
        <v>180</v>
      </c>
      <c r="F32" s="57" t="s">
        <v>90</v>
      </c>
      <c r="G32" s="55" t="s">
        <v>91</v>
      </c>
      <c r="H32" s="55" t="s">
        <v>442</v>
      </c>
    </row>
    <row r="33" spans="4:8" x14ac:dyDescent="0.25">
      <c r="D33" s="55" t="s">
        <v>547</v>
      </c>
      <c r="E33" s="56" t="s">
        <v>299</v>
      </c>
      <c r="F33" s="57" t="s">
        <v>90</v>
      </c>
      <c r="G33" s="55" t="s">
        <v>91</v>
      </c>
      <c r="H33" s="55" t="s">
        <v>442</v>
      </c>
    </row>
    <row r="34" spans="4:8" x14ac:dyDescent="0.25">
      <c r="D34" s="55" t="s">
        <v>548</v>
      </c>
      <c r="E34" s="56" t="s">
        <v>299</v>
      </c>
      <c r="F34" s="57" t="s">
        <v>90</v>
      </c>
      <c r="G34" s="55" t="s">
        <v>305</v>
      </c>
    </row>
    <row r="35" spans="4:8" ht="13" x14ac:dyDescent="0.3">
      <c r="D35" s="51" t="s">
        <v>549</v>
      </c>
    </row>
    <row r="46" spans="4:8" ht="13" x14ac:dyDescent="0.3">
      <c r="F46" s="8"/>
    </row>
  </sheetData>
  <conditionalFormatting sqref="K1:K15">
    <cfRule type="expression" dxfId="3" priority="1">
      <formula>AND($I1=Rapp_CodeDebit,Rapp_Open=TRUE)</formula>
    </cfRule>
    <cfRule type="expression" dxfId="2" priority="2">
      <formula>AND($I1=Rapp_CodeCredit,Rapp_Open=TRUE)</formula>
    </cfRule>
    <cfRule type="expression" dxfId="1" priority="3">
      <formula>(AND(NOT(ISBLANK($B1)),MOD($B1,2)=0,ROW($A1)&lt;&gt;1))</formula>
    </cfRule>
    <cfRule type="expression" dxfId="0" priority="4">
      <formula>(AND(NOT(ISBLANK($B1)),MOD($B1,2)=1,ROW($A1)&lt;&gt;1))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39</vt:i4>
      </vt:variant>
    </vt:vector>
  </HeadingPairs>
  <TitlesOfParts>
    <vt:vector size="46" baseType="lpstr">
      <vt:lpstr>HELP</vt:lpstr>
      <vt:lpstr>Budget</vt:lpstr>
      <vt:lpstr>Journal</vt:lpstr>
      <vt:lpstr>Modeles</vt:lpstr>
      <vt:lpstr>Rapp</vt:lpstr>
      <vt:lpstr>aVenir</vt:lpstr>
      <vt:lpstr>Set-Up</vt:lpstr>
      <vt:lpstr>BIL98MC</vt:lpstr>
      <vt:lpstr>Budget.Cpte</vt:lpstr>
      <vt:lpstr>Budget.Description</vt:lpstr>
      <vt:lpstr>Budget.Dest</vt:lpstr>
      <vt:lpstr>Budget.SsCpte</vt:lpstr>
      <vt:lpstr>Comptes_Raccourcis</vt:lpstr>
      <vt:lpstr>Journal!Cpte</vt:lpstr>
      <vt:lpstr>CpteClaire</vt:lpstr>
      <vt:lpstr>Journal!Date</vt:lpstr>
      <vt:lpstr>Journal!Dest</vt:lpstr>
      <vt:lpstr>Journal!Doc</vt:lpstr>
      <vt:lpstr>Modeles!Doc</vt:lpstr>
      <vt:lpstr>Journal.Cpte</vt:lpstr>
      <vt:lpstr>Journal.Dest</vt:lpstr>
      <vt:lpstr>Journal.Doc</vt:lpstr>
      <vt:lpstr>Journal.Montant</vt:lpstr>
      <vt:lpstr>Journal.Rapp</vt:lpstr>
      <vt:lpstr>Journal.SsCpte</vt:lpstr>
      <vt:lpstr>Journal_Total</vt:lpstr>
      <vt:lpstr>Monnaie</vt:lpstr>
      <vt:lpstr>Journal!Montant</vt:lpstr>
      <vt:lpstr>Journal!Rapp</vt:lpstr>
      <vt:lpstr>Modeles!Rapp</vt:lpstr>
      <vt:lpstr>Rapp_CodeCredit</vt:lpstr>
      <vt:lpstr>Rapp_CodeDebit</vt:lpstr>
      <vt:lpstr>Rapp_Cpte</vt:lpstr>
      <vt:lpstr>Rapp_DateFin</vt:lpstr>
      <vt:lpstr>Rapp_Dest</vt:lpstr>
      <vt:lpstr>Rapp_Open</vt:lpstr>
      <vt:lpstr>Rapp_SoldeDeb</vt:lpstr>
      <vt:lpstr>Rapp_SoldeFin</vt:lpstr>
      <vt:lpstr>Rapp_SsCpte</vt:lpstr>
      <vt:lpstr>Rapp_TotalCredit</vt:lpstr>
      <vt:lpstr>Rapp_TotalDebit</vt:lpstr>
      <vt:lpstr>SetUp.ControleEquilibre</vt:lpstr>
      <vt:lpstr>Journal!SsCpte</vt:lpstr>
      <vt:lpstr>Travo_Claire</vt:lpstr>
      <vt:lpstr>Journal!Type</vt:lpstr>
      <vt:lpstr>Journal!Zone_d_impression</vt:lpstr>
    </vt:vector>
  </TitlesOfParts>
  <Manager/>
  <Company>Famille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Comptes Perso 2006-2007</dc:title>
  <dc:subject/>
  <dc:creator>JOUZIER Bruno</dc:creator>
  <cp:keywords/>
  <dc:description/>
  <cp:lastModifiedBy>Bruno JOUZIER</cp:lastModifiedBy>
  <cp:revision/>
  <dcterms:created xsi:type="dcterms:W3CDTF">2002-08-14T10:31:39Z</dcterms:created>
  <dcterms:modified xsi:type="dcterms:W3CDTF">2025-03-06T11:40:59Z</dcterms:modified>
  <cp:category/>
  <cp:contentStatus/>
</cp:coreProperties>
</file>